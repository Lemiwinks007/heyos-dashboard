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CLAUDE CONTEXT" sheetId="1" r:id="rId5"/>
    <sheet state="visible" name="⚙️ MASTER_INDEX" sheetId="2" r:id="rId6"/>
    <sheet state="visible" name="🚀 DÉMARRAGE" sheetId="3" r:id="rId7"/>
    <sheet state="visible" name="🧠 PROFIL" sheetId="4" r:id="rId8"/>
    <sheet state="visible" name="📓 JOURNAL DÉCISIONS" sheetId="5" r:id="rId9"/>
    <sheet state="visible" name="🧠 RAISONNEMENTS" sheetId="6" r:id="rId10"/>
    <sheet state="visible" name="📋 MON PORTEFEUILLE" sheetId="7" r:id="rId11"/>
    <sheet state="visible" name="🏠 DASHBOARD" sheetId="8" r:id="rId12"/>
    <sheet state="visible" name="💵 BUDGET RÉEL" sheetId="9" r:id="rId13"/>
    <sheet state="visible" name="📊 ANALYSE PRO" sheetId="10" r:id="rId14"/>
    <sheet state="visible" name="📈 PORTEFEUILLE" sheetId="11" r:id="rId15"/>
    <sheet state="visible" name="🔍 ANALYSE TRIABLE" sheetId="12" r:id="rId16"/>
    <sheet state="visible" name="📊 ANALYSE TITRES" sheetId="13" r:id="rId17"/>
    <sheet state="visible" name="🎯 DÉCISIONS" sheetId="14" r:id="rId18"/>
    <sheet state="visible" name="🚨 ALERTES" sheetId="15" r:id="rId19"/>
    <sheet state="visible" name="❄️ FISCAL" sheetId="16" r:id="rId20"/>
    <sheet state="visible" name="💰 REVENUS" sheetId="17" r:id="rId21"/>
    <sheet state="visible" name="🏠 MAISON 2030+" sheetId="18" r:id="rId22"/>
    <sheet state="visible" name="📈 PROJECTION FI" sheetId="19" r:id="rId23"/>
    <sheet state="visible" name="📓 HISTORIQUE" sheetId="20" r:id="rId24"/>
    <sheet state="visible" name="🔒 VALIDATION" sheetId="21" r:id="rId25"/>
    <sheet state="visible" name="CONFIG" sheetId="22" r:id="rId26"/>
    <sheet state="visible" name="⚡ SCRIPTS GSHEETS" sheetId="23" r:id="rId27"/>
    <sheet state="visible" name="📚 SOURCES &amp; FIABILITÉ" sheetId="24" r:id="rId28"/>
    <sheet state="visible" name="💪 CORPS &amp; PERFORMANCE" sheetId="25" r:id="rId29"/>
    <sheet state="visible" name="📚 CULTURE &amp; IDÉES" sheetId="26" r:id="rId30"/>
    <sheet state="visible" name="🎯 PROJET DE VIE" sheetId="27" r:id="rId31"/>
    <sheet state="visible" name="🤖 APPRENTISSAGE CLAUDE" sheetId="28" r:id="rId32"/>
    <sheet state="visible" name="📊 WATCHLIST" sheetId="29" r:id="rId33"/>
  </sheets>
  <definedNames>
    <definedName hidden="1" localSheetId="6" name="_xlnm._FilterDatabase">'📋 MON PORTEFEUILLE'!$A$4:$R$43</definedName>
    <definedName hidden="1" localSheetId="11" name="_xlnm._FilterDatabase">'🔍 ANALYSE TRIABLE'!$A$7:$Y$50</definedName>
    <definedName hidden="1" localSheetId="23" name="_xlnm._FilterDatabase">'📚 SOURCES &amp; FIABILITÉ'!$A$5:$P$205</definedName>
  </definedNames>
  <calcPr/>
</workbook>
</file>

<file path=xl/sharedStrings.xml><?xml version="1.0" encoding="utf-8"?>
<sst xmlns="http://schemas.openxmlformats.org/spreadsheetml/2006/main" count="9945" uniqueCount="5646">
  <si>
    <t>🧠  CLAUDE CONTEXT  —  Mémoire de session · Auto-généré · Ne pas modifier manuellement</t>
  </si>
  <si>
    <t>Uploader ce fichier à chaque session → Claude lit ce bloc en premier et reprend le contexte complet instantanément</t>
  </si>
  <si>
    <t>📋  DERNIÈRE SESSION</t>
  </si>
  <si>
    <t>Version fichier</t>
  </si>
  <si>
    <t>v63-S39</t>
  </si>
  <si>
    <t>Mis à jour automatiquement par Claude en fin de session</t>
  </si>
  <si>
    <t>Date session</t>
  </si>
  <si>
    <t>13 mars 2026</t>
  </si>
  <si>
    <t>HNE · Nunavik</t>
  </si>
  <si>
    <t>Prochaine session</t>
  </si>
  <si>
    <t>S36 — xlsx v59 + dashboard v16 + CLAUDE.md + data.json</t>
  </si>
  <si>
    <t>📊  ÉTAT PORTFOLIO · 13 MARS 2026</t>
  </si>
  <si>
    <t>Total CAD</t>
  </si>
  <si>
    <t>~$89,674 CAD (XEQT 100u confirmé · data.json 8h55 +$3,993)</t>
  </si>
  <si>
    <t>ATH: $87,252 · 10 mars 2026</t>
  </si>
  <si>
    <t>P&amp;L ouvert</t>
  </si>
  <si>
    <t>+$13,469 CAD estimé · recalcul S36 avec data.json</t>
  </si>
  <si>
    <t>Coût de base</t>
  </si>
  <si>
    <t>$76,054.68</t>
  </si>
  <si>
    <t>TFSA</t>
  </si>
  <si>
    <t>$68,137</t>
  </si>
  <si>
    <t>Dépôts: $51,500 · P&amp;L +34.37%</t>
  </si>
  <si>
    <t>FHSA</t>
  </si>
  <si>
    <t>$18,772 CAD · XEQT 115u (100 FHSA + 25 TFSA) · VFV 16u FHSA</t>
  </si>
  <si>
    <t>XEQT 100u @$39.93 + VFV 16u · Objectif: $40,000</t>
  </si>
  <si>
    <t>REER</t>
  </si>
  <si>
    <t>$2,765</t>
  </si>
  <si>
    <t>SCHD 64.3053u + JEPI 1u + cash $1.26 CAD</t>
  </si>
  <si>
    <t>USD/CAD</t>
  </si>
  <si>
    <t>1.3702</t>
  </si>
  <si>
    <t>Dynamique — fallback config</t>
  </si>
  <si>
    <t>Positions actives</t>
  </si>
  <si>
    <t>40 — TFSA 26 · FHSA 12 · REER 2</t>
  </si>
  <si>
    <t>TFSA 26 · FHSA 12 · REER 2</t>
  </si>
  <si>
    <t>USD exposition</t>
  </si>
  <si>
    <t>~62%</t>
  </si>
  <si>
    <t>✅ Sous seuil 65%</t>
  </si>
  <si>
    <t>🔴  ACTIONS OUVERTES — PRIORITÉ S36</t>
  </si>
  <si>
    <t>🔴 URGENT</t>
  </si>
  <si>
    <t>EQ Bank HISA — ouvrir compte</t>
  </si>
  <si>
    <t>$0 actuel → cible $15,000 · $1,500/mois automatique</t>
  </si>
  <si>
    <t>Bénéficiaires Questrade</t>
  </si>
  <si>
    <t>TFSA + FHSA + REER sans bénéficiaires · ~$87K non protégé · 5 min</t>
  </si>
  <si>
    <t>Automatiser $5,000/mois</t>
  </si>
  <si>
    <t>Avant 15 avril · REER $2K + FHSA $1K + TFSA $500 + EQ Bank $1.5K</t>
  </si>
  <si>
    <t>🟡 IMPORTANT</t>
  </si>
  <si>
    <t>Post-BdC 18 mars → ZRE+XIC+VDU vers VFV.TO</t>
  </si>
  <si>
    <t>~$1,878 à recycler de T4 vers T1 dans TFSA</t>
  </si>
  <si>
    <t>FHSA T4 trop élevé → recycler vers VFV.TO</t>
  </si>
  <si>
    <t>REI+SRU+XIC+XEI FHSA = $4,752 T4 · compte double exonération = max T1</t>
  </si>
  <si>
    <t>📅 CALENDRIER</t>
  </si>
  <si>
    <t>Verdicts J+30 → 11 avril</t>
  </si>
  <si>
    <t>AVGO · SMH · GEV · SCHD · PLZ.UN · calculer alpha vs VFV.TO</t>
  </si>
  <si>
    <t>✅  ACCOMPLI — S34-S35 · 13 MARS 2026</t>
  </si>
  <si>
    <t>✅ Trade</t>
  </si>
  <si>
    <t>Research marché exhaustif mars 2026 complété (macro Iran/Fed/TSX + top 15 actions + 15 ETFs)</t>
  </si>
  <si>
    <t>TFSA qty=0 confirmé</t>
  </si>
  <si>
    <t>XEQT.TO 100u @$39.93 FHSA exécuté 15:06:55 ET · décision modifiée 50/50 → 100% XEQT suite Research</t>
  </si>
  <si>
    <t>✅ Dashboard</t>
  </si>
  <si>
    <t>portfolio_dashboard_v16.html</t>
  </si>
  <si>
    <t>Tickers cliquables · tri interactif · graphiques Chart.js jouables · 30 factsheets</t>
  </si>
  <si>
    <t>xlsx v63-S39</t>
  </si>
  <si>
    <t>Cerveau multi-piliers · CLAUDE CONTEXT · APPRENTISSAGE · CORPS · CULTURE · PROJET DE VIE</t>
  </si>
  <si>
    <t>✅ Système</t>
  </si>
  <si>
    <t>CLAUDE CONTEXT intégré dans xlsx</t>
  </si>
  <si>
    <t>Onglet auto-généré · 0 upload manuel requis</t>
  </si>
  <si>
    <t>🧠  DÉCISIONS &amp; RAISONNEMENTS CLÉS</t>
  </si>
  <si>
    <t>Plan cotisation</t>
  </si>
  <si>
    <t>$5,000/mois confirmé S16</t>
  </si>
  <si>
    <t>REER $2K + FHSA $1K + TFSA $500 + EQ Bank $1.5K · surplus libre $1,768/mois</t>
  </si>
  <si>
    <t>Snowball REER</t>
  </si>
  <si>
    <t>$2K/mois SCHD → ~$1,060 ARC remboursé</t>
  </si>
  <si>
    <t>52.98% taux marginal Québec · mécanique clé</t>
  </si>
  <si>
    <t>FI objectif</t>
  </si>
  <si>
    <t>$2.1M = plancher · jamais plafond</t>
  </si>
  <si>
    <t>Liberté &amp; optionalité · pas un chiffre fixe</t>
  </si>
  <si>
    <t>Maison 2030+</t>
  </si>
  <si>
    <t>RAP $60K (REER) + FHSA $40K = $100K mise de fonds</t>
  </si>
  <si>
    <t>Solo · timeline révisée de 2028 à 2030+</t>
  </si>
  <si>
    <t>Psychologie</t>
  </si>
  <si>
    <t>Buy-the-dip T1 = conviction forte</t>
  </si>
  <si>
    <t>COVID 2020 ancre · -30%+ = ACHETER PLUS · frein = liquidités + timing</t>
  </si>
  <si>
    <t>⚠️  RÈGLES ABSOLUES — Claude applique sans exception</t>
  </si>
  <si>
    <t>🚫 JAMAIS</t>
  </si>
  <si>
    <t>Vendre T.TO ou MFC.TO dans TFSA</t>
  </si>
  <si>
    <t>Room de contribution perdu à jamais si vendu</t>
  </si>
  <si>
    <t>Recréer le xlsx de zéro</t>
  </si>
  <si>
    <t>Toujours load_workbook — 2133 formules à préserver</t>
  </si>
  <si>
    <t>Modifier xlsx sans autorisation explicite de Hey</t>
  </si>
  <si>
    <t>Demander "go" avant tout code</t>
  </si>
  <si>
    <t>✅ TOUJOURS</t>
  </si>
  <si>
    <t>Vérifier room FHSA avant cotisation</t>
  </si>
  <si>
    <t>Room 2026 restant: ~$13,700</t>
  </si>
  <si>
    <t>Vérifier earnings calendar avant achat T1/T2</t>
  </si>
  <si>
    <t>No-buy META av. 28 avr · AVGO av. 4 juin · NVDA av. 21 mai</t>
  </si>
  <si>
    <t>USD expo ≤65% · IA expo ≤45%</t>
  </si>
  <si>
    <t>Actuellement: USD 44.8% ✅</t>
  </si>
  <si>
    <t>📁  FICHIERS À UPLOADER — S22</t>
  </si>
  <si>
    <t>Fichier 1</t>
  </si>
  <si>
    <t>Portefeuille_2026_v52_S22.xlsx</t>
  </si>
  <si>
    <t>← CE fichier · cerveau principal</t>
  </si>
  <si>
    <t>Fichier 2</t>
  </si>
  <si>
    <t>Dashboard portfolio · auto-save intégré</t>
  </si>
  <si>
    <t>Fichier 3</t>
  </si>
  <si>
    <t>Life OS · auto-save intégré</t>
  </si>
  <si>
    <t>Message</t>
  </si>
  <si>
    <t>S22 — [actions faites depuis S21]</t>
  </si>
  <si>
    <t>Claude reprend le contexte complet instantanément</t>
  </si>
  <si>
    <t>🔧  PRIORITÉ TECH S22 — GITHUB</t>
  </si>
  <si>
    <t>Objectif</t>
  </si>
  <si>
    <t>GitHub comme source de vérité centrale</t>
  </si>
  <si>
    <t>Dashboard HTML sur GitHub Pages · fetch pointe vers repo GitHub</t>
  </si>
  <si>
    <t>Pourquoi</t>
  </si>
  <si>
    <t>Remplace Apps Script Google Sheets</t>
  </si>
  <si>
    <t>Plus stable · accessible partout · pas besoin d'uploader à chaque session</t>
  </si>
  <si>
    <t>État</t>
  </si>
  <si>
    <t>⬜ À configurer S22</t>
  </si>
  <si>
    <t>Étapes : créer repo → push HTML → GitHub Pages → mettre à jour fetch URL</t>
  </si>
  <si>
    <t>🔒  PROTOCOLE FERMETURE SESSION — Règles apprises</t>
  </si>
  <si>
    <t>Règle 1</t>
  </si>
  <si>
    <t>Ne jamais générer CLAUDE CONTEXT avant "c'est bon on ferme"</t>
  </si>
  <si>
    <t>Les derniers échanges contiennent souvent des infos critiques</t>
  </si>
  <si>
    <t>Règle 2</t>
  </si>
  <si>
    <t>Scanner toute la conversation avant de livrer les fichiers finaux</t>
  </si>
  <si>
    <t>Capturer tout ce qui n'est pas encore documenté</t>
  </si>
  <si>
    <t>Règle 3</t>
  </si>
  <si>
    <t>Poser la question de fermeture systématiquement</t>
  </si>
  <si>
    <t>"Il y a quelque chose à intégrer avant qu'on ferme ?"</t>
  </si>
  <si>
    <t>Erreur S21</t>
  </si>
  <si>
    <t>GitHub mentionné → pas intégré dans CLAUDE CONTEXT</t>
  </si>
  <si>
    <t>Corrigé après rappel · ne plus répéter</t>
  </si>
  <si>
    <t>XEQT.TO 100u @$39.93 — $3,993 CAD — FHSA exécuté 15:06:55 ET</t>
  </si>
  <si>
    <t>✅ Analyse</t>
  </si>
  <si>
    <t>Research marché exhaustif mars 2026 — macro Iran/Fed/TSX + top 15 actions + top 15 ETFs</t>
  </si>
  <si>
    <t>✅ Décision</t>
  </si>
  <si>
    <t>100% XEQT vs 50/50 — Research confirme XEQT optimal pour profil déjà 62% USD</t>
  </si>
  <si>
    <t>Domaine | Source | Tier | Score | Statut | Lien/Accès</t>
  </si>
  <si>
    <t>Domaine</t>
  </si>
  <si>
    <t>Source</t>
  </si>
  <si>
    <t>Tier</t>
  </si>
  <si>
    <t>Score</t>
  </si>
  <si>
    <t>Statut</t>
  </si>
  <si>
    <t>Lien/Accès</t>
  </si>
  <si>
    <t>PROCHAIN VERDICT J+30</t>
  </si>
  <si>
    <t>FINANCE</t>
  </si>
  <si>
    <t>SEC EDGAR</t>
  </si>
  <si>
    <t>AAA</t>
  </si>
  <si>
    <t>ACTIF</t>
  </si>
  <si>
    <t>sec.gov</t>
  </si>
  <si>
    <t>Morningstar</t>
  </si>
  <si>
    <t>morningstar.ca</t>
  </si>
  <si>
    <t>Koyfin</t>
  </si>
  <si>
    <t>koyfin.com</t>
  </si>
  <si>
    <t>Bloomberg</t>
  </si>
  <si>
    <t>bloomberg.com</t>
  </si>
  <si>
    <t>Seeking Alpha</t>
  </si>
  <si>
    <t>AA</t>
  </si>
  <si>
    <t>seekingalpha.com</t>
  </si>
  <si>
    <t>ENTRAÎNEMENT</t>
  </si>
  <si>
    <t>Renaissance Periodization</t>
  </si>
  <si>
    <t>renaissanceperiodization.com</t>
  </si>
  <si>
    <t>Stronger by Science</t>
  </si>
  <si>
    <t>strongerbyscience.com</t>
  </si>
  <si>
    <t>Examine.com</t>
  </si>
  <si>
    <t>examine.com</t>
  </si>
  <si>
    <t>PubMed</t>
  </si>
  <si>
    <t>pubmed.ncbi.nlm.nih.gov</t>
  </si>
  <si>
    <t>Juggernaut Training</t>
  </si>
  <si>
    <t>jtsstrength.com</t>
  </si>
  <si>
    <t>PARIS SPORTIFS</t>
  </si>
  <si>
    <t>KenPom</t>
  </si>
  <si>
    <t>kenpom.com</t>
  </si>
  <si>
    <t>Pinnacle</t>
  </si>
  <si>
    <t>pinnacle.com</t>
  </si>
  <si>
    <t>Evolving Hockey</t>
  </si>
  <si>
    <t>evolving-hockey.com</t>
  </si>
  <si>
    <t>Football Outsiders</t>
  </si>
  <si>
    <t>ftnfantasy.com</t>
  </si>
  <si>
    <t>Action Network</t>
  </si>
  <si>
    <t>actionnetwork.com</t>
  </si>
  <si>
    <t>SANTÉ</t>
  </si>
  <si>
    <t>Peter Attia (The Drive)</t>
  </si>
  <si>
    <t>peterattiamd.com</t>
  </si>
  <si>
    <t>Cleveland Clinic</t>
  </si>
  <si>
    <t>my.clevelandclinic.org</t>
  </si>
  <si>
    <t>Mayo Clinic</t>
  </si>
  <si>
    <t>mayoclinic.org</t>
  </si>
  <si>
    <t>Cochrane Review</t>
  </si>
  <si>
    <t>cochranelibrary.com</t>
  </si>
  <si>
    <t>NIH</t>
  </si>
  <si>
    <t>nih.gov</t>
  </si>
  <si>
    <t>NHL</t>
  </si>
  <si>
    <t>CapFriendly</t>
  </si>
  <si>
    <t>capfriendly.com</t>
  </si>
  <si>
    <t>HockeyViz</t>
  </si>
  <si>
    <t>hockeyviz.com</t>
  </si>
  <si>
    <t>EliteProspects</t>
  </si>
  <si>
    <t>eliteprospects.com</t>
  </si>
  <si>
    <t>PuckPedia</t>
  </si>
  <si>
    <t>puckpedia.com</t>
  </si>
  <si>
    <t>CINÉMA/SÉRIES</t>
  </si>
  <si>
    <t>Criterion Collection</t>
  </si>
  <si>
    <t>criterion.com</t>
  </si>
  <si>
    <t>Sight &amp; Sound</t>
  </si>
  <si>
    <t>bfi.org.uk</t>
  </si>
  <si>
    <t>MUBI</t>
  </si>
  <si>
    <t>mubi.com</t>
  </si>
  <si>
    <t>Letterboxd (Top)</t>
  </si>
  <si>
    <t>letterboxd.com</t>
  </si>
  <si>
    <t>Metacritic</t>
  </si>
  <si>
    <t>metacritic.com</t>
  </si>
  <si>
    <t>VOYAGES</t>
  </si>
  <si>
    <t>Michelin Green Guide</t>
  </si>
  <si>
    <t>viamichelin.com</t>
  </si>
  <si>
    <t>Atlas Obscura</t>
  </si>
  <si>
    <t>atlasobscura.com</t>
  </si>
  <si>
    <t>Monocle Travel</t>
  </si>
  <si>
    <t>monocle.com</t>
  </si>
  <si>
    <t>Condé Nast</t>
  </si>
  <si>
    <t>cntraveler.com</t>
  </si>
  <si>
    <t>Wallpaper*</t>
  </si>
  <si>
    <t>wallpaper.com</t>
  </si>
  <si>
    <t>RESTO (MTL)</t>
  </si>
  <si>
    <t>La Presse (Critiques)</t>
  </si>
  <si>
    <t>lapresse.ca</t>
  </si>
  <si>
    <t>Le Devoir</t>
  </si>
  <si>
    <t>ledevoir.com</t>
  </si>
  <si>
    <t>Eater MTL</t>
  </si>
  <si>
    <t>montreal.eater.com</t>
  </si>
  <si>
    <t>Guide Michelin</t>
  </si>
  <si>
    <t>guide.michelin.com</t>
  </si>
  <si>
    <t>Chowhound (Archiv.)</t>
  </si>
  <si>
    <t>A</t>
  </si>
  <si>
    <t>chowhound.com</t>
  </si>
  <si>
    <t>LIVRES</t>
  </si>
  <si>
    <t>Harvard Classics</t>
  </si>
  <si>
    <t>harvardclassics.com</t>
  </si>
  <si>
    <t>Modern Library</t>
  </si>
  <si>
    <t>modernlibrary.com</t>
  </si>
  <si>
    <t>Project Gutenberg</t>
  </si>
  <si>
    <t>gutenberg.org</t>
  </si>
  <si>
    <t>Paris Review</t>
  </si>
  <si>
    <t>theparisreview.org</t>
  </si>
  <si>
    <t>Goodreads</t>
  </si>
  <si>
    <t>Domaine	Source	Tier	Score	Densité
CORPS	Journal of Strength &amp; Cond. Res.	AAA	90	Expansion
CORPS	Alan Aragon Research Review	AAA	90	Expansion
CORPS	MASS (Stronger by Science)	AAA	90	Expansion
CORPS	Examine.com	AAA	90	Expansion
CORPS	Precision Nutrition	AAA	90	Expansion
CORPS	Huberman Lab	AA	85	Expansion
CORPS	Peter Attia (The Drive)	AAA	90	Expansion
CORPS	Renaissance Periodization	AAA	90	Expansion
CORPS	Juggernaut Training Systems	AA	85	Expansion
CORPS	EliteFTS	AA	85	Expansion
CORPS	Starting Strength	AA	85	Expansion
CORPS	BarBend	A	80	Expansion
CORPS	Breaking Muscle	A	80	Expansion
CORPS	FRC (Functional Range Cond.)	AA	85	Expansion
CORPS	BJJ Heroes	A	80	Expansion
CORPS	Grappling Insider	A	80	Expansion
CORPS	Chewjitsu	A	80	Expansion
CORPS	FloGrappling	A	80	Expansion
CORPS	Sleep Foundation	AAA	90	Expansion
CORPS	Sports Medicine Journal	AAA	90	Expansion
CORPS	PubMed	AAA	90	Expansion
CORPS	Yoga Journal	A	80	Expansion
CORPS	Human Kinetics	AA	85	Expansion
CORPS	NSCA Journal	AAA	90	Expansion
CORPS	Science of Sport	AA	85	Expansion
MAISON	Harvard Business Review	AAA	90	Expansion
MAISON	Atomic Habits (James Clear)	AA	85	Expansion
MAISON	Deep Work (Cal Newport)	AA	85	Expansion
MAISON	The Almanack of Naval Ravikant	AAA	90	Expansion
MAISON	BiggerPockets	AA	85	Expansion
MAISON	Canadian Real Estate Wealth	AA	85	Expansion
MAISON	Statistique Canada (Logement)	AAA	90	Expansion
MAISON	RateHub.ca	AA	85	Expansion
MAISON	CMHC (Rapports Marché)	AAA	90	Expansion
MAISON	Better Dwelling	AA	85	Expansion
MAISON	ArchDaily	A	80	Expansion
MAISON	Apartment Therapy	A	80	Expansion
MAISON	House &amp; Home Canada	A	80	Expansion
MAISON	Todoist Productivity Blog	A	80	Expansion
MAISON	Obsidian Forum (PKM)	AA	85	Expansion
MAISON	Notion Academy	A	80	Expansion
MAISON	The Minimalists	A	80	Expansion
MAISON	Wait But Why	AA	85	Expansion
MAISON	Seth Godin (Marketing/Strat)	AAA	90	Expansion
MAISON	Deepstash	A	80	Expansion
MAISON	Lifehacker (Performance)	A	80	Expansion
MAISON	Medium (Productivité)	A	80	Expansion
MAISON	Building a Second Brain (Forte)	AA	85	Expansion
MAISON	Goodreads (Non-Fiction)	A	80	Expansion
MAISON	Fast Company	AA	85	Expansion
CULTURE	Foreign Affairs	AAA	95	Expansion
CULTURE	Longform.org	AAA	90	Expansion
CULTURE	The New Yorker	AA	85	Expansion
CULTURE	Aeon Magazine	AA	85	Expansion
CULTURE	The Atlantic	AA	85	Expansion
CULTURE	The Paris Review	AA	85	Expansion
CULTURE	Hardcore History (Dan Carlin)	AAA	90	Expansion
CULTURE	Smithsonian Magazine	AA	85	Expansion
CULTURE	JSTOR (Archive)	AAA	90	Expansion
CULTURE	The School of Life	AA	85	Expansion
CULTURE	Psychology Today	AA	85	Expansion
CULTURE	Greater Good Science Center	AA	85	Expansion
CULTURE	Criterion Collection (Cinéma)	AA	85	Expansion
CULTURE	Sight &amp; Sound	AA	85	Expansion
CULTURE	MUBI	A	80	Expansion
CULTURE	Letterboxd	A	80	Expansion
CULTURE	Ars Technica	AA	85	Expansion
CULTURE	Polygon (Culture)	A	80	Expansion
CULTURE	Kotaku (Gaming Analysis)	A	80	Expansion
CULTURE	History.com	AA	85	Expansion
CULTURE	Nautilus	AA	85	Expansion
CULTURE	The Marginalian	AAA	90	Expansion
CULTURE	Lapham's Quarterly	AA	85	Expansion
CULTURE	Philosophie Magazine	AA	85	Expansion
CULTURE	The Economist (Culture)	AAA	90	Expansion
TECH/SYS	Stratechery (Ben Thompson)	AAA	95	Expansion
TECH/SYS	SemiAnalysis (Dylan Patel)	AAA	95	Expansion
TECH/SYS	The Information	AA	90	Expansion
TECH/SYS	NVIDIA Investor Relations	AAA	95	Expansion
TECH/SYS	GitHub Documentation	AAA	90	Expansion
TECH/SYS	Claude.ai Changelogs	AAA	95	Expansion
TECH/SYS	Zapier Automation Blog	AA	85	Expansion
TECH/SYS	Make.com Academy	AA	85	Expansion
TECH/SYS	Reddit (r/selfhosted)	A	80	Expansion
TECH/SYS	Reddit (r/automation)	A	80	Expansion
TECH/SYS	TechCrunch	AA	85	Expansion
TECH/SYS	Wired	AA	85	Expansion
TECH/SYS	Stack Overflow	AAA	90	Expansion
TECH/SYS	Google Apps Script Docs	AAA	90	Expansion
TECH/SYS	AlphaSignal	AAA	90	Expansion
TECH/SYS	TLDR Tech	AA	85	Expansion
TECH/SYS	MIT Tech Review	AAA	90	Expansion
TECH/SYS	Hacker News	AAA	90	Expansion
TECH/SYS	Product Hunt	A	80	Expansion
TECH/SYS	Docker Documentation	AA	85	Expansion
TECH/SYS	Python Documentation	AAA	90	Expansion
TECH/SYS	VS Code Docs	AA	85	Expansion
TECH/SYS	Webflow University	AA	85	Expansion
TECH/SYS	Claude.ai API Docs	AAA	95</t>
  </si>
  <si>
    <t>"Note : Ce tableau est la base de mon S&amp;P 200 par domaine. Chaque source est classée par Tier (AAA = Preuve scientifique/institutionnelle). Je demande une mise à jour trimestrielle du 'Score' basé sur la performance réelle de mes décisions."</t>
  </si>
  <si>
    <t>🚀  DÉMARRAGE CLAUDE  ·  Portefeuille FI 2026  ·  v63-S39  ·  13 mars 2026  ·  Glisser ce fichier → Session démarre automatiquement</t>
  </si>
  <si>
    <t>🚀  DÉMARRAGE CLAUDE  ·  Portefeuille FI 2026  ·  v63-S39  ·  13 mars 2026</t>
  </si>
  <si>
    <t>"Lis du haut vers le bas → web search → ta 1ʳᵉ réponse = les 3 points les plus importants. Zéro question de contexte."</t>
  </si>
  <si>
    <t>📊  SNAPSHOT PORTFOLIO  ·  Soir 13 mars 2026  ·  Source: Questrade confirmé</t>
  </si>
  <si>
    <t>COMPTE</t>
  </si>
  <si>
    <t>VALEUR CAD</t>
  </si>
  <si>
    <t>P&amp;L $</t>
  </si>
  <si>
    <t>P&amp;L %</t>
  </si>
  <si>
    <t>INVESTI</t>
  </si>
  <si>
    <t>ACTIONS URGENTES</t>
  </si>
  <si>
    <t>TFSA 📈</t>
  </si>
  <si>
    <t>VFV.TO $1,000/mois · room $13,700 restant</t>
  </si>
  <si>
    <t>FHSA 🏠</t>
  </si>
  <si>
    <t>SCHD ✅ 64.3053u · +$1,060/mois ARC · Prochain: $2,000 le 12 mars</t>
  </si>
  <si>
    <t>REER ❄️</t>
  </si>
  <si>
    <t>✅ SCHD $2,000 REER exécuté · 64.3053u @ $30.80</t>
  </si>
  <si>
    <t>▼ TOTAL</t>
  </si>
  <si>
    <t>📊 Ref YTD</t>
  </si>
  <si>
    <t>$74,290 CAD (est. 1 jan 2026)</t>
  </si>
  <si>
    <t>VFV YTD: -1.57%</t>
  </si>
  <si>
    <t>Alpha: ⬜ Calculer</t>
  </si>
  <si>
    <t>📈 Perf 1 an</t>
  </si>
  <si>
    <t>🚨  ACTIONS URGENTES  ·  Coût d'inaction réel chaque jour</t>
  </si>
  <si>
    <t>#</t>
  </si>
  <si>
    <t>ACTION</t>
  </si>
  <si>
    <t>ÉCHÉANCE</t>
  </si>
  <si>
    <t>STATUT</t>
  </si>
  <si>
    <t>✅ FAIT — SCHD $2,000 REER exécuté 12 mars · 64.3053u confirmés</t>
  </si>
  <si>
    <t>SCHD $2,000 REER → 12 mars 9h30 HNE</t>
  </si>
  <si>
    <t>+$1,060/mois ARC (52.98%×$2K)</t>
  </si>
  <si>
    <t>12 mars AM</t>
  </si>
  <si>
    <t>✅ EXÉCUTÉ — 64.3053u confirmé Questrade</t>
  </si>
  <si>
    <t>🟡 EN COURS — Ouvrir EQ Bank + virer $1,500 dès prochaine paie cette semaine</t>
  </si>
  <si>
    <t>10 mois → $15,000 atteint · AVANT Questrade dès que paie rentre</t>
  </si>
  <si>
    <t>Risque opérationnel éliminé</t>
  </si>
  <si>
    <t>ASAP</t>
  </si>
  <si>
    <t>PAS OUVERT</t>
  </si>
  <si>
    <t>🟡3</t>
  </si>
  <si>
    <t>ZRE+XIC+VDU TFSA ~$1,878 → T1</t>
  </si>
  <si>
    <t>~$1,878 T4→T1 + exposition IA+</t>
  </si>
  <si>
    <t>Post-BdC 18 mars</t>
  </si>
  <si>
    <t>EN ATTENTE</t>
  </si>
  <si>
    <t>📅5</t>
  </si>
  <si>
    <t>Calendrier macro + earnings</t>
  </si>
  <si>
    <t>⚡  PROTOCOLE SESSION  ·  Dans l'ordre · 10 minutes max · voir Section 11 pour détail</t>
  </si>
  <si>
    <t>🔥 1</t>
  </si>
  <si>
    <t>Aspects #1+#2 uploadés · #3 taux USD/CAD → CONFIG!B3 · #4 trades faits</t>
  </si>
  <si>
    <t>CRITIQUE · Section 14 pour guide uploads</t>
  </si>
  <si>
    <t>🔥 2</t>
  </si>
  <si>
    <t>VALIDATION → ÉTAT GLOBAL = 🟢 · si 🔴 → corriger avant de continuer</t>
  </si>
  <si>
    <t>2 min max</t>
  </si>
  <si>
    <t>🔥 3</t>
  </si>
  <si>
    <t>Snapshot → #5 cash · #6 cotisations YTD · #12 pending session précédente</t>
  </si>
  <si>
    <t>Confirmer positions + buying power</t>
  </si>
  <si>
    <t>⭐ 4</t>
  </si>
  <si>
    <t>Dire: #8 intention · #9 trades envisagés · #13 calendrier · #14 dividendes</t>
  </si>
  <si>
    <t>3 phrases · voir template Section 11</t>
  </si>
  <si>
    <t>⭐ 5</t>
  </si>
  <si>
    <t>Claude applique: #7 macro (web search auto) · #11 benchmark · R1→R13</t>
  </si>
  <si>
    <t>Automatique · aucune action</t>
  </si>
  <si>
    <t>🎯  PLAN D'EXÉCUTION IMMÉDIAT  ·  3 actions · Chaque jour de retard = argent perdu</t>
  </si>
  <si>
    <t>🔴 ACTION #1 — SCHD $2,000 REER  ·  DEMAIN 12 mars · 9h30 HNE pile à l'ouverture</t>
  </si>
  <si>
    <t>ÉTAPE</t>
  </si>
  <si>
    <t>Ouvrir Questrade → REER #52924767 → Acheter SCHD</t>
  </si>
  <si>
    <t>MONTANT</t>
  </si>
  <si>
    <t>$2,000 CAD ordre → ~$1,475 USD au taux ~1.3559</t>
  </si>
  <si>
    <t>ORDRE</t>
  </si>
  <si>
    <t>IMPACT IMMÉDIAT</t>
  </si>
  <si>
    <t>+$1,060/mois ARC (remboursé en ~6 semaines après déclaration)</t>
  </si>
  <si>
    <t>COÛT INACTION</t>
  </si>
  <si>
    <t>APRÈS</t>
  </si>
  <si>
    <t>MAJ CONFIG!B34 (REER YTD: 0→2000) + noter dans JOURNAL DÉCISIONS</t>
  </si>
  <si>
    <t>🔴 ACTION #2 — EQ Bank HISA $15,000  ·  Cette semaine · ~20 min en ligne</t>
  </si>
  <si>
    <t>SITE</t>
  </si>
  <si>
    <t>eqbank.ca → Ouvrir un compte épargne → taux ~4.0% (confirmer live)</t>
  </si>
  <si>
    <t>VIREMENT</t>
  </si>
  <si>
    <t>RÔLE</t>
  </si>
  <si>
    <t>Fonds urgence exclusivement · ne pas investir · ne pas toucher</t>
  </si>
  <si>
    <t>POURQUOI</t>
  </si>
  <si>
    <t>Risque opérationnel #1 — si urgence médicale/équipement/voiture = zéro stress</t>
  </si>
  <si>
    <t>RENDEMENT</t>
  </si>
  <si>
    <t>MAJ CONFIG!B25 (HISA → $15,000) + mettre à jour ALERTES section fonds urgence</t>
  </si>
  <si>
    <t>📅 ACTION #3 — Verdicts J+30  ·  11 avril 2026 · Mettre une alarme maintenant</t>
  </si>
  <si>
    <t>DATE EXACTE</t>
  </si>
  <si>
    <t>11 avril 2026 — mettre alarme téléphone MAINTENANT</t>
  </si>
  <si>
    <t>DURÉE</t>
  </si>
  <si>
    <t>~30 min · ouvrir Questrade · noter prix de chaque ticker du 11 mars</t>
  </si>
  <si>
    <t>FICHIER</t>
  </si>
  <si>
    <t>Onglet 📓 JOURNAL DÉCISIONS → Section "PRÉPARATION VERDICTS J+30"</t>
  </si>
  <si>
    <t>BENCHMARK</t>
  </si>
  <si>
    <t>En même temps: noter valeur portfolio totale → calculer alpha vs VFV.TO</t>
  </si>
  <si>
    <t>OBJECTIF</t>
  </si>
  <si>
    <t>CONFIG REF</t>
  </si>
  <si>
    <t>Objectif FI</t>
  </si>
  <si>
    <t>$2.1M+ · liberté = optionalité · pas de cible fixe · maximiser</t>
  </si>
  <si>
    <t>Liquidités</t>
  </si>
  <si>
    <t>Arrivent mi-mois · pas début de mois · contrainte réelle</t>
  </si>
  <si>
    <t>🔍  WEB SEARCH AUTOMATIQUE  ·  Faire AVANT de répondre — analyse partielle = invalide</t>
  </si>
  <si>
    <t>Macro</t>
  </si>
  <si>
    <t>S&amp;P 500 · TSX · VIX · news tarifs US/CA · BdC si &lt;7 jours avant annonce</t>
  </si>
  <si>
    <t>T1 prix</t>
  </si>
  <si>
    <t>AVGO · SMH · VFV.TO · GEV · GOOG · META · AMZN · ENB.TO · SCHD — live</t>
  </si>
  <si>
    <t>Dips &gt;5%</t>
  </si>
  <si>
    <t>T1 ou T2 en dip vs dernière session → opportunité DCA accélérée</t>
  </si>
  <si>
    <t>Earnings</t>
  </si>
  <si>
    <t>Calendrier 30 prochains jours · no-buy zone -7j avant earnings T1/T2</t>
  </si>
  <si>
    <t>⚙️  RÈGLES AUTOMATIQUES CLAUDE  ·  Sans exception à chaque session</t>
  </si>
  <si>
    <t>RÈGLE</t>
  </si>
  <si>
    <t>DESCRIPTION</t>
  </si>
  <si>
    <t>😈 Devil's advocate</t>
  </si>
  <si>
    <t>Contre-argument AVANT toute validation · jamais valider immédiatement</t>
  </si>
  <si>
    <t>🔍 Web search</t>
  </si>
  <si>
    <t>Recherche COMPLÈTE avant toute recommandation · prix live + news + macro</t>
  </si>
  <si>
    <t>💱 USD/CAD ≤ 65%</t>
  </si>
  <si>
    <t>🤖 IA ≤ 45%</t>
  </si>
  <si>
    <t>💰 Coût opportunité</t>
  </si>
  <si>
    <t>Chiffrer le coût de chaque dollar non optimisé en CAD réel</t>
  </si>
  <si>
    <t>🏠 Room FHSA</t>
  </si>
  <si>
    <t>📅 Earnings calendar</t>
  </si>
  <si>
    <t>🕐 Fuseau HNE</t>
  </si>
  <si>
    <t>💾 MAJ 3 fichiers</t>
  </si>
  <si>
    <t>📊  CRITÈRES DE CHANGEMENT DE TIER  ·  Objectifs · Pas subjectifs</t>
  </si>
  <si>
    <t>T2/T3 → T4</t>
  </si>
  <si>
    <t>T4 → vente</t>
  </si>
  <si>
    <t>En gain &gt;5% · ET meilleure utilisation du capital identifiée en T1 · ET pas de conséquence fiscale TFSA room</t>
  </si>
  <si>
    <t>📚  LEÇONS APPRISES  ·  Auto-learning · Ne jamais répéter la même erreur deux fois</t>
  </si>
  <si>
    <t>L9 FHSA T4=36%</t>
  </si>
  <si>
    <t>FHSA contient 36% de T4 (REI+SRU+XIC+XEI) — compte à double exonération doit être maxT1. Recycler vers VFV.TO. ~+$330/an rendement additionnel.</t>
  </si>
  <si>
    <t>L10 $2.1M nominal</t>
  </si>
  <si>
    <t>Cible FI $2.1M = dollars nominaux 2043. En pouvoir d'achat 2026 = ~$1.37M. Décision: garder $2.1M comme plancher mais avoir conscience de l'inflation.</t>
  </si>
  <si>
    <t>L11 Bénéficiaires</t>
  </si>
  <si>
    <t>3 comptes Questrade (~$87K) sans bénéficiaires désignés. Action: Questrade → Mon compte → Bénéficiaires. 5 minutes. URGENT.</t>
  </si>
  <si>
    <t>L12 Pre-commit</t>
  </si>
  <si>
    <t>SCHD 12 mars (pré-commité) = zéro hésitation. AVGO 11 mars (non pré-commité) = 2 jours hésitation. Solution: décider le soir, exécuter à l'ouverture.</t>
  </si>
  <si>
    <t>L13 Score santé statique</t>
  </si>
  <si>
    <t>Score santé /100 dans ALERTES = formules GOOGLEFINANCE qui ne fonctionnent pas en Excel. Solution: valeurs statiques mises à jour manuellement. Actuel: 68/100.</t>
  </si>
  <si>
    <t>L5 Analyse partielle</t>
  </si>
  <si>
    <t>🔄  FLOW S21 — AMÉLIORATIONS APPLIQUÉES  ·  12 mars 2026</t>
  </si>
  <si>
    <t>✅ 1</t>
  </si>
  <si>
    <t>🧠 RAISONNEMENTS</t>
  </si>
  <si>
    <t>Nouvel onglet — biais documentés, journal psychologique, patterns récurrents, règles PSY</t>
  </si>
  <si>
    <t>✅ 2</t>
  </si>
  <si>
    <t>📊 ANALYSE TITRES</t>
  </si>
  <si>
    <t>9 T1 scorecardés avec données réelles — VFV/AVBO/SMH/GOOG/AMZN/META/GEV/ENB/SCHD</t>
  </si>
  <si>
    <t>✅ 3</t>
  </si>
  <si>
    <t>📈 PROJECTION FI</t>
  </si>
  <si>
    <t>4e scénario contributions croissantes ($5K→$7K/mois avec ancienneté)</t>
  </si>
  <si>
    <t>✅ 4</t>
  </si>
  <si>
    <t>❄️ FISCAL</t>
  </si>
  <si>
    <t>Optimisation fiscale 2026 — revenu imposable $100K après REER+FHSA · FTQ 2027 éligible</t>
  </si>
  <si>
    <t>✅ 5</t>
  </si>
  <si>
    <t>🚨 ALERTES</t>
  </si>
  <si>
    <t>Alerte FHSA T4=36% ajoutée · Score santé 68/100 statique</t>
  </si>
  <si>
    <t>✅ 6</t>
  </si>
  <si>
    <t>💰 REVENUS</t>
  </si>
  <si>
    <t>Dividendes reçus YTD 2026 renseignés · ~$173 CAD + ~$47 USD Q1</t>
  </si>
  <si>
    <t>✅ 7</t>
  </si>
  <si>
    <t>🚀 DÉMARRAGE</t>
  </si>
  <si>
    <t>Leçons S20 (L9→L13) ajoutées · Version v63-S39</t>
  </si>
  <si>
    <t>✅ 8</t>
  </si>
  <si>
    <t>Dashboard v5</t>
  </si>
  <si>
    <t>Vue santé par compte · Crash simulator · Verdicts J+30 analytiques · Âge dynamique</t>
  </si>
  <si>
    <t>"analyse TICKER"</t>
  </si>
  <si>
    <t>"maison 2030"</t>
  </si>
  <si>
    <t>📝  LOG DES SESSIONS  ·  Historique · Mettre à jour fin de chaque session</t>
  </si>
  <si>
    <t>S5-6 — 13 mars 2026</t>
  </si>
  <si>
    <t>REER DÉBLOQUÉ · Profil AGRESSIF confirmé · Maison 2030+ · Philosophie FI clarifiée</t>
  </si>
  <si>
    <t>S7-S10</t>
  </si>
  <si>
    <t>13 mars 2026 (sessions intensives)</t>
  </si>
  <si>
    <t>GRANDE ROTATION T4→T1 · 8 trades 11 mars ($18K rédeployés) · PLZ/REI vendus → AVGO/GEV/SMH · BENCHMARK ajouté · VERDICTS J+30 préparés · 5 fixes onglets critiques</t>
  </si>
  <si>
    <t>S11</t>
  </si>
  <si>
    <t>13 mars 2026 soir</t>
  </si>
  <si>
    <t>15 aspects couverts · Guide dump Questrade · Template session V2 · Formule buying power USD · CONFIG ÉTENDUE complète · 17 règles · Score session S10=8.5/10</t>
  </si>
  <si>
    <t>S12 →</t>
  </si>
  <si>
    <t>PROCHAINE SESSION</t>
  </si>
  <si>
    <t>Actions: ① SCHD $2,000 exécuté? ② EQ Bank ouvert? ③ ZRE+XIC+VDU post-BdC 18 mars ④ Verdicts J+30 (11 avr) ⑤ MAJ benchmark YTD</t>
  </si>
  <si>
    <t>⚡  SEUILS DÉCLENCHEURS — Conditions objectives avant d'utiliser une commande</t>
  </si>
  <si>
    <t>"simulation crash"</t>
  </si>
  <si>
    <t>"analyse macro"</t>
  </si>
  <si>
    <t>"northstar"</t>
  </si>
  <si>
    <t>"snowball fiscal"</t>
  </si>
  <si>
    <t>"rapport session"</t>
  </si>
  <si>
    <t>⚡  SECTION 11 — PROTOCOLE DÉBUT SESSION  ·  Étapes dans l'ordre</t>
  </si>
  <si>
    <t>📋  CHECKLIST UPLOADS &amp; CONTEXTE  ·  15 aspects pour une session optimale  ·  Cocher avant de commencer</t>
  </si>
  <si>
    <t>ASPECT</t>
  </si>
  <si>
    <t>TYPE</t>
  </si>
  <si>
    <t>UPLOAD / ACTION</t>
  </si>
  <si>
    <t>1</t>
  </si>
  <si>
    <t>⬜</t>
  </si>
  <si>
    <t>2</t>
  </si>
  <si>
    <t>Dump Questrade (PDF ou CSV)</t>
  </si>
  <si>
    <t>📎 UPLOAD</t>
  </si>
  <si>
    <t>3</t>
  </si>
  <si>
    <t>4</t>
  </si>
  <si>
    <t>Trades depuis dernière session</t>
  </si>
  <si>
    <t>✍️ DIRE</t>
  </si>
  <si>
    <t>Lister achats/ventes/dépôts faits</t>
  </si>
  <si>
    <t>5</t>
  </si>
  <si>
    <t>Cash dispo par compte</t>
  </si>
  <si>
    <t>📊 AUTO</t>
  </si>
  <si>
    <t>Questrade → voir cash · MAJ CONFIG B37/38/39</t>
  </si>
  <si>
    <t>6</t>
  </si>
  <si>
    <t>7</t>
  </si>
  <si>
    <t>Contexte macro du jour</t>
  </si>
  <si>
    <t>🌐 WEB</t>
  </si>
  <si>
    <t>Claude fait web search auto (Règle R2)</t>
  </si>
  <si>
    <t>8</t>
  </si>
  <si>
    <t>Intention de la session</t>
  </si>
  <si>
    <t>"Je veux faire X · budget Y · temps Z"</t>
  </si>
  <si>
    <t>9</t>
  </si>
  <si>
    <t>10</t>
  </si>
  <si>
    <t>Contexte drawdown/rally</t>
  </si>
  <si>
    <t>"Le marché est en dip de X% / rally"</t>
  </si>
  <si>
    <t>11</t>
  </si>
  <si>
    <t>12</t>
  </si>
  <si>
    <t>Pending de la session précédente</t>
  </si>
  <si>
    <t>13</t>
  </si>
  <si>
    <t>14</t>
  </si>
  <si>
    <t>15</t>
  </si>
  <si>
    <t>Changements de vie/profil</t>
  </si>
  <si>
    <t xml:space="preserve"> Rien si aucun changement · ou dire si changement</t>
  </si>
  <si>
    <t>Stratégie sur profil périmé</t>
  </si>
  <si>
    <t>🔴 ASPECTS 1-6 = OBLIGATOIRES avant analyse  ·  🟡 ASPECTS 7-11 = AUTOMATIQUES (Claude fait lui-même)  ·  🟢 ASPECTS 12-15 = OPTIONNELS mais accélèrent la session</t>
  </si>
  <si>
    <t>💬  FORMAT MESSAGE IDÉAL POUR DÉMARRER UNE SESSION (copier-coller)</t>
  </si>
  <si>
    <t>📌 Session du [DATE]
• Trades depuis S10: [ex: exécuté SCHD $2,000 REER ce matin · rien d'autre]
• Cash Questrade: TFSA $XXX · FHSA $XX · REER $XX
• Taux USD/CAD: [ex: 1.3540]
• Cotisé YTD: FHSA $XX,XXX · REER $X,XXX
• Intention: [ex: analyser opportunités post-BdC 18 mars · vendre ZRE→AVGO?]
• Budget dispo: [ex: paie reçue $3,500 / aucun cash additionnel]
• Dispo: [ex: 1h / 3h / mission 3 semaines]
• Dividendes reçus: [ex: ENB $16.20 · XEI $4.60 · ou: aucun]
• Changements vie: [ex: aucun · ou: situation X a changé]
→ Uploads joints: Wallet v36 ✅ / Questrade dump ✅</t>
  </si>
  <si>
    <t>📋  TEMPLATE COMPLET V2 — Copier-coller dans Claude.ai · Couvrir les 15 aspects en 1 message</t>
  </si>
  <si>
    <t>🔵 OBLIGATOIRE (aspects #1-6)</t>
  </si>
  <si>
    <t>📌 Session du [DATE] — Fichier Wallet v36 S[N] uploadé ✅</t>
  </si>
  <si>
    <t>💱 USD/CAD aujourd'hui: [X.XXXX] → MAJ CONFIG!B3</t>
  </si>
  <si>
    <t>📊 Dump Questrade: TFSA $[X] · FHSA $[X] · REER $[X] · Cash: T=$[X] F=$[X] R=$[X]</t>
  </si>
  <si>
    <t>🔄 Trades depuis S[N]: [ex: SCHD $2,000 REER exécuté 12 mars · ou: aucun]</t>
  </si>
  <si>
    <t>💰 Cotisations YTD: FHSA $[X] · REER $[X]</t>
  </si>
  <si>
    <t>🟡 CONTEXTE (aspects #7-10)</t>
  </si>
  <si>
    <t>📰 Macro: [ex: S&amp;P500 YTD -1.5% · TSX +1% · VIX 22 · tarifs actifs · BdC 18 mars statu quo]</t>
  </si>
  <si>
    <t>📉 Marché: [ex: NORMAL / DIP -5% S&amp;P500 / RALLY / CORRECTIF]</t>
  </si>
  <si>
    <t>🎯 Objectif session: [ex: exécuter ZRE→AVGO / revoir stratégie / préparer impôts]</t>
  </si>
  <si>
    <t>💸 Trades envisagés: [ex: vendre ZRE 19u TFSA → acheter AVGO ~$1,800 / ou: aucun]</t>
  </si>
  <si>
    <t>🟢 OPTIONNEL (aspects #11-15)</t>
  </si>
  <si>
    <t>📅 Calendrier 30j: [ex: paie 18 mars · mission 2 sem dès 20 mars · revenus réduits]</t>
  </si>
  <si>
    <t>💵 Dividendes reçus: [ex: ENB $16.20 TFSA reçu 15 mars · ou: aucun depuis dernière session]</t>
  </si>
  <si>
    <t>🔔 Changements profil: [ex: aucun / ou: tolérance risque réduite / achat voiture prévu]</t>
  </si>
  <si>
    <t>⚡ RÉSULTAT ATTENDU: Claude démarre en &lt; 2 min · 0 question · analyse directe ✅</t>
  </si>
  <si>
    <t>🧠  PROFIL INVESTISSEUR  ·  Lire si nouvelle session ou doute sur stratégie</t>
  </si>
  <si>
    <t>→ Tab 🧠 PROFIL : profil risque · stress-test · inflation réelle · patrimoine net · règles personnelles</t>
  </si>
  <si>
    <t>🌙  CONTEXTE SESSION SUIVANTE  ·  12 mars 2026  ·  Lire en premier</t>
  </si>
  <si>
    <t>📋  RÉSUMÉ SESSION 11 MARS — S14  ·  Ce qui a été accompli</t>
  </si>
  <si>
    <t>✅</t>
  </si>
  <si>
    <t>PLZ.UN vendu</t>
  </si>
  <si>
    <t>961u × $4.26 = $4,094 CAD réalisé · T4 éliminé</t>
  </si>
  <si>
    <t>SCHD confirmé REER</t>
  </si>
  <si>
    <t>64.3053u · position snowball établie</t>
  </si>
  <si>
    <t>USD/CAD CONFIG</t>
  </si>
  <si>
    <t>Formule GOOGLEFINANCE dynamique (fallback 1.3559)</t>
  </si>
  <si>
    <t>XEI FHSA corrigé</t>
  </si>
  <si>
    <t>$32.6111 CAD (était $35.51) · dump Questrade</t>
  </si>
  <si>
    <t>PROJECTION FI dual-scénar</t>
  </si>
  <si>
    <t>A=maison 2030 (âge 58) · B=sans maison (âge 51) · écart 7 ans</t>
  </si>
  <si>
    <t>PROFIL INVESTISSEUR créé</t>
  </si>
  <si>
    <t>7 sections · risque · stress-test · inflation · règles</t>
  </si>
  <si>
    <t>Revenu net réel calculé</t>
  </si>
  <si>
    <t>$2,800-$3,800/paie · surplus $2,950/mois non investi confirmé</t>
  </si>
  <si>
    <t>ATH confirmé</t>
  </si>
  <si>
    <t>$87,252 CAD · 10 mars 2026</t>
  </si>
  <si>
    <t>Règle allègement T1</t>
  </si>
  <si>
    <t>Seuils précis: AVGO &gt;20% · GEV &gt;10% · 1 titre &gt;25% = action</t>
  </si>
  <si>
    <t>Calendrier dividendes</t>
  </si>
  <si>
    <t>Mensuel par ticker · snowball ARC $1,060/mois modélisé</t>
  </si>
  <si>
    <t>Engagement quotidien</t>
  </si>
  <si>
    <t>Décision prise : sessions quotidiennes · partenariat FI long terme</t>
  </si>
  <si>
    <t>🔴  ACTIONS DEMAIN MATIN  ·  12 MARS 2026  ·  Dans cet ordre exact</t>
  </si>
  <si>
    <t>🔴 #1</t>
  </si>
  <si>
    <t>9h30 HNE</t>
  </si>
  <si>
    <t>SCHD $2,000 REER</t>
  </si>
  <si>
    <t>Questrade → REER #52924767 → Acheter SCHD · ~$1,475 USD · MAJ CONFIG!B34 → 2000</t>
  </si>
  <si>
    <t>🔴 #2</t>
  </si>
  <si>
    <t>Ce soir/demain</t>
  </si>
  <si>
    <t>EQ Bank HISA</t>
  </si>
  <si>
    <t>eqbank.ca → ouvrir compte → virer TOUT au-dessus de $3K du chèque → ~$15-20K → 3.75%/an</t>
  </si>
  <si>
    <t>🟡 #3</t>
  </si>
  <si>
    <t>18 mars AM</t>
  </si>
  <si>
    <t>Post-BdC : ZRE+XIC+VDU</t>
  </si>
  <si>
    <t>~$1,878 TFSA → vendre les 3 → réinvestir T1 (AVGO ou SMH selon prix ce jour-là)</t>
  </si>
  <si>
    <t>📅 #4</t>
  </si>
  <si>
    <t>11 avril</t>
  </si>
  <si>
    <t>Verdicts J+30</t>
  </si>
  <si>
    <t>AVGO $340.65 · GEV $844.18 · SMH $400.33 · Mettre alarme téléphone MAINTENANT</t>
  </si>
  <si>
    <t>📊  CONTEXTE MARCHÉ  ·  Soir 13 mars 2026  ·  À valider demain avec web search</t>
  </si>
  <si>
    <t>S&amp;P 500</t>
  </si>
  <si>
    <t>6,773</t>
  </si>
  <si>
    <t>⚠️ -0.11% · VIX 25.24 · volatilité élevée = zone opportunité</t>
  </si>
  <si>
    <t>AVGO</t>
  </si>
  <si>
    <t>$342.58</t>
  </si>
  <si>
    <t>✅ Strong Buy consensus · cible ~$437-467 · Q1 +29% rev · IA +108%</t>
  </si>
  <si>
    <t>VIX</t>
  </si>
  <si>
    <t>25.24</t>
  </si>
  <si>
    <t>⚠️ Élevé · signifie opportunité achat si conviction · pas panique</t>
  </si>
  <si>
    <t>BdC</t>
  </si>
  <si>
    <t>18 mars</t>
  </si>
  <si>
    <t>94% statu quo · important pour REITs + ENB · attendre avant trade</t>
  </si>
  <si>
    <t>Fed</t>
  </si>
  <si>
    <t>18-19 mars</t>
  </si>
  <si>
    <t>Décision taux US · impact USD/CAD · attendre avant trade USD</t>
  </si>
  <si>
    <t>SCHD</t>
  </si>
  <si>
    <t>~$30.90</t>
  </si>
  <si>
    <t>Prix d'achat cible demain 9h30 · ordre au marché ou limite $31</t>
  </si>
  <si>
    <t>Surplus</t>
  </si>
  <si>
    <t>~$2,950/mois</t>
  </si>
  <si>
    <t>Dort dans compte chèque · EQ Bank = priorité absolue #2</t>
  </si>
  <si>
    <t>🤝  PARTENARIAT FI  ·  Engagement 12 mars 2026  ·  Mode sessions quotidiennes activé</t>
  </si>
  <si>
    <t>Objectif 90 jours</t>
  </si>
  <si>
    <t>1. Optimiser compo portefeuille · 2. Monter à $5K/mois · 3. Décider maison · 4. Router surplus EQ Bank</t>
  </si>
  <si>
    <t>Format sessions courtes (5-10 min)</t>
  </si>
  <si>
    <t>"Qu'est-ce qui s'est passé depuis hier?" → analyse marché → décision ou pas → documenter</t>
  </si>
  <si>
    <t>Format sessions longues (comme ce soir)</t>
  </si>
  <si>
    <t>Trade à analyser · mise à jour fichier · décision stratégique majeure · ~1-2h</t>
  </si>
  <si>
    <t>Upload fichier</t>
  </si>
  <si>
    <t>Seulement si trade exécuté ou paie reçue · pas nécessaire chaque session</t>
  </si>
  <si>
    <t>Ce que Claude fait automatiquement</t>
  </si>
  <si>
    <t>Web search macro · vérifier earnings calendar · devil's advocate · USD% · IA% · coût opportunité</t>
  </si>
  <si>
    <t>Ce que TU dois faire</t>
  </si>
  <si>
    <t>Me dire : cash disponible · paie reçue ou non · trade envisagé · question du jour</t>
  </si>
  <si>
    <t>Règle surplus</t>
  </si>
  <si>
    <t>🔥 Étape 1</t>
  </si>
  <si>
    <t>~$2,950/mois non investi = EQ Bank en premier · puis décider si TFSA ou attendre maison</t>
  </si>
  <si>
    <t>🔥 Étape 2</t>
  </si>
  <si>
    <t>💬  PHRASE D'OUVERTURE DEMAIN  ·  Copier-coller pour démarrer vite</t>
  </si>
  <si>
    <t>"Claude, session 12 mars. J'ai exécuté SCHD $2,000 REER à [PRIX] et ouvert EQ Bank avec $[MONTANT]. Portfolio live : [valeur Questrade]. Aujourd'hui je veux [intention]. Marché : quoi de neuf depuis hier soir ?"</t>
  </si>
  <si>
    <t>⭐ Étape 4</t>
  </si>
  <si>
    <t>Demander uploads si manquants : InvestmentSummary.xlsx + Portefeuille_2026.xlsx</t>
  </si>
  <si>
    <t>⭐ Étape 5</t>
  </si>
  <si>
    <t>Appliquer toutes règles automatiques dès le 1er message · pas d'attente</t>
  </si>
  <si>
    <t>OU si session courte : "Claude, rien de nouveau. VIX à [X], AVGO à [X]. On continue le plan. Questions du jour : [ta question]."</t>
  </si>
  <si>
    <t>FORMAT RÉPONSE STANDARD</t>
  </si>
  <si>
    <t>✅ Obligatoire</t>
  </si>
  <si>
    <t>📊 Optionnel</t>
  </si>
  <si>
    <t>📋 Optionnel</t>
  </si>
  <si>
    <t>⚠️ Si manquant</t>
  </si>
  <si>
    <t>📊  SECTION 12 — SCORE SESSION  ·  Auto-évaluation · Frictions identifiées</t>
  </si>
  <si>
    <t>CRITÈRE MESURABLE</t>
  </si>
  <si>
    <t>SCORE S10</t>
  </si>
  <si>
    <t>SEUIL ✅</t>
  </si>
  <si>
    <t>TENDANCE</t>
  </si>
  <si>
    <t>NOTE</t>
  </si>
  <si>
    <t>SCORE S11</t>
  </si>
  <si>
    <t>DELTA</t>
  </si>
  <si>
    <t>Web search fait avant réponse</t>
  </si>
  <si>
    <t>✅ OUI</t>
  </si>
  <si>
    <t>—</t>
  </si>
  <si>
    <t>Expo USD vérifiée</t>
  </si>
  <si>
    <t>44% ✅</t>
  </si>
  <si>
    <t>≤ 65%</t>
  </si>
  <si>
    <t>→</t>
  </si>
  <si>
    <t>R3 — 44% post-trades</t>
  </si>
  <si>
    <t>Expo IA vérifiée</t>
  </si>
  <si>
    <t>Earnings calendar consulté</t>
  </si>
  <si>
    <t>OUI chaque achat T1/T2</t>
  </si>
  <si>
    <t>Validation CHECK 1+2+3 passés</t>
  </si>
  <si>
    <t>✅ 3/3</t>
  </si>
  <si>
    <t>3/3 vert</t>
  </si>
  <si>
    <t>Trades journalisés (Journal Décisions)</t>
  </si>
  <si>
    <t>8/8 ✅</t>
  </si>
  <si>
    <t>100% des trades</t>
  </si>
  <si>
    <t>Actions urgentes réduites vs session préc</t>
  </si>
  <si>
    <t>2→2 ➡️</t>
  </si>
  <si>
    <t>Diminuer session à session</t>
  </si>
  <si>
    <t>Opportunité coût chiffrée</t>
  </si>
  <si>
    <t>OUI si décision importante</t>
  </si>
  <si>
    <t>Durée session (efficacité)</t>
  </si>
  <si>
    <t>~3h</t>
  </si>
  <si>
    <t>&lt; 2h idéal</t>
  </si>
  <si>
    <t>⬇️ améliorer</t>
  </si>
  <si>
    <t>Score global S10</t>
  </si>
  <si>
    <t>8.5/10</t>
  </si>
  <si>
    <t>≥ 8/10</t>
  </si>
  <si>
    <t>💡 S12: Remplir col "SCORE S11" en fin de session · DELTA = S11-S10 · Tendance ⬆️ = amélioration · Cible: 9/10</t>
  </si>
  <si>
    <t>Vitesse analyse</t>
  </si>
  <si>
    <t>Autonomie démarrage</t>
  </si>
  <si>
    <t>Score global S8</t>
  </si>
  <si>
    <t>FRICTIONS SESSION 11 MARS → LEÇONS AJOUTÉES</t>
  </si>
  <si>
    <t>Cash ≠ Buying power non distingués</t>
  </si>
  <si>
    <t>Dump combiné demandé avant dumps séparés</t>
  </si>
  <si>
    <t>AVGO rejeté 15h26 — buying power USD</t>
  </si>
  <si>
    <t>🧠  SECTION 13 — PROFIL COMPORTEMENTAL  ·  Construit 13 mars 2026 · Stable</t>
  </si>
  <si>
    <t>PSYCHOLOGIE INVESTISSEMENT</t>
  </si>
  <si>
    <t>Accumulateur pur · chaque baisse = opportunité · jamais panique · buy the dip continu · dort bien en marché baissier</t>
  </si>
  <si>
    <t>ANGLE MORT à surveiller</t>
  </si>
  <si>
    <t>Risque surpondérer une position déjà lourde en dip → forcer diversification du dip (ex: AVGO+GEV+SMH le 11 mars ✅)</t>
  </si>
  <si>
    <t>PROFIL COGNITIF</t>
  </si>
  <si>
    <t>Multitâche par nature · tête "partout" seulement en surstimulation situationnelle · en session normale : plusieurs analyses OK</t>
  </si>
  <si>
    <t>CONTRAINTES RÉELLES</t>
  </si>
  <si>
    <t>Liquidités mi-mois (rétroactivité + paie ~$3,700 mercredi) · pas début de mois · horaires atypiques Nunavik · rotations travail</t>
  </si>
  <si>
    <t>OBJECTIFS DE VIE</t>
  </si>
  <si>
    <t>FI = POSSIBILITÉ pas fuite · aime son travail de policier · famille + belle maison · immobilier horizon futur possible</t>
  </si>
  <si>
    <t>OBJECTIF DE COMPÉTENCE</t>
  </si>
  <si>
    <t>Devenir le MEILLEUR gestionnaire de son propre portefeuille · investissement = intérêt genuine pas juste outil · autodidacte</t>
  </si>
  <si>
    <t>RÔLE DE CLAUDE</t>
  </si>
  <si>
    <t>Partenaire de formation · challenger les angles morts sans brider l'agressivité · quantifier toujours · chiffres &gt; abstrait</t>
  </si>
  <si>
    <t>🗂️  SECTION 14 — GUIDE UPLOADS PAR SESSION  ·  Quoi uploader · Où le trouver · Quand</t>
  </si>
  <si>
    <t>OÙ LE TROUVER</t>
  </si>
  <si>
    <t>FRÉQUENCE</t>
  </si>
  <si>
    <t>FORMAT OK</t>
  </si>
  <si>
    <t>SI MANQUANT</t>
  </si>
  <si>
    <t>📊 Wallet_Google_Sheet_v36_FINAL_Sxx.xlsx</t>
  </si>
  <si>
    <t>Télécharger depuis Google Drive / fichier précédent Claude.ai</t>
  </si>
  <si>
    <t>CHAQUE SESSION — obligatoire</t>
  </si>
  <si>
    <t>.xlsx · pas .csv · pas .ods</t>
  </si>
  <si>
    <t>Impossible de faire quoi que ce soit</t>
  </si>
  <si>
    <t>📋 Questrade — InvestmentSummary.pdf</t>
  </si>
  <si>
    <t>Questrade → Accounts → Reports → Investment Summary</t>
  </si>
  <si>
    <t>Chaque session si trade fait · sinon mensuel</t>
  </si>
  <si>
    <t>PDF complet avec toutes positions + cash</t>
  </si>
  <si>
    <t>CHECK 2 impossible · valeurs non vérifiées</t>
  </si>
  <si>
    <t>📋 Questrade — Positions par compte (CSV)</t>
  </si>
  <si>
    <t>Questrade → Portfolio → Export CSV</t>
  </si>
  <si>
    <t>Chaque session idéalement</t>
  </si>
  <si>
    <t>CSV avec qty + avg cost par ticker</t>
  </si>
  <si>
    <t>Prix moyens non mis à jour → P&amp;L faux</t>
  </si>
  <si>
    <t>🧾 Reçu confirmation trade (optionnel)</t>
  </si>
  <si>
    <t>📄 Avis de cotisation ARC (1x/an)</t>
  </si>
  <si>
    <t>Mon dossier ARC → Revenu → Droits de cotisation REER/FHSA</t>
  </si>
  <si>
    <t>1 fois/an — janvier/février après déclaration</t>
  </si>
  <si>
    <t>PDF officiel ARC</t>
  </si>
  <si>
    <t>Room REER/FHSA basée sur estimation · risque dépassement</t>
  </si>
  <si>
    <t>📋  GUIDE LECTURE DUMP QUESTRADE  ·  Les 3 chiffres clés à trouver en &lt; 2 minutes</t>
  </si>
  <si>
    <t>CE QU'ON CHERCHE</t>
  </si>
  <si>
    <t>OÙ LE TROUVER DANS QUESTRADE</t>
  </si>
  <si>
    <t>COPIER DANS</t>
  </si>
  <si>
    <t>EXEMPLE</t>
  </si>
  <si>
    <t>💵 Valeur totale
par compte</t>
  </si>
  <si>
    <t>Portfolio → chaque compte → "Market Value" (en haut à droite)</t>
  </si>
  <si>
    <t>VALIDATION E57 (TFSA) E58 (FHSA) E59 (REER)</t>
  </si>
  <si>
    <t>ex: TFSA $69,496.89</t>
  </si>
  <si>
    <t>💰 Cash disponible
par compte</t>
  </si>
  <si>
    <t>Portfolio → chaque compte → "Cash" ou ligne "CAD" sans ticker</t>
  </si>
  <si>
    <t>CONFIG B37 (TFSA) B38 (FHSA) B39 (REER)</t>
  </si>
  <si>
    <t>ex: TFSA $230.66</t>
  </si>
  <si>
    <t>📊 Buying power USD
(si achat USD)</t>
  </si>
  <si>
    <t>Portfolio → REER → "Buying Power" ou "USD Cash" → ne pas confondre avec CAD</t>
  </si>
  <si>
    <t>Comparer vs CONFIG!B40 (formule auto) → si ≠, corriger B39</t>
  </si>
  <si>
    <t>ex: USD $1.20 → ~$1.63 CAD</t>
  </si>
  <si>
    <t>🔄 Trades récents</t>
  </si>
  <si>
    <t>Activity → Transactions → Filtrer par date depuis dernière session</t>
  </si>
  <si>
    <t>Dire à Claude: "J'ai fait X le [date] à [prix]" → HISTORIQUE auto</t>
  </si>
  <si>
    <t>ex: SCHD ×10u @$26.14 USD</t>
  </si>
  <si>
    <t>📅 Dividendes reçus</t>
  </si>
  <si>
    <t>Activity → Transactions → Type: Dividends → depuis dernière session</t>
  </si>
  <si>
    <t>CONFIG L86-L98 → cocher ✅ quand reçu + montant réel</t>
  </si>
  <si>
    <t>ex: ENB $16.20 reçu 15 mars</t>
  </si>
  <si>
    <t>📋 Confirmation trade</t>
  </si>
  <si>
    <t>Activity → Order History → statut Filled vs Cancelled</t>
  </si>
  <si>
    <t>Confirmer à Claude que l'ordre est FILLED avant de noter dans HISTORIQUE</t>
  </si>
  <si>
    <t>ex: SCHD FILLED 12 mars 9h31</t>
  </si>
  <si>
    <t>⚡ ORDRE D'OPÉRATIONS: ① Valeur totale → VALIDATION ② Cash → CONFIG ③ Trades récents → HISTORIQUE ④ Dividendes → CONFIG ⑤ Taux USD/CAD → CONFIG!B3</t>
  </si>
  <si>
    <t>🧠  RAISONNEMENTS SESSION 12 MARS 2026  ·  S15  ·  Apprentissage cumulatif</t>
  </si>
  <si>
    <t>📊 SNAPSHOT 12 MARS 2026  ·  Post-trades confirmés</t>
  </si>
  <si>
    <t>$69,199.98 CAD</t>
  </si>
  <si>
    <t>P&amp;L +34.37% · dépôts $51,500</t>
  </si>
  <si>
    <t>$14,898.25 CAD</t>
  </si>
  <si>
    <t>P&amp;L +24.15% · dépôts $12,000</t>
  </si>
  <si>
    <t>$2,771.20 CAD</t>
  </si>
  <si>
    <t>SCHD 64.3053u + JEPI 1u · P&amp;L +35.18%</t>
  </si>
  <si>
    <t>TOTAL</t>
  </si>
  <si>
    <t>~$86,869 CAD</t>
  </si>
  <si>
    <t>ATH = $87,252 (10 mars) · drawdown -0.44%</t>
  </si>
  <si>
    <t>⚡ DÉCISIONS &amp; RAISONNEMENTS  ·  Pourquoi pas juste quoi</t>
  </si>
  <si>
    <t>TRADE</t>
  </si>
  <si>
    <t>SCHD $2,000 REER exécuté ce matin ✅</t>
  </si>
  <si>
    <t>→ Alt. rejeté</t>
  </si>
  <si>
    <t>Attendre une dip sur SCHD</t>
  </si>
  <si>
    <t>Conviction: snowball ARC &gt; timing marché</t>
  </si>
  <si>
    <t>→ Conviction</t>
  </si>
  <si>
    <t>+$1,060/mois ARC (52.98%) court-circuite tout timing</t>
  </si>
  <si>
    <t>→ Biais évité</t>
  </si>
  <si>
    <t>Envie de 'perfectly time' un achat récurrent</t>
  </si>
  <si>
    <t>Les récurrents ne se timent pas — on exécute</t>
  </si>
  <si>
    <t>→ Leçon</t>
  </si>
  <si>
    <t>Achat récurrent planifié = trade obligatoire · pas discrétionnaire</t>
  </si>
  <si>
    <t>MISE À JOUR</t>
  </si>
  <si>
    <t>Portefeuille via copier-coller Questrade (pas CSV)</t>
  </si>
  <si>
    <t>→ Friction</t>
  </si>
  <si>
    <t>Pas de CSV export intuitif dans app Questrade</t>
  </si>
  <si>
    <t>Solution explorée: API Questrade</t>
  </si>
  <si>
    <t>→ Choix retenu</t>
  </si>
  <si>
    <t>Copier-coller pour linstant · zéro setup</t>
  </si>
  <si>
    <t>Revisiter si friction répétitive &gt;3 sessions</t>
  </si>
  <si>
    <t>🔥 TENSIONS NON RÉSOLUES  ·  À adresser prochaine session</t>
  </si>
  <si>
    <t>SURPLUS DORMANT</t>
  </si>
  <si>
    <t>$2,950/mois non investi · dort compte chèques</t>
  </si>
  <si>
    <t>⚠️ Coût opportunité réel</t>
  </si>
  <si>
    <t>→ Blocage</t>
  </si>
  <si>
    <t>EQ Bank pas encore ouvert · indécision montant</t>
  </si>
  <si>
    <t>Cible: $15-20K</t>
  </si>
  <si>
    <t>→ Question clé</t>
  </si>
  <si>
    <t>Quel est le vrai seuil de confort cash urgence?</t>
  </si>
  <si>
    <t>$10K? $15K? $20K? — pas encore défini</t>
  </si>
  <si>
    <t>→ Action</t>
  </si>
  <si>
    <t>EQ Bank cette semaine 🔴</t>
  </si>
  <si>
    <t>Priorité #1 session prochaine</t>
  </si>
  <si>
    <t>🧬 PATTERNS PSYCHOLOGIQUES OBSERVÉS  ·  Biais documentés</t>
  </si>
  <si>
    <t>BUY-THE-DIP</t>
  </si>
  <si>
    <t>Fort (COVID prouvé) · achète agressivement en crash</t>
  </si>
  <si>
    <t>Point fort confirmé</t>
  </si>
  <si>
    <t>CONTRIBUTIONS AUTO</t>
  </si>
  <si>
    <t>Friction sur plans automatiques planifiés</t>
  </si>
  <si>
    <t>Risque: le plan $3,500/mois dérive sans automatisation</t>
  </si>
  <si>
    <t>→ Implication</t>
  </si>
  <si>
    <t>Traiter chaque contribution comme un trade obligatoire</t>
  </si>
  <si>
    <t>Pas une décision à reprendre chaque mois</t>
  </si>
  <si>
    <t>TIMING ADDICTION</t>
  </si>
  <si>
    <t>Tendance à vouloir timer même les achats récurrents</t>
  </si>
  <si>
    <t>Antidote: règle explicite no-timing sur DCA</t>
  </si>
  <si>
    <t>📈 APPRENTISSAGE META  ·  Sur notre collaboration</t>
  </si>
  <si>
    <t>NOUVEAU PROTOCOLE</t>
  </si>
  <si>
    <t>Bloc RAISONNEMENT ajouté à chaque fin de session</t>
  </si>
  <si>
    <t>Claude génère · Hey copie → apprentissage exponentiel</t>
  </si>
  <si>
    <t>→ Objectif</t>
  </si>
  <si>
    <t>Dans 6-12 mois: Claude connaît ton process décisionnel</t>
  </si>
  <si>
    <t>Pas juste les chiffres · le pourquoi derrière</t>
  </si>
  <si>
    <t>→ Format</t>
  </si>
  <si>
    <t>Faits + Raisonnement + Tensions + Patterns + Actions</t>
  </si>
  <si>
    <t>Standard établi ce soir · S15</t>
  </si>
  <si>
    <t>OUBLI RÈGLE #11</t>
  </si>
  <si>
    <t>Claude a oublié de MAJ le fichier sans être rappelé</t>
  </si>
  <si>
    <t>Corriger: règle #11 = automatique · pas sur demande</t>
  </si>
  <si>
    <t>[ ] Ajouter décisions dans 📓 JOURNAL DÉCISIONS</t>
  </si>
  <si>
    <t>🎯 ACTIONS OUVERTES  ·  Verdicts requis · Dates cibles</t>
  </si>
  <si>
    <t>[ ] Ajouter leçons apprises si nouvelle friction identifiée</t>
  </si>
  <si>
    <t>🔴 EQ Bank HISA</t>
  </si>
  <si>
    <t>$15-20K · ouvrir cette semaine</t>
  </si>
  <si>
    <t>eqbank.ca · ~20 min en ligne</t>
  </si>
  <si>
    <t>🟡 ZRE+XIC+VDU</t>
  </si>
  <si>
    <t>Post-BdC 18 mars · ~$1,878 T4→T1</t>
  </si>
  <si>
    <t>Attendre annonce BdC</t>
  </si>
  <si>
    <t>📅 Verdicts J+30</t>
  </si>
  <si>
    <t>11 avril 2026 · alarme téléphone</t>
  </si>
  <si>
    <t>Évaluer tous trades depuis 11 mars</t>
  </si>
  <si>
    <t>🔄 Contributions</t>
  </si>
  <si>
    <t>Automatiser $3,500/mois · mécanisme à définir</t>
  </si>
  <si>
    <t>REER $2K · FHSA $1K · TFSA $500</t>
  </si>
  <si>
    <t>R15</t>
  </si>
  <si>
    <t>Signaler tout changement de vie/profil dès le début de session</t>
  </si>
  <si>
    <t>Aspect #15 — stratégie calibrée sur le profil · si profil change → tout recalibrer</t>
  </si>
  <si>
    <t>R16</t>
  </si>
  <si>
    <t>Remplir CONFIG Étendue avant de démarrer l'analyse</t>
  </si>
  <si>
    <t>R17</t>
  </si>
  <si>
    <t>💱  USD/CAD LIVE AVANT ACHAT USD</t>
  </si>
  <si>
    <t>Chercher taux USD/CAD réel avant tout achat USD · Ne jamais utiliser CONFIG!B3 si &gt; 24h · Erreur 2¢ = ~$400 distorsion portfolio (expo USD 44%)</t>
  </si>
  <si>
    <t>Aspect #3 · Critique expo USD</t>
  </si>
  <si>
    <t>─── Mise à jour CONFIG Étendue (aspects 7-15) ───</t>
  </si>
  <si>
    <t>[ ] MAJ CONFIG Étendue → macro du jour (aspect #7) · intention (aspect #8)</t>
  </si>
  <si>
    <t>[ ] MAJ CONFIG → calendrier 30j si changement (aspect #13)</t>
  </si>
  <si>
    <t>[ ] MAJ CONFIG → dividendes reçus ✅ (aspect #14)</t>
  </si>
  <si>
    <t>[ ] MAJ CONFIG → changements vie si applicable (aspect #15)</t>
  </si>
  <si>
    <t>[ ] MAJ BENCHMARK → valeur portfolio dans HISTORIQUE (aspect #11)</t>
  </si>
  <si>
    <t>[ ] MAJ CONFIG → drawdown/mode Claude (aspect #10)</t>
  </si>
  <si>
    <t>[ ] Remplir score session Section 12 (10 critères)</t>
  </si>
  <si>
    <t>[ ] Préparer message démarrage pour prochaine session (copier template Section 11)</t>
  </si>
  <si>
    <t>🚀 v36 S12 COMPLET  ·  17 règles  ·  15 aspects couverts  ·  17 règles  ·  14 sections  ·  4 onglets enrichis  ·  13 mars 2026 soir  ·  Upload: Wallet v36 + dump Questrade + 3 phrases contexte → Claude prêt en &lt;5 min</t>
  </si>
  <si>
    <t>🔒  RÈGLE FONDAMENTALE — PHILOSOPHIE D'AMÉLIORATION DU FICHIER  ·  Permanente · Sans exception</t>
  </si>
  <si>
    <t>⚠️  PRINCIPE ABSOLU</t>
  </si>
  <si>
    <t>Chaque modification de ce fichier doit être un AVANTAGE NET — jamais un changement pour changer. Le fichier est bien structuré. Améliorer ≠ restructurer. Ajouter ≠ déplacer. Corriger ≠ reconstruire.</t>
  </si>
  <si>
    <t>🔒 Avantage net obligatoire</t>
  </si>
  <si>
    <t>Avant tout changement : se demander "est-ce que ça améliore concrètement une session réelle ?" · Si non → ne pas toucher</t>
  </si>
  <si>
    <t>📐 Structure préservée</t>
  </si>
  <si>
    <t>Les onglets existants sont bien construits · ne pas déplacer, renommer ou restructurer sans raison critique</t>
  </si>
  <si>
    <t>➕ Ajouter, pas remplacer</t>
  </si>
  <si>
    <t>Nouvelles infos → ajouter à la fin de la section concernée · jamais écraser ce qui fonctionne déjà</t>
  </si>
  <si>
    <t>🧪 Test avant commit</t>
  </si>
  <si>
    <t>Toute modification testée contre : "est-ce que ça aide la prochaine session concrètement ?" · Si doute → ne pas faire</t>
  </si>
  <si>
    <t>📏 Minimalisme</t>
  </si>
  <si>
    <t>Un ajout ciblé vaut mieux que 10 lignes vagues · chaque ligne doit gagner sa place · la densité &gt; le volume</t>
  </si>
  <si>
    <t>🚫 Zéro changement cosmétique</t>
  </si>
  <si>
    <t>Reformuler, réorganiser, renommer = interdit sauf si la clarté opérationnelle est mesurably meilleure</t>
  </si>
  <si>
    <t>✅ Référence de validation</t>
  </si>
  <si>
    <t>Avant S9 ce fichier = 8.5/10 · tout changement doit viser 9/10 ou plus · si incertain → session suivante</t>
  </si>
  <si>
    <t>→ Ce fichier s'améliore par accumulation de petites victoires, pas par refonte. Chaque session laisse une trace utile. C'est ça le vrai auto-learning.</t>
  </si>
  <si>
    <t>📊 MÉTRIQUES CALCULÉES S15  ·  Source: Questrade 12 mars 2026</t>
  </si>
  <si>
    <t>TOTAL PORTFOLIO</t>
  </si>
  <si>
    <t>$86,670 CAD calculé</t>
  </si>
  <si>
    <t>vs $86,869 Questrade — écart $199 = cash non inclus dans positions</t>
  </si>
  <si>
    <t>GAIN TOTAL</t>
  </si>
  <si>
    <t>+$14,788 / +20.6%</t>
  </si>
  <si>
    <t>Sur coût moyen de $71,882 investi</t>
  </si>
  <si>
    <t>T1 (conviction)</t>
  </si>
  <si>
    <t>$48,011 / 55.4%</t>
  </si>
  <si>
    <t>✅ Cible &gt;50% atteinte</t>
  </si>
  <si>
    <t>T3 (garder)</t>
  </si>
  <si>
    <t>$19,229 / 22.2%</t>
  </si>
  <si>
    <t>⚠️ Légèrement élevé — surtout TD.TO $11,337</t>
  </si>
  <si>
    <t>EXPO USD</t>
  </si>
  <si>
    <t>44.8%</t>
  </si>
  <si>
    <t>✅ Sous 65% — marge $17,900 CAD</t>
  </si>
  <si>
    <t>DIVIDENDES /AN</t>
  </si>
  <si>
    <t>~$1,926 CAD / $160/mois</t>
  </si>
  <si>
    <t>T.TO, XEI, SRU.UN, ENB, TD = principaux contributeurs</t>
  </si>
  <si>
    <t>FI RÉALISTE 8%</t>
  </si>
  <si>
    <t>Âge 51 (2043)</t>
  </si>
  <si>
    <t>$2.1M atteint avec $3,500/mois + $86,670 actuel</t>
  </si>
  <si>
    <t>FI OPTIMISTE 10%</t>
  </si>
  <si>
    <t>Âge 48 (2040)</t>
  </si>
  <si>
    <t>Possible si contributions augmentent avec salaire</t>
  </si>
  <si>
    <t>🔴 ACTIONS S16 — SANS EXCEPTION AVANT PROCHAINE SESSION</t>
  </si>
  <si>
    <t>🔴 PRIORITÉ #1</t>
  </si>
  <si>
    <t>EQ Bank HISA $15-20K</t>
  </si>
  <si>
    <t>eqbank.ca — 20 min — $600/an en intérêts + éliminer risque opérationnel</t>
  </si>
  <si>
    <t>🔴 PRIORITÉ #2</t>
  </si>
  <si>
    <t>Automatiser $3,500/mois le 15</t>
  </si>
  <si>
    <t>REER $2K + FHSA $1K + TFSA $500 — virement auto</t>
  </si>
  <si>
    <t>🟡 PRIORITÉ #3</t>
  </si>
  <si>
    <t>FHSA $4,000 room → VFV.TO</t>
  </si>
  <si>
    <t>Avant BdC 18 mars si possible — ~24 unités</t>
  </si>
  <si>
    <t>🟡 PRIORITÉ #4</t>
  </si>
  <si>
    <t>ZRE+XIC+VDU → T1 post-BdC</t>
  </si>
  <si>
    <t>Semaine 18 mars — $1,878 recycler T4→T1</t>
  </si>
  <si>
    <t>📅 VERDICT</t>
  </si>
  <si>
    <t>11 avril 2026 — J+30</t>
  </si>
  <si>
    <t>Toutes décisions depuis 11 mars — benchmark vs VFV.TO</t>
  </si>
  <si>
    <t>🧠  BLOC RAISONNEMENT S16  ·  13 mars 2026  ·  Session analyse financière + budget réel</t>
  </si>
  <si>
    <t>▸ BUDGET RÉEL CONFIRMÉ</t>
  </si>
  <si>
    <t>Revenu net $7,950/mois ($3,000×26÷12 + $1,450 prime Nunavik) · Dépenses $1,182/mois · Disponible $6,768/mois · Plan structuré $5,000/mois · Surplus libre $1,768/mois intentionnel. Ancien chiffre $700/mois dépenses était faux — réalité = $1,182.</t>
  </si>
  <si>
    <t>▸ NOUVEAU PLAN $5,000/MOIS</t>
  </si>
  <si>
    <t>REER $2,000 + FHSA $1,000 + TFSA $500 + EQ Bank $1,500. EQ Bank intégré dans le plan mensuel — $15,000 atteint en 10 mois sans toucher aux investissements existants. Taux épargne 63% du revenu net.</t>
  </si>
  <si>
    <t>▸ TIERS CONFIRMÉS FINAUX</t>
  </si>
  <si>
    <t>H.TO → T3 (hold, pas accumuler) · XIC.TO → T4 (diluer naturellement). Tentative de changement repoussée — critères objectifs supportent les classifications originales. Règle: ne pas changer de tier sans argument fondamental, pas juste émotionnel.</t>
  </si>
  <si>
    <t>▸ PATTERN PSY IDENTIFIÉ S16</t>
  </si>
  <si>
    <t>Hey questionne les classifications de tiers quand il les trouve conservatrices. Biais confirmé: veut upgrader des titres défensifs vers conviction plus haute. Antidote: grille scorecard /10 avec critères objectifs gravés — le score décide, pas l'humeur du moment.</t>
  </si>
  <si>
    <t>▸ PLAN ANALYSE BOURSIÈRE</t>
  </si>
  <si>
    <t>Objectif S17+: analyser chaque titre du portfolio avec grille 8 critères (valorisation, momentum, dividende, fondamentaux, catalyseurs, risques, macro, fit portfolio). Scorecard /10 automatique. Onglet ANALYSE TITRES à créer. Verdicts J+30 pour mesurer fiabilité des analyses.</t>
  </si>
  <si>
    <t>▸ FIABILITÉ CONSEILS</t>
  </si>
  <si>
    <t>Conseil fiscal/mathématique = très fiable (règles CRA vérifiables). Classification tiers = subjectif, système de Hey. Prédiction marché = impossible pour tout le monde. Amélioration: web search systématique + 8 critères + ne pas changer position sous pression émotionnelle.</t>
  </si>
  <si>
    <t>▸ ACTIONS OUVERTES S16→S17</t>
  </si>
  <si>
    <t>🔴 EQ Bank ouvrir + $1,500 dès prochaine paie (cette semaine) · 🔴 Bénéficiaires TFSA/REER/FHSA sur Questrade (30 min) · 🟡 ZRE+XIC+VDU TFSA → T1 post-BdC 18 mars · 🟡 Régime retraite employeur — appeler · 📅 Verdicts J+30 = 11 avril 2026</t>
  </si>
  <si>
    <t>▸ PROCHAINE SESSION S17</t>
  </si>
  <si>
    <t>Commencer par: 1) Confirmer EQ Bank ouvert 2) Analyser 3-5 titres avec nouvelle grille scorecard /10 3) Créer onglet ANALYSE TITRES dans fichier 4) Définir critères objectifs T1/T2/T3/T4 une fois pour toutes</t>
  </si>
  <si>
    <t>🤖  INSTRUCTION AUTO-DÉMARRAGE  ·  Lire en PREMIER à chaque ouverture du fichier</t>
  </si>
  <si>
    <t>CE FICHIER EST LE CERVEAU DU PORTFOLIO DE HEY. Dès que tu le reçois, exécute le protocole ci-dessous SANS ATTENDRE de message supplémentaire.</t>
  </si>
  <si>
    <t>ÉTAPE 1 — IDENTIFIER LA SESSION</t>
  </si>
  <si>
    <t>Cherche la version dans CONFIG!B19 ou en haut de cet onglet. Incrémente: si fichier = v42-S16 → cette session = S17. Annonce: "📂 Fichier v42-S16 détecté → Session S17 démarrée"</t>
  </si>
  <si>
    <t>ÉTAPE 2 — CHARGER LE CONTEXTE</t>
  </si>
  <si>
    <t>Lis les blocs RAISONNEMENT de cet onglet (bas de page). Lis les ACTIONS OUVERTES (lignes 14-18). Note les 3 actions prioritaires. NE PAS poser de questions de contexte — tout est dans le fichier.</t>
  </si>
  <si>
    <t>ÉTAPE 3 — WEB SEARCH AUTOMATIQUE</t>
  </si>
  <si>
    <t>Sans attendre: recherche S&amp;P 500 + TSX + VIX + news tarifs US/CA + USD/CAD live. Si annonce BdC dans &lt;7 jours → chercher prévisions taux. Chercher prix live: AVGO · VFV.TO · SCHD · GEV · ENB.TO</t>
  </si>
  <si>
    <t>ÉTAPE 4 — LIRE GOOGLE SHEETS</t>
  </si>
  <si>
    <t>Tenter web_fetch sur: https://docs.google.com/spreadsheets/d/1LamFoKULSVfOWCUizBTVabBbuAyPOhLuvuk0fzBgJZA/edit?usp=sharing — Si succès: utiliser prix en temps réel. Si échec: utiliser données du fichier uploadé.</t>
  </si>
  <si>
    <t>ÉTAPE 5 — MESSAGE DE DÉMARRAGE</t>
  </si>
  <si>
    <t>Envoyer EXACTEMENT ce format:
"📂 Session S[X] démarrée · Portfolio ~$[TOTAL] CAD · ATH $87,252
📈 Marché: S&amp;P [valeur] · TSX [valeur] · USD/CAD [taux]
🔴 Action #1: [plus urgente] · 🟡 Action #2: [deuxième] · 📅 Action #3: [troisième]
💬 Prêt. Qu'est-ce qu'on fait aujourd'hui?"</t>
  </si>
  <si>
    <t>RÈGLE ABSOLUE</t>
  </si>
  <si>
    <t>Ne jamais dire "je n'ai pas accès à..." ou "peux-tu me dire...". Tout le contexte est dans ce fichier + mémoire Claude. Démarrer immédiatement. Zéro question de contexte. Si données manquantes → web search.</t>
  </si>
  <si>
    <t>⚡ FIN PROTOCOLE AUTO-DÉMARRAGE — Exécuter sans exception à chaque session · Version gravée S16 · 13 mars 2026</t>
  </si>
  <si>
    <t>🔄  FLOW S20+ — SYMBIOSE XLSX ↔ DASHBOARD  ·  Actif depuis S20 · 12 Mar 2026</t>
  </si>
  <si>
    <t>RÉSULTAT</t>
  </si>
  <si>
    <t>① Début session</t>
  </si>
  <si>
    <t>Uploader ce xlsx à Claude</t>
  </si>
  <si>
    <t>Claude connaît ton état exact — zéro question de contexte</t>
  </si>
  <si>
    <t>② Trade / décision</t>
  </si>
  <si>
    <t>Dire à Claude ce qui a changé</t>
  </si>
  <si>
    <t>Claude met à jour xlsx IMMÉDIATEMENT + livre nouveau fichier</t>
  </si>
  <si>
    <t>③ Dashboard</t>
  </si>
  <si>
    <t>Glisser le nouveau xlsx dans Chrome</t>
  </si>
  <si>
    <t>Dashboard se rafraîchit SANS recharger (bouton Recharger)</t>
  </si>
  <si>
    <t>④ Prix live</t>
  </si>
  <si>
    <t>Automatique au chargement</t>
  </si>
  <si>
    <t>Yahoo Finance fetché → P&amp;L réel par position</t>
  </si>
  <si>
    <t>⑤ Fin session</t>
  </si>
  <si>
    <t>Claude update 🚀 DÉMARRAGE + livre xlsx</t>
  </si>
  <si>
    <t>Prochain Claude reprend exactement où on en est</t>
  </si>
  <si>
    <t>🆕  PROTOCOLE S38+ — 2 FICHIERS SEULEMENT · CLAUDE.md INTÉGRÉ ICI</t>
  </si>
  <si>
    <t>⚡ DÉMARRAGE: uploade (1) xlsx  (2) data.json → dis "go" · Plus de CLAUDE.md. Plus de dashboard.html.</t>
  </si>
  <si>
    <t>🧠  QUI EST HEY · Profil permanent</t>
  </si>
  <si>
    <t>Identité</t>
  </si>
  <si>
    <t>Hey (Laurent) · 34 ans · Nunavik QC · HNE · Policier 2on/2off · Mode OFF mars 2026</t>
  </si>
  <si>
    <t>Vision 10 ans</t>
  </si>
  <si>
    <t>Travailler par choix · Famille · Maison 2030 solo · FI = liberté totale</t>
  </si>
  <si>
    <t>Personnalité</t>
  </si>
  <si>
    <t>Gaming · Lecture · BJJ · PPL · Yoga · Motos · Autodidacte investissement</t>
  </si>
  <si>
    <t>Accumulateur pur · buy-the-dip fort · timing addiction à surveiller · chiffres &gt; abstrait</t>
  </si>
  <si>
    <t>Contraintes</t>
  </si>
  <si>
    <t>Liquidités mi-mois · paie ~$7,950/mois net · dépenses $1,182/mois · surplus $1,768 libre</t>
  </si>
  <si>
    <t>Rôle Claude</t>
  </si>
  <si>
    <t>Partenaire de formation · challenger angles morts · quantifier toujours · devil's advocate auto</t>
  </si>
  <si>
    <t>📊  ÉTAT PORTFOLIO S38 · 13 mars 2026</t>
  </si>
  <si>
    <t>$68,137 CAD · 26 positions · ATH $87,252 (10 mars) · AVGO/VFV/XEQT leaders</t>
  </si>
  <si>
    <t>$18,772 CAD · 12 positions · XEQT 100u @$39.93 · room ~$9,700 restant</t>
  </si>
  <si>
    <t>$2,765 CAD · SCHD 64.3053u · $2K/mois → SCHD · snowball ARC +$1,060/mois</t>
  </si>
  <si>
    <t>~$89,674 CAD · P&amp;L +$13,904 (+18.4%) · USD expo ~44.7% ✅ · IA expo ~37% ✅</t>
  </si>
  <si>
    <t>🚨  URGENCES OUVERTES · Adresser en PREMIER · Coût d'inaction réel</t>
  </si>
  <si>
    <t>JAMAIS OUVERT · S17→S38 · eqbank.ca → 15 min → ~$600/an · ÉLIMINER CE PATTERN</t>
  </si>
  <si>
    <t>🔴 Bénéficiaires Questrade</t>
  </si>
  <si>
    <t>~$90K non protégé · My Account → Beneficiaries → 5 min · URGENT</t>
  </si>
  <si>
    <t>💰 Analyse $12K rétro</t>
  </si>
  <si>
    <t>PRIORITÉ #1 S38 · FHSA room ~$9,700 d'abord · puis TFSA · prix live requis</t>
  </si>
  <si>
    <t>📅 BdC 18 mars</t>
  </si>
  <si>
    <t>Attendre verdict avant recyclage FHSA T4 (~$4,318 : REI+SRU+XEI+ZLB → VFV/XEQT)</t>
  </si>
  <si>
    <t>🔔 Verdicts J+30</t>
  </si>
  <si>
    <t>11 avril (AVGO·SMH·GEV·SCHD) · 13 avril (XEQT) · alarmes posées?</t>
  </si>
  <si>
    <t>💰  PLAN MENSUEL $5,000 · Automatique · S16 confirmé</t>
  </si>
  <si>
    <t>REER $2,000</t>
  </si>
  <si>
    <t>→ SCHD · le 15 chaque mois · snowball ARC +$1,060/mois (52.98%)</t>
  </si>
  <si>
    <t>FHSA $1,000</t>
  </si>
  <si>
    <t>→ VFV.TO · double exonération · priorité absolue d'allocation</t>
  </si>
  <si>
    <t>TFSA $500</t>
  </si>
  <si>
    <t>→ AVGO fractional · T1 concentration</t>
  </si>
  <si>
    <t>EQ Bank $1,500</t>
  </si>
  <si>
    <t>→ fonds urgence · cible $15K · 🔴 PAS ENCORE OUVERT · ouvrir CETTE SEMAINE</t>
  </si>
  <si>
    <t>Surplus $1,768</t>
  </si>
  <si>
    <t>→ chèque intentionnel · disponible pour opportunités ou dip exceptionnel</t>
  </si>
  <si>
    <t>🎯  SYSTÈME DE TIERS · Objectif · Jamais subjectif</t>
  </si>
  <si>
    <t>T1 — Conviction</t>
  </si>
  <si>
    <t>AVGO · SMH · VFV.TO · GOOG · AMZN · META · ENB.TO · GEV · SCHD · XEQT.TO</t>
  </si>
  <si>
    <t>T2 — Dip seulement</t>
  </si>
  <si>
    <t>MSFT · NVDA · QQQM · SPGI · JEPI · TSLA</t>
  </si>
  <si>
    <t>T3 — Hold, no accumulate</t>
  </si>
  <si>
    <t>H.TO · TD.TO · HURA.TO · QTUM · ZLB.TO</t>
  </si>
  <si>
    <t>T4 — Diluer naturellement</t>
  </si>
  <si>
    <t>REI.UN.TO · ZRE.TO · SRU.UN.TO · XEI.TO · XIC.TO · VDU.TO</t>
  </si>
  <si>
    <t>JAMAIS VENDRE</t>
  </si>
  <si>
    <t>T.TO + MFC.TO TFSA · room contribution perdu si vendu · règle absolue</t>
  </si>
  <si>
    <t>🔭  UNIVERS S37 · 46 tickers scorés /100 · Onglet dédié dans ce fichier</t>
  </si>
  <si>
    <t>Top T1 scores</t>
  </si>
  <si>
    <t>VFV.TO 94 · SCHD 91 · XEQT.TO 90 · AVGO 89 · GOOG 88 · SMH 87</t>
  </si>
  <si>
    <t>Candidats top</t>
  </si>
  <si>
    <t>VEQT.TO 91 · VIG 86 · CGDV 85 · SOXX 84 · BN.TO 83 · DGRO 82</t>
  </si>
  <si>
    <t>T4 scores faibles</t>
  </si>
  <si>
    <t>T.TO 58 · MFC.TO 56 · REI.UN.TO 53 · ZRE.TO 54 · SRU.UN.TO 55</t>
  </si>
  <si>
    <t>Règle R-ANA-04</t>
  </si>
  <si>
    <t>Avant toute reco → vérifier UNIVERS si alternatif score &gt; position actuelle</t>
  </si>
  <si>
    <t>Recyclage FHSA T4</t>
  </si>
  <si>
    <t>REI 80u~$1,522 + SRU 63u~$1,690 + XEI 26u~$930 + ZLB 3u~$176 = ~$4,318 → VFV/XEQT</t>
  </si>
  <si>
    <t>Rescan UNIVERS</t>
  </si>
  <si>
    <t>1x/mois · prochain S40</t>
  </si>
  <si>
    <t>⚙️  RÈGLES AUTOMATIQUES CLAUDE · Sans exception · Sans attendre</t>
  </si>
  <si>
    <t>R-FIN-01</t>
  </si>
  <si>
    <t>Devil's advocate avant toute validation</t>
  </si>
  <si>
    <t>R-FIN-02</t>
  </si>
  <si>
    <t>Web search complet avant toute recommandation (prix + news + macro)</t>
  </si>
  <si>
    <t>R-FIN-03</t>
  </si>
  <si>
    <t>USD ≤65% · IA ≤45% · vérifier avant tout achat</t>
  </si>
  <si>
    <t>R-FIN-04</t>
  </si>
  <si>
    <t>FHSA → REER → TFSA → HISA · ordre strict d'allocation</t>
  </si>
  <si>
    <t>R-FIN-05</t>
  </si>
  <si>
    <t>Earnings calendar avant achat T1/T2 · no-buy -7j</t>
  </si>
  <si>
    <t>R-FIN-06</t>
  </si>
  <si>
    <t>Décision → RAISONNEMENTS + verdict J+30</t>
  </si>
  <si>
    <t>R-FIN-07</t>
  </si>
  <si>
    <t>Émotion identifiée → nommer avant d'agir</t>
  </si>
  <si>
    <t>R-FIN-08</t>
  </si>
  <si>
    <t>JAMAIS vendre T.TO/MFC.TO TFSA</t>
  </si>
  <si>
    <t>R-ANA-01</t>
  </si>
  <si>
    <t>Coût opportunité chiffré en CAD réel</t>
  </si>
  <si>
    <t>R-ANA-02</t>
  </si>
  <si>
    <t>Verdicts J+30 obligatoires · documenter résultat</t>
  </si>
  <si>
    <t>R-ANA-03</t>
  </si>
  <si>
    <t>Nourrir ≥1 pilier non-financier chaque session</t>
  </si>
  <si>
    <t>R-ANA-04 NEW S37</t>
  </si>
  <si>
    <t>Avant reco → vérifier UNIVERS si alternatif score &gt; position actuelle</t>
  </si>
  <si>
    <t>R-SYS-01</t>
  </si>
  <si>
    <t>load_workbook toujours · jamais recréer</t>
  </si>
  <si>
    <t>R-SYS-02</t>
  </si>
  <si>
    <t>Trade mentionné → MAJ xlsx IMMÉDIATEMENT + journal + version++</t>
  </si>
  <si>
    <t>R-SYS-03</t>
  </si>
  <si>
    <t>Update → livrer xlsx + data.json (2 fichiers · plus CLAUDE.md)</t>
  </si>
  <si>
    <t>R-SYS-04</t>
  </si>
  <si>
    <t>Mockup avant modif majeure dashboard</t>
  </si>
  <si>
    <t>R-SYS-05</t>
  </si>
  <si>
    <t>Jamais modifier sans autorisation explicite go</t>
  </si>
  <si>
    <t>R-SYS-06</t>
  </si>
  <si>
    <t>Fuseau HNE pour heures marché</t>
  </si>
  <si>
    <t>R-COM-01</t>
  </si>
  <si>
    <t>Une étape à la fois · urgences en phrase directe</t>
  </si>
  <si>
    <t>🤖  PROTOCOLE AUTO-DÉMARRAGE S38+ · 2 FICHIERS · Exécuter sans exception</t>
  </si>
  <si>
    <t>ÉTAPE 1</t>
  </si>
  <si>
    <t>Reçois xlsx vXX-SXX + data.json → identifier version → annoncer session</t>
  </si>
  <si>
    <t>ÉTAPE 2</t>
  </si>
  <si>
    <t>Lire ACTIONS URGENTES + blocs RAISONNEMENTS. Top 3 priorités. ZÉRO question de contexte.</t>
  </si>
  <si>
    <t>ÉTAPE 3</t>
  </si>
  <si>
    <t>Web search auto: S&amp;P500 · TSX · VIX · USD/CAD live · news tarifs · prix T1</t>
  </si>
  <si>
    <t>ÉTAPE 4</t>
  </si>
  <si>
    <t>Message démarrage: Session S[X] · $[TOTAL] · 🔴 EQ Bank · 🔴 Bénéficiaires · 💰 $12K · Prêt.</t>
  </si>
  <si>
    <t>JAMAIS dire je n'ai pas accès. Tout est dans le xlsx. Si manquant → web search.</t>
  </si>
  <si>
    <t>🖥️  TECH &amp; LIENS</t>
  </si>
  <si>
    <t>Dashboard live</t>
  </si>
  <si>
    <t>https://lemiwinks007.github.io/heyos-dashboard/ · MDP: 123 · v16</t>
  </si>
  <si>
    <t>push.bat</t>
  </si>
  <si>
    <t>C:\Users\laure\OneDrive\Documents\heyos-dashboard\</t>
  </si>
  <si>
    <t>GitHub</t>
  </si>
  <si>
    <t>https://github.com/Lemiwinks007/heyos-dashboard</t>
  </si>
  <si>
    <t>Google Sheets</t>
  </si>
  <si>
    <t>https://docs.google.com/spreadsheets/d/1LamFoKULSVfOWCUizBTVabBbuAyPOhLuvuk0fzBgJZA</t>
  </si>
  <si>
    <t>🏠  MAISON 2030 &amp; FI</t>
  </si>
  <si>
    <t>Mise de fonds</t>
  </si>
  <si>
    <t>$100K · RAP $60K (REER) + FHSA $40K · actuel ~$17,544 (17.5%)</t>
  </si>
  <si>
    <t>FI plancher</t>
  </si>
  <si>
    <t>$2.1M · jamais un plafond · liberté = optionalité · réaliste 2043 (âge 51)</t>
  </si>
  <si>
    <t>Vérifier</t>
  </si>
  <si>
    <t>Room FHSA ~$9,700 · Room REER annuellement · RAP avancement</t>
  </si>
  <si>
    <t>📝  LOG SESSIONS S33-S38</t>
  </si>
  <si>
    <t>S33 — 13 mars</t>
  </si>
  <si>
    <t>v16 tickers cliquables · push.bat v2 · PRs visuels ✅</t>
  </si>
  <si>
    <t>S34-S35 — 13 mars</t>
  </si>
  <si>
    <t>XEQT 100u FHSA @$39.93 ✅ · Room FHSA ~$9,700</t>
  </si>
  <si>
    <t>S36 — 13 mars</t>
  </si>
  <si>
    <t>Snapshot $85,681 · data.json live ✅</t>
  </si>
  <si>
    <t>S37 — 13 mars</t>
  </si>
  <si>
    <t>Onglet UNIVERS 46 tickers scorés · R-ANA-04 · v60-S37 ✅</t>
  </si>
  <si>
    <t>S38 — 13 mars</t>
  </si>
  <si>
    <t>CLAUDE.md intégré DÉMARRAGE · protocole 2 fichiers · v63-S39 ✅</t>
  </si>
  <si>
    <t>✅  v63-S39 · CLAUDE.md INTÉGRÉ · 2 FICHIERS · 13 mars 2026 · Upload: xlsx + data.json → go → session parfaite</t>
  </si>
  <si>
    <t>🧠  PROFIL INVESTISSEUR  ·  Source de vérité sur TOI · Mis à jour annuellement</t>
  </si>
  <si>
    <t>Ce document = la mémoire de qui tu es en tant qu'investisseur. Claude le lit en priorité à chaque session.</t>
  </si>
  <si>
    <t>👤  IDENTITÉ FINANCIÈRE</t>
  </si>
  <si>
    <t>Âge actuel</t>
  </si>
  <si>
    <t>←auto</t>
  </si>
  <si>
    <t>ans</t>
  </si>
  <si>
    <t>Revenu brut annuel</t>
  </si>
  <si>
    <t>⬜ Confirmer avec T4 2025</t>
  </si>
  <si>
    <t>CAD</t>
  </si>
  <si>
    <t>Revenu NET estimé /mois</t>
  </si>
  <si>
    <t>← $3,000 × 26 ÷ 12 + $1,450 prime Nunavik · Confirmé S16</t>
  </si>
  <si>
    <t>CAD/mois</t>
  </si>
  <si>
    <t>Dépenses fixes /mois</t>
  </si>
  <si>
    <t>Épicerie $400 + Tél $110 + Voiture $275 + Ass.auto $100 + Ass.moto $80 + Essence $50 + Abo $25 + Loisirs $50 + Voyages $42 + Vêt $50 · MAJ S16</t>
  </si>
  <si>
    <t>Capacité épargne réelle /mois</t>
  </si>
  <si>
    <t>← Calculé automatiquement</t>
  </si>
  <si>
    <t>Contributions investissement</t>
  </si>
  <si>
    <t>REER $2K + FHSA $1K + TFSA $500 + EQ Bank $1,500 · Plan confirmé S16</t>
  </si>
  <si>
    <t>Surplus non investi /mois</t>
  </si>
  <si>
    <t>← Tampon / extra / imprévus</t>
  </si>
  <si>
    <t>Taux marginal QC</t>
  </si>
  <si>
    <t>←auto CONFIG</t>
  </si>
  <si>
    <t>%</t>
  </si>
  <si>
    <t>Zone géographique</t>
  </si>
  <si>
    <t>Nunavik QC</t>
  </si>
  <si>
    <t>Avantages: logement+bouffe gratuits · Désavantage: isolement, mobilité réduite</t>
  </si>
  <si>
    <t>Situation couple</t>
  </si>
  <si>
    <t>En couple</t>
  </si>
  <si>
    <t>Finances 100% séparées · achat maison solo prévu</t>
  </si>
  <si>
    <t>Régime retraite employeur</t>
  </si>
  <si>
    <t>🎯  PROFIL DE RISQUE  ·  Réponses honnêtes · Ne pas idéaliser</t>
  </si>
  <si>
    <t>Tolérance drawdown maximale</t>
  </si>
  <si>
    <t>-30% à -40%</t>
  </si>
  <si>
    <t>Basé sur comportement COVID 2020 : achat agressif à -35%. Au-delà de -40% sur portfolio total = zone inconnue.</t>
  </si>
  <si>
    <t>🟠 AGRESSIF</t>
  </si>
  <si>
    <t>Réaction prouvée en crise</t>
  </si>
  <si>
    <t>ACHAT MASSIF</t>
  </si>
  <si>
    <t>COVID mars 2020 : positions achetées pendant le crash. Comportement documenté, pas théorique.</t>
  </si>
  <si>
    <t>✅ VALIDÉ</t>
  </si>
  <si>
    <t>Scénario qui te ferait vraiment vendre</t>
  </si>
  <si>
    <t>⬜ À documenter</t>
  </si>
  <si>
    <t>Ex: perte emploi simultanée + drawdown -40% + urgence médicale. Quel est ton vrai point de rupture ?</t>
  </si>
  <si>
    <t>⬜ DÉFINIR</t>
  </si>
  <si>
    <t>Horizon d'investissement réel</t>
  </si>
  <si>
    <t>2043 (FI) + 20 ans après</t>
  </si>
  <si>
    <t>~17 ans jusqu'à FI potentiel, puis 30+ ans de décaissement. Horizon total = 47 ans.</t>
  </si>
  <si>
    <t>✅ LONG TERME</t>
  </si>
  <si>
    <t>Acceptation volatilité mensuelle</t>
  </si>
  <si>
    <t>±$5,000-8,000 CAD</t>
  </si>
  <si>
    <t>Portfolio $87K × 8% volatilité mensuelle typique ≈ ±$7K. Confortable ?</t>
  </si>
  <si>
    <t>⬜ CONFIRMER</t>
  </si>
  <si>
    <t>Biais comportementaux identifiés</t>
  </si>
  <si>
    <t>Buy-the-dip fort · FOMO possible sur IA</t>
  </si>
  <si>
    <t>Forces: discipline achat en crise. Risques: surpondération IA sans discipline de seuil.</t>
  </si>
  <si>
    <t>⚠️ SURVEILLER</t>
  </si>
  <si>
    <t>Score risque objectif (1-10)</t>
  </si>
  <si>
    <t>8/10 = profil agressif orienté croissance. Justifié par horizon 17+ ans et épargne high-rate.</t>
  </si>
  <si>
    <t>🔴 AGRESSIF</t>
  </si>
  <si>
    <t>🆘  STRESS-TEST  ·  Que se passe-t-il si... · Plan B pour chaque scénario</t>
  </si>
  <si>
    <t>SCÉNARIO</t>
  </si>
  <si>
    <t>IMPACT ESTIMÉ</t>
  </si>
  <si>
    <t>PLAN B ACTIVÉ</t>
  </si>
  <si>
    <t>SEUIL DÉCLENCHEUR</t>
  </si>
  <si>
    <t>Perte d'emploi 12 mois</t>
  </si>
  <si>
    <t>Zéro revenu · dépenses fixes $700/mois seulement · portfolio intact</t>
  </si>
  <si>
    <t>EQ Bank $15K (7 mois) · stop contributions · vendre ZRE+XIC+VDU T4 si besoin</t>
  </si>
  <si>
    <t>Chômage confirmé</t>
  </si>
  <si>
    <t>Marché -30% (ex: récession 2025)</t>
  </si>
  <si>
    <t>Portfolio $87K → ~$61K · P&amp;L TFSA effacé</t>
  </si>
  <si>
    <t>ACHAT AGRESSIF T1 · doubler contributions si cash dispo · NE PAS vendre</t>
  </si>
  <si>
    <t>S&amp;P500 -20% depuis ATH</t>
  </si>
  <si>
    <t>Marché -40% (ex: 2008-09)</t>
  </si>
  <si>
    <t>Portfolio $87K → ~$52K · AVGO/SMH/GEV potentiellement -50%</t>
  </si>
  <si>
    <t>Même plan: acheter · vérifier qu'aucun titre n'est en danger fondamental · tenir</t>
  </si>
  <si>
    <t>VIX &gt; 40</t>
  </si>
  <si>
    <t>Invalidité permanente</t>
  </si>
  <si>
    <t>✅ Couverture COMPLÈTE employeur · Assurance vie: employeur + privée ✅</t>
  </si>
  <si>
    <t>🔴 Bénéficiaires TFSA/REER/FHSA NON DÉSIGNÉS — ACTION: Questrade → Mon compte → Bénéficiaires</t>
  </si>
  <si>
    <t>Diagnostic médical</t>
  </si>
  <si>
    <t>Décès (planification successorale)</t>
  </si>
  <si>
    <t>TFSA → conjoint/bénéficiaire tax-free · REER → succession imposable</t>
  </si>
  <si>
    <t>⬜ DÉFINIR: bénéficiaires TFSA/REER/FHSA · testament à jour</t>
  </si>
  <si>
    <t>N/A — prévenir maintenant</t>
  </si>
  <si>
    <t>Taux hypothécaires &gt; 7% en 2030</t>
  </si>
  <si>
    <t>Paiement mensuel $400K @7% = $2,798/mois vs $1,222 @4.5%</t>
  </si>
  <si>
    <t>Revoir décision maison · attendre baisse taux · augmenter mise de fonds</t>
  </si>
  <si>
    <t>Taux 5 ans &gt; 6%</t>
  </si>
  <si>
    <t>📉  INFLATION  ·  $2.1M en 2043 ≠ $2.1M aujourd'hui · Impact réel modélisé</t>
  </si>
  <si>
    <t>Taux inflation hypothèse</t>
  </si>
  <si>
    <t>Inflation Canada historique ~2.0-2.5%. BdC cible = 2%.</t>
  </si>
  <si>
    <t>Années jusqu'à FI (Scénario B)</t>
  </si>
  <si>
    <t>2026 → 2047 (FI 55 ans, confirmé S16)</t>
  </si>
  <si>
    <t>Objectif FI nominal ($)</t>
  </si>
  <si>
    <t>⚠️ Objectif FI RÉEL ajusté inflation</t>
  </si>
  <si>
    <t>← En dollars 2043 pour MÊME pouvoir d'achat qu'aujourd'hui</t>
  </si>
  <si>
    <t>Écart vs objectif nominal</t>
  </si>
  <si>
    <t>← Combien il manque par rapport à $2.1M nominal · Ajuster la cible FI en conséquence</t>
  </si>
  <si>
    <t>Revenu mensuel équivalent en 2043</t>
  </si>
  <si>
    <t>← Règle 4% sur objectif ajusté = revenu mensuel réel équivalent à $7K/mois 2026</t>
  </si>
  <si>
    <t>💎  PATRIMOINE NET TOTAL  ·  Au-delà du portfolio · Bilan complet</t>
  </si>
  <si>
    <t>LIQUIDITÉ</t>
  </si>
  <si>
    <t>←auto · Investissement long terme</t>
  </si>
  <si>
    <t>🔴 Intouchable</t>
  </si>
  <si>
    <t>←auto · Maison 2030 ou retraite</t>
  </si>
  <si>
    <t>🟡 Maison 2030</t>
  </si>
  <si>
    <t>←auto · RAP + retraite</t>
  </si>
  <si>
    <t>🟡 RAP 2030</t>
  </si>
  <si>
    <t>←auto CONFIG · Fonds urgence</t>
  </si>
  <si>
    <t>🟢 Liquide</t>
  </si>
  <si>
    <t>Voiture (valeur actuelle)</t>
  </si>
  <si>
    <t>←auto CONFIG · Actif dépréciable</t>
  </si>
  <si>
    <t>🟡 Vendre si besoin</t>
  </si>
  <si>
    <t>Moto (valeur actuelle)</t>
  </si>
  <si>
    <t>Crypto BTC</t>
  </si>
  <si>
    <t>←auto CONFIG · Hors stratégie</t>
  </si>
  <si>
    <t>TOTAL ACTIFS</t>
  </si>
  <si>
    <t>← Patrimoine brut total</t>
  </si>
  <si>
    <t>🤖  CONCENTRATION IA  ·  Corrélation &amp; risque sectoriel · Seuil = 45%</t>
  </si>
  <si>
    <t>Expo IA estimée (auto)</t>
  </si>
  <si>
    <t>←auto CONFIG · Calculé depuis ANALYSE TRIABLE col S (expo IA%)</t>
  </si>
  <si>
    <t>Statut concentration IA</t>
  </si>
  <si>
    <t>Titres IA haute corrélation</t>
  </si>
  <si>
    <t>AVGO · SMH · NVDA · QQQM · QTUM · META · GOOG · AMZN · GEV</t>
  </si>
  <si>
    <t>Si le marché IA corrige -40% (type 2022), ces titres bougent ensemble</t>
  </si>
  <si>
    <t>Impact scénario crash IA -40%</t>
  </si>
  <si>
    <t>← Perte estimée si tous les actifs USD/IA corrigent -40% ensemble</t>
  </si>
  <si>
    <t>📋  RÈGLES PERSONNELLES  ·  Non-négociables · Gravées dans la stratégie</t>
  </si>
  <si>
    <t>🔒 JAMAIS vendre</t>
  </si>
  <si>
    <t>T.TO + MFC.TO en TFSA</t>
  </si>
  <si>
    <t>Room TFSA perdu définitivement · Les 2 en perte latente → garder</t>
  </si>
  <si>
    <t>🎯 FI = liberté</t>
  </si>
  <si>
    <t>Pas un chiffre fixe</t>
  </si>
  <si>
    <t>$2.1M = plancher · Maximiser toujours · Pas de cible d'arrêt</t>
  </si>
  <si>
    <t>💱 USD max 65%</t>
  </si>
  <si>
    <t>Seuil absolu</t>
  </si>
  <si>
    <t>Au-delà → rééquilibrer vers CAD (VFV.TO, XIC, ENB.TO)</t>
  </si>
  <si>
    <t>🤖 IA max 45%</t>
  </si>
  <si>
    <t>Corrélation sectorielle = risque concentré · Diversifier</t>
  </si>
  <si>
    <t>📅 No-buy 7j avant</t>
  </si>
  <si>
    <t>Earnings T1/T2</t>
  </si>
  <si>
    <t>Volatilité earnings = risque inutile · Acheter après annonce</t>
  </si>
  <si>
    <t>🏠 RAP = pré-retraite</t>
  </si>
  <si>
    <t>REER sert les 2 objectifs</t>
  </si>
  <si>
    <t>Croître REER pour RAP 2030 ET retraite après remboursement 15 ans</t>
  </si>
  <si>
    <t>💰 T4→T1 naturel</t>
  </si>
  <si>
    <t>Ne pas vendre T4 sauf mieux</t>
  </si>
  <si>
    <t>Laisser les T4 se diluer · Réinvestir dividendes en T1/T2</t>
  </si>
  <si>
    <t>Avant chaque validation</t>
  </si>
  <si>
    <t>Chercher la faille AVANT d'exécuter · Jamais valider immédiatement</t>
  </si>
  <si>
    <t>📓  JOURNAL DÉCISIONS  ·  Apprentissage continu · Ne jamais répéter la même erreur deux fois</t>
  </si>
  <si>
    <t>"Chaque décision documentée = Claude apprend. Résultat J+30 obligatoire. Dans 6 mois ce journal = meilleur atout."</t>
  </si>
  <si>
    <t>📋  LOG DÉCISIONS  ·  Saisir après chaque transaction ou décision importante</t>
  </si>
  <si>
    <t>DATE</t>
  </si>
  <si>
    <t>TICKER</t>
  </si>
  <si>
    <t>PRIX</t>
  </si>
  <si>
    <t>RATIONALE</t>
  </si>
  <si>
    <t>RÉSULTAT J+30</t>
  </si>
  <si>
    <t>DELTA %</t>
  </si>
  <si>
    <t>LEÇON</t>
  </si>
  <si>
    <t>VERDICT</t>
  </si>
  <si>
    <t>2026-03-11</t>
  </si>
  <si>
    <t>ACHETÉ</t>
  </si>
  <si>
    <t>~$462</t>
  </si>
  <si>
    <t>$340.95</t>
  </si>
  <si>
    <t>Soir · buying power settle · 1u fractionnel · DCA opportuniste</t>
  </si>
  <si>
    <t>⬜ À remplir 11 avr 2026</t>
  </si>
  <si>
    <t>GEV</t>
  </si>
  <si>
    <t>~$314</t>
  </si>
  <si>
    <t>$845.53</t>
  </si>
  <si>
    <t>Soir · fractionnel · énergie IA · position stratégique renforcée</t>
  </si>
  <si>
    <t>SMH</t>
  </si>
  <si>
    <t>~$2,715</t>
  </si>
  <si>
    <t>$400.33</t>
  </si>
  <si>
    <t>13h55 · T4→T1 · semi-conducteurs · dip session · +5u</t>
  </si>
  <si>
    <t>~$2,772</t>
  </si>
  <si>
    <t>$340.65</t>
  </si>
  <si>
    <t>13h34 · T4→T1 · IA chips · redéploiement PLZ.UN · +6u</t>
  </si>
  <si>
    <t>~$1,144</t>
  </si>
  <si>
    <t>$844.18</t>
  </si>
  <si>
    <t>13h37 · T4→T1 · énergie IA infrastructure · +1u</t>
  </si>
  <si>
    <t>REI.UN.TO</t>
  </si>
  <si>
    <t>VENDU</t>
  </si>
  <si>
    <t>$6,315</t>
  </si>
  <si>
    <t>$19.02</t>
  </si>
  <si>
    <t>13h54 · T4→T1 · REIT résidentiel sous-pression taux élevés</t>
  </si>
  <si>
    <t>✅ Capital redéployé SMH</t>
  </si>
  <si>
    <t>REITs TFSA → dilution naturelle confirmée</t>
  </si>
  <si>
    <t>PLZ.UN.TO</t>
  </si>
  <si>
    <t>$4,094</t>
  </si>
  <si>
    <t>$4.26</t>
  </si>
  <si>
    <t>13h33 · T4→T1 · en gain +17% · REIT sous-performant vs T1</t>
  </si>
  <si>
    <t>✅ Capital redéployé AVGO+GEV</t>
  </si>
  <si>
    <t>Vendre T4 en gain = bon timing</t>
  </si>
  <si>
    <t>2026-03-10</t>
  </si>
  <si>
    <t>VFV.TO</t>
  </si>
  <si>
    <t>~$2,518</t>
  </si>
  <si>
    <t>$157.38</t>
  </si>
  <si>
    <t>Premier achat FHSA 2026 · double exonération fiscale · ancre CAD</t>
  </si>
  <si>
    <t>⬜ À remplir 10 avr 2026</t>
  </si>
  <si>
    <t>2026-03-09</t>
  </si>
  <si>
    <t>~$197</t>
  </si>
  <si>
    <t>$345.76</t>
  </si>
  <si>
    <t>DCA mensuel fractionnel · T1 · bull case IA confirmé Q1</t>
  </si>
  <si>
    <t>⬜ À remplir 9 avr 2026</t>
  </si>
  <si>
    <t>── NOUVELLES DÉCISIONS — AJOUTER ICI ──</t>
  </si>
  <si>
    <t>SMH ×10u</t>
  </si>
  <si>
    <t>~$5,434</t>
  </si>
  <si>
    <t>$400.33-67</t>
  </si>
  <si>
    <t>10u en 2 tranches · diversification dip vs AVGO only</t>
  </si>
  <si>
    <t>⬜ J+30</t>
  </si>
  <si>
    <t>⬜ Leçon</t>
  </si>
  <si>
    <t>✅ Bon conseil · diversifier</t>
  </si>
  <si>
    <t>⬜ Verdict</t>
  </si>
  <si>
    <t>Grande rotation</t>
  </si>
  <si>
    <t>MULTI</t>
  </si>
  <si>
    <t>~$26K</t>
  </si>
  <si>
    <t>Varié</t>
  </si>
  <si>
    <t>Liquidation 15+ positions → T1 concentré · SESSION MAJEURE</t>
  </si>
  <si>
    <t>✅ Rotation validée · excellent</t>
  </si>
  <si>
    <t>SCHD ×2</t>
  </si>
  <si>
    <t>~$222 USD</t>
  </si>
  <si>
    <t>$30.88-30.94</t>
  </si>
  <si>
    <t>REER débloqué · 2 tranches · snowball ARC</t>
  </si>
  <si>
    <t>✅ Priorité #1 · parfait</t>
  </si>
  <si>
    <t>2026-03-04</t>
  </si>
  <si>
    <t>ZLB.TO</t>
  </si>
  <si>
    <t>$240</t>
  </si>
  <si>
    <t>$59.97 CAD</t>
  </si>
  <si>
    <t>GTC · +4u Low Vol T3 · stabilité</t>
  </si>
  <si>
    <t>⬜ À évaluer J+30</t>
  </si>
  <si>
    <t>2026-03-03</t>
  </si>
  <si>
    <t>H.TO</t>
  </si>
  <si>
    <t>$407</t>
  </si>
  <si>
    <t>$58.08 CAD</t>
  </si>
  <si>
    <t>GTC · +7u Hydro One T3 · utilités défensif</t>
  </si>
  <si>
    <t>2026-02-09</t>
  </si>
  <si>
    <t>MFC.TO</t>
  </si>
  <si>
    <t>$414</t>
  </si>
  <si>
    <t>$51.70 CAD</t>
  </si>
  <si>
    <t>GTC · +8u Manulife · règle JAMAIS VENDRE active</t>
  </si>
  <si>
    <t>YYYY-MM-DD</t>
  </si>
  <si>
    <t>CTE</t>
  </si>
  <si>
    <t>ACHETÉ/VENDU</t>
  </si>
  <si>
    <t>$</t>
  </si>
  <si>
    <t>Pourquoi cette décision?</t>
  </si>
  <si>
    <t>⬜ À remplir J+30</t>
  </si>
  <si>
    <t>Leçon apprise?</t>
  </si>
  <si>
    <t>Conseil donné par Claude au moment du trade</t>
  </si>
  <si>
    <t>⬜ Bon / Mauvais · pourquoi</t>
  </si>
  <si>
    <t>💡 VERDICT J+30 : Remplir "✅ Bon · [raison]" ou "❌ Mauvais · [raison]" · Ce sont les données qui améliorent Claude session après session</t>
  </si>
  <si>
    <t>🧠  PATTERNS COMPORTEMENTAUX  ·  Reconnus par Claude · Mis à jour chaque session</t>
  </si>
  <si>
    <t>ID</t>
  </si>
  <si>
    <t>PATTERN</t>
  </si>
  <si>
    <t>P1</t>
  </si>
  <si>
    <t>Buy the dip</t>
  </si>
  <si>
    <t>Achat systématique en correction · COVID playbook · jamais paniquer · AVGO -10% = achète plus</t>
  </si>
  <si>
    <t>P2</t>
  </si>
  <si>
    <t>Timing mi-mois</t>
  </si>
  <si>
    <t>Liquidités arrivent mi-mois pas début · planifier achats en conséquence · pas de FOMO</t>
  </si>
  <si>
    <t>P3</t>
  </si>
  <si>
    <t>Sessions intensives</t>
  </si>
  <si>
    <t>Sessions longues et profondes (vacances) vs courtes quotidiennes · adapter profondeur analyse</t>
  </si>
  <si>
    <t>P4</t>
  </si>
  <si>
    <t>Rotation T4→T1</t>
  </si>
  <si>
    <t>Rotation T4→T1 quand T4 en gain &gt;5% · ne jamais attendre le top · agir quand gain visible</t>
  </si>
  <si>
    <t>P5</t>
  </si>
  <si>
    <t>Fiscal first</t>
  </si>
  <si>
    <t>REER avant TFSA si même ticker · 52.98% retour immédiat · règle non négociable</t>
  </si>
  <si>
    <t>📅  PRÉPARATION VERDICTS J+30  ·  À remplir le 11 avril 2026  ·  Évaluer chaque trade du 11 mars</t>
  </si>
  <si>
    <t>⏰  Le 11 avril 2026 — ouvrir ce tableau, regarder prix Questrade de chaque ticker, remplir col I+J+K</t>
  </si>
  <si>
    <t>PRIX ACHAT</t>
  </si>
  <si>
    <t>QTÉ</t>
  </si>
  <si>
    <t>DATE TRADE</t>
  </si>
  <si>
    <t>PRIX J+30
(11 avr)</t>
  </si>
  <si>
    <t>PERF 30j</t>
  </si>
  <si>
    <t>VERDICT CLAUDE
(bon/mauvais?)</t>
  </si>
  <si>
    <t>SCORE CLAUDE</t>
  </si>
  <si>
    <t>$4.26 CAD</t>
  </si>
  <si>
    <t>961u</t>
  </si>
  <si>
    <t>⬜ Prix J+30</t>
  </si>
  <si>
    <t>✅ Bon — T4 en gain +17% → T1</t>
  </si>
  <si>
    <t>$19.02 CAD</t>
  </si>
  <si>
    <t>332u</t>
  </si>
  <si>
    <t>✅ Bon — timing pre-BdC ok</t>
  </si>
  <si>
    <t>$340.65 USD</t>
  </si>
  <si>
    <t>6u</t>
  </si>
  <si>
    <t>✅ Probable — T1 IA core</t>
  </si>
  <si>
    <t>$844.18 USD</t>
  </si>
  <si>
    <t>1u</t>
  </si>
  <si>
    <t>✅ Probable — énergie IA</t>
  </si>
  <si>
    <t>SMH ×5</t>
  </si>
  <si>
    <t>$400.33 USD</t>
  </si>
  <si>
    <t>5u</t>
  </si>
  <si>
    <t>2026-03-11 13h55</t>
  </si>
  <si>
    <t>✅ Probable — semis dip</t>
  </si>
  <si>
    <t>$400.67 USD</t>
  </si>
  <si>
    <t>2026-03-11 14h02</t>
  </si>
  <si>
    <t>✅ Probable — 2e tranche</t>
  </si>
  <si>
    <t>AVGO soir</t>
  </si>
  <si>
    <t>$340.19 USD</t>
  </si>
  <si>
    <t>~1u</t>
  </si>
  <si>
    <t>2026-03-11 soir</t>
  </si>
  <si>
    <t>⬜ À évaluer — buying power settle</t>
  </si>
  <si>
    <t>GEV soir</t>
  </si>
  <si>
    <t>$843.80 USD</t>
  </si>
  <si>
    <t>~0.37u</t>
  </si>
  <si>
    <t>⬜ À évaluer — fractionnel soir</t>
  </si>
  <si>
    <t>💡 PROTOCOLE VERDICT J+30 (11 avril 2026)
① Ouvrir Questrade → noter prix actuel de chaque ticker dans col G
② Calculer PERF 30j = (Prix J+30 − Prix achat) / Prix achat
③ Verdict Claude = "✅ Bon · [raison]" ou "❌ Mauvais · [raison]"
④ Leçon = ce que ça t'apprend sur ta méthode de décision
⑤ Score Claude = si conseil était bon, ça renforce la confiance dans la méthodologie</t>
  </si>
  <si>
    <t>🎓  LEÇONS APPRISES  ·  Boucle d'amélioration permanente · Mise à jour après chaque verdict J+30</t>
  </si>
  <si>
    <t>DATE LEÇON</t>
  </si>
  <si>
    <t>DÉCISION ORIGINE</t>
  </si>
  <si>
    <t>CE QUI S'EST PASSÉ</t>
  </si>
  <si>
    <t>ERREUR / BIAIS</t>
  </si>
  <si>
    <t>RÈGLE CRÉÉE</t>
  </si>
  <si>
    <t>Achat AVGO/GEV/SMH
post-rotation T4→T1</t>
  </si>
  <si>
    <t>Bonne décision stratégique. Timing VIX 24.6 = zone d'opportunité. À valider @J+30.</t>
  </si>
  <si>
    <t>Possible FOMO sur IA — surveiller si concentration &gt;45%</t>
  </si>
  <si>
    <t>Règle: vérifier expo IA% avant chaque achat T1 supplémentaire</t>
  </si>
  <si>
    <t>⏳ Verdict 11 avril 2026</t>
  </si>
  <si>
    <t>Vente PLZ.UN + REI.UN
T4 dilution naturelle</t>
  </si>
  <si>
    <t>PLZ.UN vendu $4.26 · Coût moy $4.26 → breakeven. REI.UN vendu $19.02.</t>
  </si>
  <si>
    <t>Aurais-tu pu vendre plus tôt ? PLZ.UN était en stagnation depuis mois.</t>
  </si>
  <si>
    <t>Règle: T4 REIT → revoir trim si -15% vs coût et dividende &lt;4%</t>
  </si>
  <si>
    <t>✅ Décision validée</t>
  </si>
  <si>
    <t>Nettoyage REER
(XEI/ZEQT/XRE → SCHD)</t>
  </si>
  <si>
    <t>SCHD 64.31u en REER = position snowball centrée. Bonne simplification.</t>
  </si>
  <si>
    <t>Aucun biais identifié. Décision alignée stratégie.</t>
  </si>
  <si>
    <t>Règle: REER = SCHD uniquement jusqu'à $60K RAP + JEPI pour revenus</t>
  </si>
  <si>
    <t>2026-03-12</t>
  </si>
  <si>
    <t>SYSTÈME</t>
  </si>
  <si>
    <t>S20</t>
  </si>
  <si>
    <t>UPGRADE</t>
  </si>
  <si>
    <t>S20 — Dashboard v3 + flow symbiose xlsx↔dashboard. Bouton Recharger. Prix live Yahoo Finance. Architecture: xlsx = source unique de vérité.</t>
  </si>
  <si>
    <t>📐  RÈGLES ÉMERGENTES  ·  Extraites des leçons · Se construisent session par session</t>
  </si>
  <si>
    <t>R001</t>
  </si>
  <si>
    <t>Jamais acheter T1 si expo IA% &gt; 45% sans d'abord calculer le nouveau %</t>
  </si>
  <si>
    <t>✅ ACTIVE</t>
  </si>
  <si>
    <t>R002</t>
  </si>
  <si>
    <t>T4 REIT: revoir si dividende &lt;4% ET -15% vs coût moy depuis &gt;6 mois</t>
  </si>
  <si>
    <t>R003</t>
  </si>
  <si>
    <t>REER = SCHD exclusivement jusqu'à RAP $60K. Exception: JEPI &lt;5% allocation</t>
  </si>
  <si>
    <t>R004</t>
  </si>
  <si>
    <t>⬜ À créer</t>
  </si>
  <si>
    <t>Quand alléger T1 ? (ex: si position &gt;30% du portfolio → rééquilibrer)</t>
  </si>
  <si>
    <t>R005</t>
  </si>
  <si>
    <t>Seuil psychologique personnel : à partir de quel % drawdown tu agis différemment ?</t>
  </si>
  <si>
    <t>── SESSION S16 — 11 mars 2026 ──</t>
  </si>
  <si>
    <t>BUDGET</t>
  </si>
  <si>
    <t>CONFIG</t>
  </si>
  <si>
    <t>MAJ</t>
  </si>
  <si>
    <t>$5,000/mois</t>
  </si>
  <si>
    <t>REER $2K+FHSA $1K+TFSA $500+EQ Bank $1,500</t>
  </si>
  <si>
    <t>Confirmé S16</t>
  </si>
  <si>
    <t>✅ Exécuté</t>
  </si>
  <si>
    <t>TIER CONFIRMÉ</t>
  </si>
  <si>
    <t>T3</t>
  </si>
  <si>
    <t>Hold sans accumulation — P/E 26x, yield 2.3%, mono-régulateur Ontario</t>
  </si>
  <si>
    <t>Défendu vs pression changement</t>
  </si>
  <si>
    <t>✅ T3 maintenu</t>
  </si>
  <si>
    <t>XIC.TO</t>
  </si>
  <si>
    <t>T4</t>
  </si>
  <si>
    <t>Diluer naturellement — overlap avec VFV.TO, TSX concentré financières/énergie</t>
  </si>
  <si>
    <t>✅ T4 maintenu</t>
  </si>
  <si>
    <t>PLAN ANALYSE</t>
  </si>
  <si>
    <t>TOUS</t>
  </si>
  <si>
    <t>DÉCISION</t>
  </si>
  <si>
    <t>S17+</t>
  </si>
  <si>
    <t>Grille 8 critères scorecard /10 à créer — analyser chaque titre portfolio</t>
  </si>
  <si>
    <t>À exécuter S17</t>
  </si>
  <si>
    <t>⏳ PENDING S17</t>
  </si>
  <si>
    <t>📅  PROTOCOLE VERDICTS J+30  ·  Mesurer fiabilité analyses  ·  Gravé S16</t>
  </si>
  <si>
    <t>🔔 ALARME TÉLÉPHONE : 11 avril 2026 — Verdict J+30 portefeuille · Ouvrir Questrade + noter prix de chaque ticker T1/T2</t>
  </si>
  <si>
    <t>Mesurer si les analyses de Claude sont fiables dans le temps. Si alpha vs VFV.TO = négatif sur 6 mois → simplifier vers index.</t>
  </si>
  <si>
    <t>VFV.TO au 11 mars 2026 = $164.00 CAD. Au 11 avril → calculer %perf VFV vs portfolio total.</t>
  </si>
  <si>
    <t>DATE DÉCISION</t>
  </si>
  <si>
    <t>PRIX ENTRÉE</t>
  </si>
  <si>
    <t>RAISONNEMENT</t>
  </si>
  <si>
    <t>PRIX J+30</t>
  </si>
  <si>
    <t>RÉSULTAT %</t>
  </si>
  <si>
    <t>VFV J+30</t>
  </si>
  <si>
    <t>ALPHA</t>
  </si>
  <si>
    <t>🟢 ACHETÉ</t>
  </si>
  <si>
    <t>T1 core · dip marché · conviction max semi</t>
  </si>
  <si>
    <t>⬜ 11 avril</t>
  </si>
  <si>
    <t>⬜ OUI/NON</t>
  </si>
  <si>
    <t>⬜ À remplir</t>
  </si>
  <si>
    <t>T1 énergie propre · croissance forte</t>
  </si>
  <si>
    <t>🟢 ACHETÉ ×2</t>
  </si>
  <si>
    <t>$400.50 USD</t>
  </si>
  <si>
    <t>T1 semis · diversification secteur</t>
  </si>
  <si>
    <t>$30.88 USD</t>
  </si>
  <si>
    <t>REER · snowball fiscal $1,060/mois ARC</t>
  </si>
  <si>
    <t>🔴 VENDU</t>
  </si>
  <si>
    <t>T4 → T1 · REIT faible rendement → libérer capital</t>
  </si>
  <si>
    <t>✅ N/A vendu</t>
  </si>
  <si>
    <t>📊 SESSION S21</t>
  </si>
  <si>
    <t>Analyse complète 80 points (40F+40W) · 10 améliorations xlsx · Dashboard v5 · Onglet RAISONNEMENTS créé · Score santé 68/100</t>
  </si>
  <si>
    <t>⚠️ ALERTE</t>
  </si>
  <si>
    <t>FHSA 36% T4 documenté · $4,752 REI+SRU+XIC+XEI → à recycler vers VFV.TO post-BdC 18 mars</t>
  </si>
  <si>
    <t>FTQ</t>
  </si>
  <si>
    <t>✅ DÉCOUVERTE</t>
  </si>
  <si>
    <t>Si REER $24K + FHSA $16K → revenu imposable $100K &lt; seuil $129,590 → FTQ 2027 éligible · $4,149 récupérable</t>
  </si>
  <si>
    <t>2026-03-13</t>
  </si>
  <si>
    <t>XEQT.TO</t>
  </si>
  <si>
    <t>$39.93 CAD</t>
  </si>
  <si>
    <t>FHSA · 100u · $3,993 · analyse Research marché complet · 15:06:55 ET</t>
  </si>
  <si>
    <t>⬜ 13 avril 2026</t>
  </si>
  <si>
    <t>📊 SESSION S34-S35</t>
  </si>
  <si>
    <t>Research marché exhaustif · Top 15 actions + 15 ETFs · Décision FHSA $4,015 → 100% XEQT · v58-S35</t>
  </si>
  <si>
    <t>📊 SESSION S36</t>
  </si>
  <si>
    <t>Audit complet HeyOS · Faille boucle apprentissage identifiée · Sources piliers 2-3-4 ajoutées (211-220) · CLAUDE.md S36</t>
  </si>
  <si>
    <t>2026-04-13</t>
  </si>
  <si>
    <t>VERDICT J+30</t>
  </si>
  <si>
    <t>🔔 ALARME OBLIGATOIRE</t>
  </si>
  <si>
    <t>XEQT.TO @$39.93</t>
  </si>
  <si>
    <t>Comparer XEQT vs VFV vs S&amp;P 500 pur · Fermer boucle apprentissage · Documenter leçon</t>
  </si>
  <si>
    <t>⬜ 13 avril</t>
  </si>
  <si>
    <t>2026-04-11</t>
  </si>
  <si>
    <t>AVGO·SMH·GEV·SCHD</t>
  </si>
  <si>
    <t>Calculer alpha vs VFV.TO · Si alpha négatif → réviser conviction · FERMER BOUCLE — pas laisser ⬜</t>
  </si>
  <si>
    <t>2026-03-14,AVGO,ÉVALUATION,N/A,Analyse technique et fondamentale S39 (Veille active),Évaluation terminée (No-Buy),0,Rien à signaler,No-Buy Earnings (S39)</t>
  </si>
  <si>
    <t>🧠  RAISONNEMENTS &amp; PSYCHOLOGIE  ·  Le POURQUOI des décisions  ·  Mémoire comportementale cumulée  ·  S21</t>
  </si>
  <si>
    <t>📌  Ce qui compte n'est pas QUOI tu as acheté, mais POURQUOI — et si ce pourquoi était bon. Chaque ligne = une leçon permanente.</t>
  </si>
  <si>
    <t>① BIAIS PSYCHOLOGIQUES DOCUMENTÉS  ·  Identifiés en session · Pattern recognition cumulatif</t>
  </si>
  <si>
    <t>BIAIS</t>
  </si>
  <si>
    <t>MANIFESTATION RÉELLE</t>
  </si>
  <si>
    <t>DÉCLENCHEUR</t>
  </si>
  <si>
    <t>STRATÉGIE CONTRE</t>
  </si>
  <si>
    <t>SESSIONS</t>
  </si>
  <si>
    <t>Buy-the-dip fort ✅</t>
  </si>
  <si>
    <t>Achat agressif pendant corrections</t>
  </si>
  <si>
    <t>COVID mars 2020 : achat à -35% → retour exceptionnel. 11 mars 2026 : AVGO+SMH+GEV achetés pendant correction -3.4%.</t>
  </si>
  <si>
    <t>VIX &gt; 20, S&amp;P -5%+ depuis ATH</t>
  </si>
  <si>
    <t>Ancrer sur historique COVID. Calculer valeur à 10 ans.</t>
  </si>
  <si>
    <t>✅ FORCE</t>
  </si>
  <si>
    <t>S1→S21</t>
  </si>
  <si>
    <t>Frein pré-achat ⚠️</t>
  </si>
  <si>
    <t>Hésitation 1-3 jours avant achat même en conviction max</t>
  </si>
  <si>
    <t>AVGO 11 mars : 2 jours d'hésitation. Peur d'acheter trop tôt dans la correction.</t>
  </si>
  <si>
    <t>Incertitude marché en cours</t>
  </si>
  <si>
    <t>Pre-commit : décider le soir, exécuter à l'ouverture.</t>
  </si>
  <si>
    <t>⚠️ ACTIF</t>
  </si>
  <si>
    <t>S18-S21</t>
  </si>
  <si>
    <t>FOMO IA possible ⚠️</t>
  </si>
  <si>
    <t>Surpondération secteur IA par enthousiasme</t>
  </si>
  <si>
    <t>Expo IA ~35% coût base. Documenté comme risque toutes les sessions.</t>
  </si>
  <si>
    <t>Nouvelles IA · perf AVGO/SMH</t>
  </si>
  <si>
    <t>Règle absolue ≤45%. Calculer expo avant chaque achat T1 IA.</t>
  </si>
  <si>
    <t>S14→S21</t>
  </si>
  <si>
    <t>Inaction sur urgences 🔴</t>
  </si>
  <si>
    <t>Retarder actions simples malgré documentation répétée</t>
  </si>
  <si>
    <t>EQ Bank $0 après 4+ sessions. Bénéficiaires non désignés. Automatisation non faite.</t>
  </si>
  <si>
    <t>Sentiment que c'est moins urgent que les trades</t>
  </si>
  <si>
    <t>Lier action urgente à prochaine paie. Alarme téléphone.</t>
  </si>
  <si>
    <t>🔴 CRITIQUE</t>
  </si>
  <si>
    <t>S17→S21</t>
  </si>
  <si>
    <t>Timing parfait ⚠️</t>
  </si>
  <si>
    <t>Attendre le meilleur moment au lieu de DCA systématique</t>
  </si>
  <si>
    <t>Contributions non automatisées → risque timer le marché chaque mois.</t>
  </si>
  <si>
    <t>Volatilité · incertitude macro</t>
  </si>
  <si>
    <t>Automatiser le 15 de chaque mois.</t>
  </si>
  <si>
    <t>S16→S21</t>
  </si>
  <si>
    <t>② JOURNAL DES RAISONNEMENTS  ·  Décisions clés avec le POURQUOI réel · Verdict J+30 intégré</t>
  </si>
  <si>
    <t>ÉMOTION</t>
  </si>
  <si>
    <t>RAISONNEMENT RÉEL</t>
  </si>
  <si>
    <t>DOUTES AU MOMENT</t>
  </si>
  <si>
    <t>LEÇON APPRISE</t>
  </si>
  <si>
    <t>Conviction + légère hésitation</t>
  </si>
  <si>
    <t>T1 core IA. Dip -3.4% ATH. VIX 24.6. Broadcom = quasi-monopole switch semis IA. Prix $340.65 = -15% depuis ATH.</t>
  </si>
  <si>
    <t>Trop tôt dans la correction? Attendre -20%?</t>
  </si>
  <si>
    <t>⬜ 11 avril 2026</t>
  </si>
  <si>
    <t>Hésitation = frein pré-achat actif. Conviction fondamentale = correcte. Pre-commit aurait éliminé 2 jours d'attente.</t>
  </si>
  <si>
    <t>SMH ×2</t>
  </si>
  <si>
    <t>Conviction forte</t>
  </si>
  <si>
    <t>ETF semis = expo T1 sans risque titre unique. NVDA+AVGO+TSM sans concentration. VIX élevé = opportunité.</t>
  </si>
  <si>
    <t>Double position trop agressif?</t>
  </si>
  <si>
    <t>Double achat ETF = bon si conviction sectorielle. Moins risqué qu'un titre seul. À refaire en correction.</t>
  </si>
  <si>
    <t>Infrastructure IA + énergie propre. Croissance &gt;30%/an. Complémentaire AVBO/SMH. Small position = risque contrôlé.</t>
  </si>
  <si>
    <t>Valorisation élevée? Cyclique?</t>
  </si>
  <si>
    <t>Position initiée à conviction. Petite taille = entrée prudente. Accumuler si confirmation.</t>
  </si>
  <si>
    <t>PLZ.UN</t>
  </si>
  <si>
    <t>Soulagement rationnel</t>
  </si>
  <si>
    <t>T4 REIT faible croissance. Libérer capital T1. Décision système, pas émotionnelle. $4,094 recyclés.</t>
  </si>
  <si>
    <t>Vendre en correction = bon timing?</t>
  </si>
  <si>
    <t>✅ Correct</t>
  </si>
  <si>
    <t>Rotation T4→T1 = décision système pure. Résultat: $4,094 → AVGO+SMH+GEV. À reproduire systématiquement.</t>
  </si>
  <si>
    <t>Discipline pure — zéro émotion</t>
  </si>
  <si>
    <t>REER $2,000 → SCHD. Planifié S19. Exécuté 9h30 HNE. Snowball $1,060/mois ARC activé.</t>
  </si>
  <si>
    <t>Aucun — pré-commité la veille</t>
  </si>
  <si>
    <t>✅ Parfait</t>
  </si>
  <si>
    <t>Pre-commitment = zéro hésitation. Meilleur trade = décidé avant l'ouverture. Modèle à reproduire.</t>
  </si>
  <si>
    <t>③ PATTERNS RÉCURRENTS  ·  Ce que les données révèlent sur le style décisionnel</t>
  </si>
  <si>
    <t>IMPACT</t>
  </si>
  <si>
    <t>VERDICT GLOBAL</t>
  </si>
  <si>
    <t>Buy-the-dip systématique</t>
  </si>
  <si>
    <t>Chaque correction &gt;3% → achat T1</t>
  </si>
  <si>
    <t>Très positif — retours supérieurs au DCA fixe 2020-2026</t>
  </si>
  <si>
    <t>✅ GARDER — C'est l'avantage compétitif principal</t>
  </si>
  <si>
    <t>Pre-commitment = zéro friction</t>
  </si>
  <si>
    <t>SCHD 12 mars = zéro hésitation vs AVGO 11 mars = 2 jours</t>
  </si>
  <si>
    <t>Pré-décider = exécution parfaite sans stress</t>
  </si>
  <si>
    <t>✅ SYSTÉMATISER — Décider le soir, exécuter à l'ouverture</t>
  </si>
  <si>
    <t>Inaction sur non-trades</t>
  </si>
  <si>
    <t>EQ Bank, automatisation, bénéficiaires = toujours reportés</t>
  </si>
  <si>
    <t>Risque opérationnel cumulatif élevé</t>
  </si>
  <si>
    <t>🔴 PATTERN DANGEREUX — Alarme téléphone = seule solution</t>
  </si>
  <si>
    <t>Validation Claude = accélérateur</t>
  </si>
  <si>
    <t>Sessions Claude → décisions plus rapides et plus sûres</t>
  </si>
  <si>
    <t>Frein pré-achat réduit de 80%</t>
  </si>
  <si>
    <t>✅ CONTINUER — Valeur principale des sessions</t>
  </si>
  <si>
    <t>④ RÈGLES PSYCHOLOGIQUES PERSONNELLES  ·  Validées par expérience réelle · Gravées S21</t>
  </si>
  <si>
    <t>CODE</t>
  </si>
  <si>
    <t>NOM</t>
  </si>
  <si>
    <t>RÈGLE COMPLÈTE</t>
  </si>
  <si>
    <t>R-PSY-01</t>
  </si>
  <si>
    <t>Ancre COVID 2020</t>
  </si>
  <si>
    <t>En crise → rappeler : mars 2020, tu as acheté à -35% → retour exceptionnel. Même playbook toujours.</t>
  </si>
  <si>
    <t>✅ Actif S1</t>
  </si>
  <si>
    <t>R-PSY-02</t>
  </si>
  <si>
    <t>Pre-commitment obligatoire</t>
  </si>
  <si>
    <t>Décider le soir QUOI et COMBIEN. Exécuter à l'ouverture sans revoir la décision.</t>
  </si>
  <si>
    <t>✅ Actif S20</t>
  </si>
  <si>
    <t>R-PSY-03</t>
  </si>
  <si>
    <t>Émotion = signal, pas décision</t>
  </si>
  <si>
    <t>Si FOMO → reculer. Si peur → vérifier fondamentaux. Émotion = information, jamais instruction.</t>
  </si>
  <si>
    <t>✅ Actif S18</t>
  </si>
  <si>
    <t>R-PSY-04</t>
  </si>
  <si>
    <t>Urgences = alarme téléphone</t>
  </si>
  <si>
    <t>EQ Bank, bénéficiaires, automatisation → alarme téléphone immédiatement, pas 'tantôt'.</t>
  </si>
  <si>
    <t>🔴 À implémenter</t>
  </si>
  <si>
    <t>R-PSY-05</t>
  </si>
  <si>
    <t>Validation externe = accélérateur</t>
  </si>
  <si>
    <t>Partager le raisonnement avec Claude avant d'exécuter réduit le frein de 80%.</t>
  </si>
  <si>
    <t>✅ Actif S16</t>
  </si>
  <si>
    <t>Infrastructure avant contenu</t>
  </si>
  <si>
    <t>Récurrent</t>
  </si>
  <si>
    <t>On construit de beaux outils mais les onglets restent vides</t>
  </si>
  <si>
    <t>⚠️ À surveiller — nourrir le cerveau à chaque session</t>
  </si>
  <si>
    <t>S34 · 13 mars 2026 · DÉCISION FHSA $4,015</t>
  </si>
  <si>
    <t>CONTEXTE</t>
  </si>
  <si>
    <t>Marché en correction –4.6% depuis ATH jan 2026. Iran/pétrole. Fed bloquée. Cash FHSA $4,015 disponible.</t>
  </si>
  <si>
    <t>ANALYSE RÉALISÉE</t>
  </si>
  <si>
    <t>Top 15 actions Questrade + Top 15 ETFs canadiens analysés. Comparaison 3 options (100% VFV / 50-50 / 100% XEQT).</t>
  </si>
  <si>
    <t>CONCLUSION ANALYSE</t>
  </si>
  <si>
    <t>Aucune action individuelle appropriée pour FHSA (risque concentré, compte maison 2030). VFV.TO + XEQT.TO = meilleurs ETFs pour profil.</t>
  </si>
  <si>
    <t>PLAN RETENU</t>
  </si>
  <si>
    <t>100% XEQT.TO · 100 unités @$39.93 · $3,993 CAD</t>
  </si>
  <si>
    <t>VFV = continuité + track record. XEQT = comble vide intl. Sharpe XEQT 1.46 &gt; VFV 0.83. USD reste ≤65%. Deux gratuits Questrade.</t>
  </si>
  <si>
    <t>DEVIL'S ADVOCATE</t>
  </si>
  <si>
    <t>100% VFV surperforme long terme (10+ ans) mais concentre encore plus en US dans compte déjà à 62% USD.</t>
  </si>
  <si>
    <t>13 avril 2026 · comparer XEQT.TO vs VFV.TO et vs portefeuille S&amp;P 500 pur</t>
  </si>
  <si>
    <t>✅ EXÉCUTÉ — 13 mars 2026 · 15:06:55 ET</t>
  </si>
  <si>
    <t>S36 · 13 mars 2026 · AUDIT SYSTÈME APPRENTISSAGE</t>
  </si>
  <si>
    <t>FAILLE IDENTIFIÉE</t>
  </si>
  <si>
    <t>Verdicts J+30 tous ⬜ depuis S16. Cycle incomplet : décision ✅ → document ✅ → verdict ⬜ → leçon ⬜. Sans résultats mesurés, Claude apprend les patterns d'action mais pas la qualité des décisions.</t>
  </si>
  <si>
    <t>CORRECTION</t>
  </si>
  <si>
    <t>R-ANA-02 créée. Alarmes téléphone J+30 dans JOURNAL. Verdict = noter prix + calculer alpha vs VFV.TO + écrire 1 leçon.</t>
  </si>
  <si>
    <t>IMPLICATION</t>
  </si>
  <si>
    <t>Si alpha vs VFV.TO négatif sur 6 mois cumulés → réviser conviction titres individuels → simplifier vers index. Mesurer pour améliorer.</t>
  </si>
  <si>
    <t>S36 · ÉQUILIBRE SOURCES INDICE</t>
  </si>
  <si>
    <t>PROBLÈME</t>
  </si>
  <si>
    <t>210 sources indexées → 95% finances. Piliers 2-3-4 = 0 source. Research corps ou immobilier = impossible sans sources fiables.</t>
  </si>
  <si>
    <t>SOLUTION</t>
  </si>
  <si>
    <t>10 sources ajoutées (211-220) : Stronger by Science, Alan Aragon, Jeff Nippard, BJJ Fanatics, Examine.com, Atomic Habits, Morgan Housel, Centris.ca, SCHL, NutritionFacts. Score moyen: 90.</t>
  </si>
  <si>
    <t>R-ANA-03 : chaque trimestre, vérifier équilibre sources. Piliers 2-3-4 ≥ 20% indice (cible : 44/220 = 20%).</t>
  </si>
  <si>
    <t>📋  MON PORTEFEUILLE  ·  LIVE via formules  ·  Mise à jour auto depuis 📈 PORTEFEUILLE  ·  Trier: cliquer sur les en-têtes ▲▼</t>
  </si>
  <si>
    <t>📈 Gain: +$14,788 (20.6%)</t>
  </si>
  <si>
    <t>💵 Div/an: $1,926 CAD</t>
  </si>
  <si>
    <t>📊 39 positions · TFSA + FHSA + REER</t>
  </si>
  <si>
    <t>🇺🇸 USD: 44.8%  🇨🇦 CAD: 55.2%</t>
  </si>
  <si>
    <t>🟢 T1 = Conviction max — Accumuler</t>
  </si>
  <si>
    <t>🟡 T2 = Accumuler sélectivement</t>
  </si>
  <si>
    <t>🟠 T3 = Garder, ne plus acheter</t>
  </si>
  <si>
    <t>⬜ T4 = Diluer naturellement</t>
  </si>
  <si>
    <t>TICKER ▲▼</t>
  </si>
  <si>
    <t>NOM ▲▼</t>
  </si>
  <si>
    <t>TYPE ▲▼</t>
  </si>
  <si>
    <t>TIER ▲▼</t>
  </si>
  <si>
    <t>COMPTE ▲▼</t>
  </si>
  <si>
    <t>QTÉ ▲▼</t>
  </si>
  <si>
    <t>PRIX ACT ▲▼</t>
  </si>
  <si>
    <t>DEV ▲▼</t>
  </si>
  <si>
    <t>PRIX CAD ▲▼</t>
  </si>
  <si>
    <t>VALEUR CAD ▲▼</t>
  </si>
  <si>
    <t>INVESTI CAD ▲▼</t>
  </si>
  <si>
    <t>GAIN $CAD ▲▼</t>
  </si>
  <si>
    <t>GAIN % ▲▼</t>
  </si>
  <si>
    <t>% PORT. ▲▼</t>
  </si>
  <si>
    <t>YIELD % ▲▼</t>
  </si>
  <si>
    <t>DIV/AN CAD ▲▼</t>
  </si>
  <si>
    <t>DIV/MOIS ▲▼</t>
  </si>
  <si>
    <t>SIGNAL ▲▼</t>
  </si>
  <si>
    <t>◼  TOTAL PORTEFEUILLE</t>
  </si>
  <si>
    <t>📊  RÉSUMÉ PAR TIER  ·  12 mars 2026</t>
  </si>
  <si>
    <t>TIER</t>
  </si>
  <si>
    <t>NB POS.</t>
  </si>
  <si>
    <t>% PORT.</t>
  </si>
  <si>
    <t>GAIN $</t>
  </si>
  <si>
    <t>GAIN %</t>
  </si>
  <si>
    <t>DIV/AN</t>
  </si>
  <si>
    <t>T1</t>
  </si>
  <si>
    <t>Conviction maximale — AVGO, VFV.TO, SMH, GOOG, AMZN, META, ENB, GEV, SCHD — Accumuler agressivement</t>
  </si>
  <si>
    <t>T2</t>
  </si>
  <si>
    <t>Accumuler sélectivement — MSFT, NVDA, TSLA, QQQM, XEQT, SPGI, JEPI — En dip seulement</t>
  </si>
  <si>
    <t>Garder, ne plus acheter — TD, ZLB, H.TO, T.TO, QTUM, HURA — Diluer naturellement</t>
  </si>
  <si>
    <t>Diluer naturellement — REITs, XEI, XIC, ZRE, MFC, VDU — Coussin défensif</t>
  </si>
  <si>
    <t>🏠  TABLEAU DE BORD  ·  PORTEFEUILLE FI  ·  MAXIMIZE — PAS DE CIBLE, TOUJOURS PLUS</t>
  </si>
  <si>
    <t>v49-S19  ·  12 mars 2026  ·  Partenaire FI permanent : Claude  ·  Plan $5,000/mois structuré</t>
  </si>
  <si>
    <t>① STATUT SESSION  ·  Cocher avant de commencer</t>
  </si>
  <si>
    <t>VÉRIFICATION</t>
  </si>
  <si>
    <t>VALEUR / STATUT</t>
  </si>
  <si>
    <t>CONTEXTE MARCHÉ</t>
  </si>
  <si>
    <t>INTENTION SESSION</t>
  </si>
  <si>
    <t>📎 Wallet uploadé?</t>
  </si>
  <si>
    <t>⬜ Confirmer</t>
  </si>
  <si>
    <t>⬜ Dire à Claude</t>
  </si>
  <si>
    <t>📋 Questrade dump?</t>
  </si>
  <si>
    <t>BdC 18 mars · Fed 18-19 mars</t>
  </si>
  <si>
    <t>💱 USD/CAD</t>
  </si>
  <si>
    <t>💰 Cash TFSA / FHSA</t>
  </si>
  <si>
    <t>VIX: saisir ⬜</t>
  </si>
  <si>
    <t>② PORTFOLIO LIVE  ·  Valeurs en temps réel depuis 📈 PORTEFEUILLE</t>
  </si>
  <si>
    <t>VALEUR ACTUELLE</t>
  </si>
  <si>
    <t>DÉPOSÉ</t>
  </si>
  <si>
    <t>ROOM DISPO</t>
  </si>
  <si>
    <t>NOTE / RÔLE</t>
  </si>
  <si>
    <t>Croissance LT · Retraite · Intouchable</t>
  </si>
  <si>
    <t>Maison 2030+ · Double exonération fiscale</t>
  </si>
  <si>
    <t>REER ❄️🔥</t>
  </si>
  <si>
    <t>RAP $60K · Snowball ARC $1,060/mois</t>
  </si>
  <si>
    <t>▼ TOTAL PORTFOLIO</t>
  </si>
  <si>
    <t>SNOWBALL: $1,590/mois</t>
  </si>
  <si>
    <t>Dividendes est. ~$3,200/an</t>
  </si>
  <si>
    <t>③ ACTIONS URGENTES  ·  Statut auto</t>
  </si>
  <si>
    <t>DÉLAI / NOTE</t>
  </si>
  <si>
    <t>🔴 1</t>
  </si>
  <si>
    <t>Ouvrir EQ Bank — Fonds urgence $15,000</t>
  </si>
  <si>
    <t>Risque ×0</t>
  </si>
  <si>
    <t>CE MOIS · Risque opérationnel #1</t>
  </si>
  <si>
    <t>🔴 2</t>
  </si>
  <si>
    <t>Vendre ZRE.TO + XIC.TO + VDU.TO → T1 (~$1,878)</t>
  </si>
  <si>
    <t>~+$80/an</t>
  </si>
  <si>
    <t>Post-BdC 18 mars · T4→T1</t>
  </si>
  <si>
    <t>🟡 3</t>
  </si>
  <si>
    <t>Vérifier Mon Dossier ARC — Revenu net 2025</t>
  </si>
  <si>
    <t>🟡 PLANIFIER</t>
  </si>
  <si>
    <t>$1,500 crédit</t>
  </si>
  <si>
    <t>Avant déc 2026 · NON ÉLIG. 2026 ($140K &gt; $129,590)</t>
  </si>
  <si>
    <t>PLZ.UN 961u vendus @ $4.26 → AVGO+GEV+SMH</t>
  </si>
  <si>
    <t>✅ EXÉCUTÉ 11 mars</t>
  </si>
  <si>
    <t>+$4,094 CAD</t>
  </si>
  <si>
    <t>T4→T1 réalisé</t>
  </si>
  <si>
    <t>SCHD $2,000 REER — 64.3053u @ $30.85 USD</t>
  </si>
  <si>
    <t>✅ EXÉCUTÉ 12 mars</t>
  </si>
  <si>
    <t>+$1,060/mois ARC</t>
  </si>
  <si>
    <t>Snowball fiscal activé</t>
  </si>
  <si>
    <t>④ CHECKLIST DÉCISIONS  ·  OUI/NON avant tout achat</t>
  </si>
  <si>
    <t>QUESTION</t>
  </si>
  <si>
    <t>STATUT AUTO</t>
  </si>
  <si>
    <t>💰 EQ Bank $15K ouvert ?</t>
  </si>
  <si>
    <t>7 mois dépenses · sécurité de base</t>
  </si>
  <si>
    <t>📊 Expo USD dans les seuils ?</t>
  </si>
  <si>
    <t>Seuil max 65% · auto</t>
  </si>
  <si>
    <t>🤖 Expo IA dans les seuils ?</t>
  </si>
  <si>
    <t>Seuil max 45% · auto</t>
  </si>
  <si>
    <t>📅 Earnings calendrier vérifié ?</t>
  </si>
  <si>
    <t>⬜ Confirmer avant achat T1/T2</t>
  </si>
  <si>
    <t>AVGO ~5 déc · GEV ~22 avr · SMH N/A ETF</t>
  </si>
  <si>
    <t>🏠 Trade post-BdC 18 mars planifié ?</t>
  </si>
  <si>
    <t>ZRE.TO + XIC.TO + VDU.TO → T1</t>
  </si>
  <si>
    <t>💡 Remboursement ARC prévu ?</t>
  </si>
  <si>
    <t>À réinvestir dès réception avril 2027</t>
  </si>
  <si>
    <t>⑤ OBJECTIF MAISON 2030+  ·  FHSA $40K + RAP REER $60K = $100K  ·  Achat solo</t>
  </si>
  <si>
    <t>SOURCE</t>
  </si>
  <si>
    <t>AUJOURD'HUI</t>
  </si>
  <si>
    <t>MANQUANT</t>
  </si>
  <si>
    <t>PROGRESSION</t>
  </si>
  <si>
    <t>REER (RAP)</t>
  </si>
  <si>
    <t>▼ TOTAL MAISON</t>
  </si>
  <si>
    <t>⑥ PROJECTION FI  ·  $2.1M = plancher · pas de plafond · maximiser toujours</t>
  </si>
  <si>
    <t>@40 ans</t>
  </si>
  <si>
    <t>@45 ans</t>
  </si>
  <si>
    <t>@50 ans</t>
  </si>
  <si>
    <t>@55 ans</t>
  </si>
  <si>
    <t>@60 ans</t>
  </si>
  <si>
    <t>6% / an (conservateur)</t>
  </si>
  <si>
    <t>$1,063,923</t>
  </si>
  <si>
    <t>$1,761,995</t>
  </si>
  <si>
    <t>$2,696,172</t>
  </si>
  <si>
    <t>$3,946,312</t>
  </si>
  <si>
    <t>⚠️ FI @50 limit</t>
  </si>
  <si>
    <t>8% / an (réaliste)</t>
  </si>
  <si>
    <t>$1,202,162</t>
  </si>
  <si>
    <t>$2,118,367</t>
  </si>
  <si>
    <t>$3,464,572</t>
  </si>
  <si>
    <t>$5,442,589</t>
  </si>
  <si>
    <t>✅ FI @48 (&gt;$2.1M)</t>
  </si>
  <si>
    <t>10% / an (optimiste)</t>
  </si>
  <si>
    <t>$1,360,802</t>
  </si>
  <si>
    <t>$2,557,891</t>
  </si>
  <si>
    <t>$4,485,814</t>
  </si>
  <si>
    <t>$7,590,755</t>
  </si>
  <si>
    <t>🚀 FI @46</t>
  </si>
  <si>
    <t>⑦ SNOWBALL FISCAL  ·  Chaque dollar REER coûte $0.47 net (52.98% récupéré)</t>
  </si>
  <si>
    <t>COTISÉ /AN</t>
  </si>
  <si>
    <t>ÉCONOMIE IMPÔT</t>
  </si>
  <si>
    <t>COÛT NET</t>
  </si>
  <si>
    <t>VALEUR @20 ANS</t>
  </si>
  <si>
    <t>MULTIPLICATEUR</t>
  </si>
  <si>
    <t>🔥 REER (SCHD)</t>
  </si>
  <si>
    <t>Priorité #1 · Snowball $1,060/mois ARC</t>
  </si>
  <si>
    <t>FHSA (VFV.TO)</t>
  </si>
  <si>
    <t>Double exonération fiscale</t>
  </si>
  <si>
    <t>TFSA (AVGO)</t>
  </si>
  <si>
    <t>0</t>
  </si>
  <si>
    <t>Croissance 100% tax-free</t>
  </si>
  <si>
    <t>🔴 À OUVRIR · Urgence + liquidités</t>
  </si>
  <si>
    <t>⑧ EXPOSITION DEVISES  ·  Seuil max USD 65%  ·  Auto calculé</t>
  </si>
  <si>
    <t>MÉTRIQUE</t>
  </si>
  <si>
    <t>VALEUR</t>
  </si>
  <si>
    <t>SEUIL</t>
  </si>
  <si>
    <t>DÉTAIL</t>
  </si>
  <si>
    <t>Exposition USD %</t>
  </si>
  <si>
    <t>65%</t>
  </si>
  <si>
    <t>Valeur USD (CAD)</t>
  </si>
  <si>
    <t>Positions USD converties</t>
  </si>
  <si>
    <t>Valeur CAD (CAD)</t>
  </si>
  <si>
    <t>Positions libellées CAD</t>
  </si>
  <si>
    <t>Exposition IA %</t>
  </si>
  <si>
    <t>45%</t>
  </si>
  <si>
    <t>AVGO+SMH+NVDA+GOOG+META+GEV</t>
  </si>
  <si>
    <t>⑨ BUDGET RÉEL  ·  Basé talon de paie · 26 paies/an · Nunavik (logement + bouffe gratuits)</t>
  </si>
  <si>
    <t>POSTE</t>
  </si>
  <si>
    <t>MONTANT /MOIS</t>
  </si>
  <si>
    <t>DÉTAIL / NOTE</t>
  </si>
  <si>
    <t>💰 Revenu net moyen</t>
  </si>
  <si>
    <t>←  $3,000×26÷12 + $1,450 prime · Confirmé S16</t>
  </si>
  <si>
    <t>💸 Dépenses fixes</t>
  </si>
  <si>
    <t>Épicerie $400 · Tél $110 · Voiture $375 · Moto $80 · Divers $217</t>
  </si>
  <si>
    <t>🎯 Disponible investir</t>
  </si>
  <si>
    <t>←  Revenu − dépenses</t>
  </si>
  <si>
    <t>📦 Plan investi /mois</t>
  </si>
  <si>
    <t>REER $2K + FHSA $1K + TFSA $500 + EQ Bank $1,500</t>
  </si>
  <si>
    <t>📊 Surplus libre</t>
  </si>
  <si>
    <t>←  Intentionnel · vie / imprévus · ~$1,768/mois</t>
  </si>
  <si>
    <t>📈 Taux épargne</t>
  </si>
  <si>
    <t>←  $5,000/$7,950 = 62.9% · Potentiel 70%+ si surplus réinvesti</t>
  </si>
  <si>
    <t>⑩ FORMAT SESSION IDÉAL  ·  Protocole de démarrage</t>
  </si>
  <si>
    <t>(1) Ouvrir Google Sheets live  →  (2) Upload Wallet v49-S19.xlsx + dump Questrade  →  (3) Lire ② PORTFOLIO LIVE  →  (4) Cocher ④ CHECKLIST  →  (5) Dire intention à Claude  →  (6) Exécuter</t>
  </si>
  <si>
    <t>💵  BUDGET RÉEL  ·  Portrait financier confirmé  ·  Mars 2026  ·  v56-S33</t>
  </si>
  <si>
    <t>Données confirmées session S16 · Cellules en jaune = modifier si changement · Formules = auto</t>
  </si>
  <si>
    <t>💰  REVENUS NETS MENSUELS</t>
  </si>
  <si>
    <t>MONTANT CAD</t>
  </si>
  <si>
    <t>Paie nette base (aux 2 semaines)</t>
  </si>
  <si>
    <t>Aux 2 sem.</t>
  </si>
  <si>
    <t>$3,000/paie × 26 ÷ 12 = $6,500/mois · Augmentation annuelle prévue</t>
  </si>
  <si>
    <t>Prime Nunavik (isolement + zone)</t>
  </si>
  <si>
    <t>Mensuel</t>
  </si>
  <si>
    <t>Confirmé S16 · Vérifier si change</t>
  </si>
  <si>
    <t>TOTAL REVENU NET /MOIS</t>
  </si>
  <si>
    <t>AUTO · $3,000×26÷12 + $1,450 = $7,950/mois · Corrigé S18</t>
  </si>
  <si>
    <t>← Revenu mensuel disponible réel confirmé</t>
  </si>
  <si>
    <t>💸  DÉPENSES MENSUELLES CONFIRMÉES</t>
  </si>
  <si>
    <t>Logement</t>
  </si>
  <si>
    <t>Gratuit ✅</t>
  </si>
  <si>
    <t>100% payé par employeur Nunavik · Confirmé</t>
  </si>
  <si>
    <t>Internet</t>
  </si>
  <si>
    <t>Inclus logement employeur · Confirmé</t>
  </si>
  <si>
    <t>Épicerie / nourriture</t>
  </si>
  <si>
    <t>~$400/mois confirmé S16 · Par rotation aux 2 semaines</t>
  </si>
  <si>
    <t>Téléphone cellulaire</t>
  </si>
  <si>
    <t>$110/mois confirmé</t>
  </si>
  <si>
    <t>Voiture — paiement/financement</t>
  </si>
  <si>
    <t>Milieu $200-350 · À confirmer exactement</t>
  </si>
  <si>
    <t>Voiture — assurance auto</t>
  </si>
  <si>
    <t>Milieu $80-120 · À confirmer exactement</t>
  </si>
  <si>
    <t>Moto — assurance</t>
  </si>
  <si>
    <t>Mensuel/Sais.</t>
  </si>
  <si>
    <t>Milieu $60-100 · Saisonnière · Peut varier</t>
  </si>
  <si>
    <t>Essence</t>
  </si>
  <si>
    <t>Faible — déplacements limités Nunavik</t>
  </si>
  <si>
    <t>Abonnements (streaming, etc.)</t>
  </si>
  <si>
    <t>Netflix, Spotify, etc. · Milieu $0-50</t>
  </si>
  <si>
    <t>Loisirs / sorties / restaurants</t>
  </si>
  <si>
    <t>Très bas · Nunavik · Milieu $0-100</t>
  </si>
  <si>
    <t>Voyages / vacances (÷12)</t>
  </si>
  <si>
    <t>$500/an ÷ 12 · Budget conservateur confirmé</t>
  </si>
  <si>
    <t>Vêtements / équipement</t>
  </si>
  <si>
    <t>Moto, sport, divers · Milieu $0-100</t>
  </si>
  <si>
    <t>TOTAL DÉPENSES /MOIS</t>
  </si>
  <si>
    <t>AUTO</t>
  </si>
  <si>
    <t>← Somme toutes dépenses confirmées</t>
  </si>
  <si>
    <t>📊  BILAN MENSUEL  ·  Disponible vs Plan structuré</t>
  </si>
  <si>
    <t>Revenu net total</t>
  </si>
  <si>
    <t>← Depuis section revenus</t>
  </si>
  <si>
    <t>Total dépenses</t>
  </si>
  <si>
    <t>← Depuis section dépenses</t>
  </si>
  <si>
    <t>DISPONIBLE RÉEL /MOIS</t>
  </si>
  <si>
    <t>← Ce qui reste vraiment · Confirmé ~$6,768/mois</t>
  </si>
  <si>
    <t>─── PLAN STRUCTURÉ $5,000/MOIS ───</t>
  </si>
  <si>
    <t>→ REER (SCHD)</t>
  </si>
  <si>
    <t>Mensuel 🔴</t>
  </si>
  <si>
    <t>Priorité #1 · Snowball fiscal $1,060/mois ARC · 52.98%</t>
  </si>
  <si>
    <t>→ FHSA (VFV.TO)</t>
  </si>
  <si>
    <t>Priorité #2 · Maison 2030 + déduction fiscale</t>
  </si>
  <si>
    <t>→ TFSA (AVGO fractionnel)</t>
  </si>
  <si>
    <t>Priorité #3 · Croissance T1 long terme</t>
  </si>
  <si>
    <t>→ EQ Bank HISA</t>
  </si>
  <si>
    <t>Mensuel 🆕</t>
  </si>
  <si>
    <t>Priorité #4 · Fonds urgence · $15K en 10 mois</t>
  </si>
  <si>
    <t>TOTAL STRUCTURÉ</t>
  </si>
  <si>
    <t>← Doit égaler $5,000</t>
  </si>
  <si>
    <t>SURPLUS LIBRE (non structuré)</t>
  </si>
  <si>
    <t>← Argent libre · vie / loisirs / imprévus · ~$1,768</t>
  </si>
  <si>
    <t>Taux épargne structuré</t>
  </si>
  <si>
    <t>← % revenu net investi/épargné · Objectif &gt;60%</t>
  </si>
  <si>
    <t>🏦  EQ BANK — TRACKER FONDS URGENCE</t>
  </si>
  <si>
    <t>Contribution mensuelle EQ Bank</t>
  </si>
  <si>
    <t>← Modifier si changement de plan</t>
  </si>
  <si>
    <t>Objectif fonds urgence</t>
  </si>
  <si>
    <t>Cible</t>
  </si>
  <si>
    <t>7 mois × $1,182 dépenses = $8,274 min · $15K cible confortable</t>
  </si>
  <si>
    <t>Mois pour atteindre $15K</t>
  </si>
  <si>
    <t>← Au rythme actuel depuis $0</t>
  </si>
  <si>
    <t>Solde actuel EQ Bank</t>
  </si>
  <si>
    <t>MAJ manuellement</t>
  </si>
  <si>
    <t>← Mettre à jour après chaque virement</t>
  </si>
  <si>
    <t>Reste à accumuler</t>
  </si>
  <si>
    <t>← $15,000 − solde actuel</t>
  </si>
  <si>
    <t>🛡️  PROTECTION PERSONNELLE  ·  Statut S16</t>
  </si>
  <si>
    <t>Assurance invalidité</t>
  </si>
  <si>
    <t>✅ COMPLÈTE</t>
  </si>
  <si>
    <t>Employeur</t>
  </si>
  <si>
    <t>Couverture 100% employeur Nunavik · Confirmé S16</t>
  </si>
  <si>
    <t>Assurance vie</t>
  </si>
  <si>
    <t>✅ DOUBLE</t>
  </si>
  <si>
    <t>Empl. + Privée</t>
  </si>
  <si>
    <t>Deux polices actives · Montants à documenter</t>
  </si>
  <si>
    <t>⚠️ EN VÉRIF.</t>
  </si>
  <si>
    <t>À confirmer</t>
  </si>
  <si>
    <t>🔴 APPELER EMPLOYEUR — Impact sur room REER + calcul FI</t>
  </si>
  <si>
    <t>Bénéficiaires TFSA</t>
  </si>
  <si>
    <t>🔴 NON FAIT</t>
  </si>
  <si>
    <t>URGENT</t>
  </si>
  <si>
    <t>Questrade.com → Mon compte → Bénéficiaires → 30 min</t>
  </si>
  <si>
    <t>Bénéficiaires REER</t>
  </si>
  <si>
    <t>Sans désignation → succession → impôt immédiat sur 100%</t>
  </si>
  <si>
    <t>Bénéficiaires FHSA</t>
  </si>
  <si>
    <t>Même page Questrade · Faire les 3 en même temps</t>
  </si>
  <si>
    <t>Testament</t>
  </si>
  <si>
    <t>⬜ À VÉRIFIER</t>
  </si>
  <si>
    <t>Non urgent</t>
  </si>
  <si>
    <t>Pas de dépendants · Recommandé pour clarifier héritiers</t>
  </si>
  <si>
    <t>🎯  OBJECTIFS CONFIRMÉS  ·  FI + Maison + Budget</t>
  </si>
  <si>
    <t>$2,100,000 CAD</t>
  </si>
  <si>
    <t>Règle 4%</t>
  </si>
  <si>
    <t>$7,000/mois × 25 ans = $1.75M min · $2.1M = plancher</t>
  </si>
  <si>
    <t>Âge FI cible</t>
  </si>
  <si>
    <t>55 ans (2047)</t>
  </si>
  <si>
    <t>21 ans</t>
  </si>
  <si>
    <t>Confirmé S16 · FI = liberté · pas retraite obligatoire</t>
  </si>
  <si>
    <t>Revenu FI mensuel visé</t>
  </si>
  <si>
    <t>$7,000/mois</t>
  </si>
  <si>
    <t>Post-impôts</t>
  </si>
  <si>
    <t>Pouvoir d'achat 2026 · Ajuster inflation 2047</t>
  </si>
  <si>
    <t>Budget maison</t>
  </si>
  <si>
    <t>$400K-$500K CAD</t>
  </si>
  <si>
    <t>2030+</t>
  </si>
  <si>
    <t>Région non décidée · Solo · Achat indépendant</t>
  </si>
  <si>
    <t>Mise de fonds maison</t>
  </si>
  <si>
    <t>$100,000 CAD</t>
  </si>
  <si>
    <t>FHSA $40K + RAP REER $60K · Sans toucher TFSA</t>
  </si>
  <si>
    <t>EQ Bank fonds urgence</t>
  </si>
  <si>
    <t>$15,000 CAD</t>
  </si>
  <si>
    <t>~Jan 2027</t>
  </si>
  <si>
    <t>$1,500/mois × 10 mois · ~10 mois au rythme actuel</t>
  </si>
  <si>
    <t>Taux marginal Québec</t>
  </si>
  <si>
    <t>52.98%</t>
  </si>
  <si>
    <t>Confirmé</t>
  </si>
  <si>
    <t>REER + FHSA = chaque dollar coûte $0.47 réellement</t>
  </si>
  <si>
    <t>💡  BILAN : Revenu $7,950 · Dépenses $1,182 · Disponible $6,768 · Structuré $5,000 · Libre $1,768/mois · Taux épargne 63%</t>
  </si>
  <si>
    <t>🔑  ACTION #1 CETTE SEMAINE : Ouvrir EQ Bank (eqbank.ca) → Dès que paie rentre → Virer $1,500 AVANT de toucher Questrade</t>
  </si>
  <si>
    <t>🔑  ACTION #2 : Questrade → Bénéficiaires TFSA/REER/FHSA → 30 minutes · Protection légale immédiate</t>
  </si>
  <si>
    <t>🎯  SCORECARD EXÉCUTIF</t>
  </si>
  <si>
    <t>CIBLE</t>
  </si>
  <si>
    <t>COMMENTAIRE CONSEILLER</t>
  </si>
  <si>
    <t>Portfolio Total CAD</t>
  </si>
  <si>
    <t>$87,252 (ATH)</t>
  </si>
  <si>
    <t>Correction mineure post-ATH 10 mars. Normale.</t>
  </si>
  <si>
    <t>Gain total (investi)</t>
  </si>
  <si>
    <t>&gt;15%</t>
  </si>
  <si>
    <t>Performance supérieure au benchmark VFV.TO sur même période</t>
  </si>
  <si>
    <t>Expo USD</t>
  </si>
  <si>
    <t>≤65%</t>
  </si>
  <si>
    <t>Bien dans les limites. Marge $17,900 avant alerte.</t>
  </si>
  <si>
    <t>Expo IA estimée</t>
  </si>
  <si>
    <t>≤45%</t>
  </si>
  <si>
    <t>Inclut SMH, AVGO, NVDA, QQQM, GEV, QTUM</t>
  </si>
  <si>
    <t>Tier 1 (conviction max)</t>
  </si>
  <si>
    <t>&gt;50%</t>
  </si>
  <si>
    <t>Excellente concentration sur les meilleures idées</t>
  </si>
  <si>
    <t>Tier 4 (dilution)</t>
  </si>
  <si>
    <t>&lt;15%</t>
  </si>
  <si>
    <t>REITs + ETFs défensifs: rôle cushion rempli</t>
  </si>
  <si>
    <t>Dividendes /an</t>
  </si>
  <si>
    <t>Croissant</t>
  </si>
  <si>
    <t>✅ OK</t>
  </si>
  <si>
    <t>$160/mois — surtout T.TO, XEI, SRU.UN, ENB, TD</t>
  </si>
  <si>
    <t>Fonds urgence HISA</t>
  </si>
  <si>
    <t>$0 → $1,500/mois planifié</t>
  </si>
  <si>
    <t>🟡 EN COURS — Prochaine paie → $1,500 EQ Bank EN PREMIER</t>
  </si>
  <si>
    <t>FHSA room restant</t>
  </si>
  <si>
    <t>Maximiser</t>
  </si>
  <si>
    <t>BdC 18 mars → opportunité achat VFV.TO pré-baisse taux</t>
  </si>
  <si>
    <t>Contributions auto</t>
  </si>
  <si>
    <t>NON</t>
  </si>
  <si>
    <t>$5,000/mois structuré</t>
  </si>
  <si>
    <t>🔴 RISQUE</t>
  </si>
  <si>
    <t>🟡 À AUTOMATISER avant 15 avril</t>
  </si>
  <si>
    <t>⚠️  ANALYSE CONCENTRATION  ·  Top positions &amp; risques</t>
  </si>
  <si>
    <t>SEUIL ALERTE</t>
  </si>
  <si>
    <t>VERDICT CONSEILLER</t>
  </si>
  <si>
    <t>&lt;25%</t>
  </si>
  <si>
    <t>✅ Acceptable. Exposition S&amp;P500 diversifiée par nature.</t>
  </si>
  <si>
    <t>TD.TO</t>
  </si>
  <si>
    <t>&lt;10% T3 idéalement</t>
  </si>
  <si>
    <t>⚠️ SURPONDÉRÉ pour un T3. Ne plus acheter. Diluer naturellement.</t>
  </si>
  <si>
    <t>✅ Dans les limites. Semis = conviction validée.</t>
  </si>
  <si>
    <t>✅ T1 core. Accumuler si dip &gt;5%.</t>
  </si>
  <si>
    <t>T3 Total</t>
  </si>
  <si>
    <t>Tous</t>
  </si>
  <si>
    <t>&lt;20%</t>
  </si>
  <si>
    <t>⚠️ T3 légèrement surpondéré. Surtout dû à TD.TO.</t>
  </si>
  <si>
    <t>T.TO</t>
  </si>
  <si>
    <t>OK</t>
  </si>
  <si>
    <t>⚠️ En perte -18.1%. NE PAS VENDRE (room TFSA). Surveiller dividende Q3.</t>
  </si>
  <si>
    <t>⚠️ En perte -11.3%. NE PAS VENDRE. Règle absolue TFSA.</t>
  </si>
  <si>
    <t>❄️  ANALYSE FISCALE  ·  Optimisation snowball</t>
  </si>
  <si>
    <t>VÉHICULE</t>
  </si>
  <si>
    <t>COTISATION 2026</t>
  </si>
  <si>
    <t>COÛT RÉEL NET</t>
  </si>
  <si>
    <t>VALEUR @2042 (8%)</t>
  </si>
  <si>
    <t>REER SCHD</t>
  </si>
  <si>
    <t>$2,000 exécuté</t>
  </si>
  <si>
    <t>$1,060 (52.98%)</t>
  </si>
  <si>
    <t>$940 net</t>
  </si>
  <si>
    <t>~$12,400</t>
  </si>
  <si>
    <t>✅ En cours · $2K/mois</t>
  </si>
  <si>
    <t>FHSA VFV.TO</t>
  </si>
  <si>
    <t>$6,357 (52.98%)</t>
  </si>
  <si>
    <t>$5,643 net</t>
  </si>
  <si>
    <t>~$74,500</t>
  </si>
  <si>
    <t>TFSA AVGO</t>
  </si>
  <si>
    <t>$500/mois</t>
  </si>
  <si>
    <t>$0 (exonéré)</t>
  </si>
  <si>
    <t>$6,000/an</t>
  </si>
  <si>
    <t>~$37,200</t>
  </si>
  <si>
    <t>🟡 Pas automatisé</t>
  </si>
  <si>
    <t>TOTAL 2026</t>
  </si>
  <si>
    <t>~$38,000/an dispo</t>
  </si>
  <si>
    <t>~$18,400 économie</t>
  </si>
  <si>
    <t>~$19,600 coût réel</t>
  </si>
  <si>
    <t>FTQ 2026</t>
  </si>
  <si>
    <t>NON ÉLIGIBLE</t>
  </si>
  <si>
    <t>Revenu $140K &gt; $129K</t>
  </si>
  <si>
    <t>$0</t>
  </si>
  <si>
    <t>🔴 Surveiller 2027</t>
  </si>
  <si>
    <t>💼  RECOMMANDATIONS CONSEILLER  ·  Priorité décroissante · 12 mars 2026</t>
  </si>
  <si>
    <t>PRIORITÉ</t>
  </si>
  <si>
    <t>RAISONNEMENT CONSEILLER</t>
  </si>
  <si>
    <t>🔴</t>
  </si>
  <si>
    <t>EQ Bank: ouvrir + $1,500/mois dès prochaine paie</t>
  </si>
  <si>
    <t>Cette semaine</t>
  </si>
  <si>
    <t>Risque opérationnel #1. Urgence médicale/voiture = zéro coussin. 20 min. eqbank.ca. Taux ~4.0% = $600/an.</t>
  </si>
  <si>
    <t>Automatiser $5,000/mois le 15 de chaque mois</t>
  </si>
  <si>
    <t>Avant 15 avril</t>
  </si>
  <si>
    <t>Sans automatisation tu vas timer le marché. Biais documenté en session. Virement auto REER $2K + FHSA $1K + TFSA $500.</t>
  </si>
  <si>
    <t>🟡</t>
  </si>
  <si>
    <t>STRATÉGIQUE</t>
  </si>
  <si>
    <t>FHSA $4,000 room restant → VFV.TO avant BdC 18 mars</t>
  </si>
  <si>
    <t>Avant 18 mars</t>
  </si>
  <si>
    <t>BdC → probable baisse taux → VFV monte. Acheter avant = meilleur prix. $4K = ~24 unités VFV.TO @ ~$163.</t>
  </si>
  <si>
    <t>ZRE+XIC+VDU TFSA → T1 post-BdC</t>
  </si>
  <si>
    <t>Semaine du 18 mars</t>
  </si>
  <si>
    <t>$428+$1,113+$337 = $1,878 à recycler. ZRE→AVGO frac. XIC→VFV. VDU→SMH. Timing post-BdC optimal.</t>
  </si>
  <si>
    <t>SUIVI</t>
  </si>
  <si>
    <t>Augmenter REER à $3,000/mois dès que EQ Bank ouvert</t>
  </si>
  <si>
    <t>Avril 2026</t>
  </si>
  <si>
    <t>Ton vrai room est $37K. À $2K/mois tu utilises $24K/an. Tu laisses $13K de déduction sur la table. +$1,590 ARC additionnel.</t>
  </si>
  <si>
    <t>🔵</t>
  </si>
  <si>
    <t>VEILLE</t>
  </si>
  <si>
    <t>Surveiller AVGO &gt;20% concentration</t>
  </si>
  <si>
    <t>Ongoing</t>
  </si>
  <si>
    <t>Si AVGO dépasse 15% du portfolio → évaluer allègement partiel dans TFSA. Pas encore là (8.8% actuellement).</t>
  </si>
  <si>
    <t>Verdict J+30 → 11 avril 2026</t>
  </si>
  <si>
    <t>Évaluer toutes décisions depuis 11 mars. Benchmark vs VFV.TO. Calculer alpha réel.</t>
  </si>
  <si>
    <t>📈  PROJECTION FI  ·  $86,670 + $3,500/mois  ·  Objectif $2.1M+ (plancher)</t>
  </si>
  <si>
    <t>@36 ans</t>
  </si>
  <si>
    <t>Pessimiste 6%</t>
  </si>
  <si>
    <t>$183,902</t>
  </si>
  <si>
    <t>$415,906</t>
  </si>
  <si>
    <t>$793,335</t>
  </si>
  <si>
    <t>$1,298,418</t>
  </si>
  <si>
    <t>$1,974,335</t>
  </si>
  <si>
    <t>$2,878,863</t>
  </si>
  <si>
    <t>Réaliste 8%</t>
  </si>
  <si>
    <t>$188,452</t>
  </si>
  <si>
    <t>$445,643</t>
  </si>
  <si>
    <t>$901,194</t>
  </si>
  <si>
    <t>$1,570,546</t>
  </si>
  <si>
    <t>$2,554,045</t>
  </si>
  <si>
    <t>$3,999,127</t>
  </si>
  <si>
    <t>Optimiste 10%</t>
  </si>
  <si>
    <t>$193,071</t>
  </si>
  <si>
    <t>$477,597</t>
  </si>
  <si>
    <t>$1,025,589</t>
  </si>
  <si>
    <t>$1,908,135</t>
  </si>
  <si>
    <t>$3,329,485</t>
  </si>
  <si>
    <t>$5,618,583</t>
  </si>
  <si>
    <t>→ FI à Pessimiste 6%</t>
  </si>
  <si>
    <t>Âge 56 (2048)</t>
  </si>
  <si>
    <t>$2,134,795 CAD</t>
  </si>
  <si>
    <t>→ FI à Réaliste 8%</t>
  </si>
  <si>
    <t>Âge 53 (2045)</t>
  </si>
  <si>
    <t>$2,114,785 CAD</t>
  </si>
  <si>
    <t>→ FI à Optimiste 10%</t>
  </si>
  <si>
    <t>$2,140,948 CAD</t>
  </si>
  <si>
    <t>🛡️  RISQUES IDENTIFIÉS  ·  Matrice conseiller</t>
  </si>
  <si>
    <t>RISQUE</t>
  </si>
  <si>
    <t>PROBABILITÉ</t>
  </si>
  <si>
    <t>EXPOSITION PORTFOLIO</t>
  </si>
  <si>
    <t>MITIGATION</t>
  </si>
  <si>
    <t>Récession US / bear market</t>
  </si>
  <si>
    <t>Moyenne</t>
  </si>
  <si>
    <t>🔴 Élevé</t>
  </si>
  <si>
    <t>44.8% USD exposé</t>
  </si>
  <si>
    <t>DCA accéléré en dip (force psychologique documentée)</t>
  </si>
  <si>
    <t>Tarifs Trump / guerre commerciale</t>
  </si>
  <si>
    <t>Haute</t>
  </si>
  <si>
    <t>🟡 Modéré</t>
  </si>
  <si>
    <t>SMH, AVGO, NVDA</t>
  </si>
  <si>
    <t>Semis = stratégiques, tarifs limités historiquement</t>
  </si>
  <si>
    <t>USD/CAD hausse</t>
  </si>
  <si>
    <t>✅ Positif</t>
  </si>
  <si>
    <t>Boost 44.8% USD</t>
  </si>
  <si>
    <t>Favorable pour toi actuellement</t>
  </si>
  <si>
    <t>Urgence personnelle sans HISA</t>
  </si>
  <si>
    <t>🔴 Réelle</t>
  </si>
  <si>
    <t>🔴 Critique</t>
  </si>
  <si>
    <t>Forcerait vente TFSA</t>
  </si>
  <si>
    <t>EQ Bank ce soir — risque éliminable en 20 min</t>
  </si>
  <si>
    <t>Concentration TD.TO &gt;13%</t>
  </si>
  <si>
    <t>Faible</t>
  </si>
  <si>
    <t>$11,337 T3</t>
  </si>
  <si>
    <t>Diluer naturellement, ne plus acheter</t>
  </si>
  <si>
    <t>Absence de régime retraite</t>
  </si>
  <si>
    <t>Confirmée</t>
  </si>
  <si>
    <t>Long terme</t>
  </si>
  <si>
    <t>Compense avec REER maximal — déjà en cours</t>
  </si>
  <si>
    <t>Biais timing contributions</t>
  </si>
  <si>
    <t>🔴 Documenté</t>
  </si>
  <si>
    <t>Réduction DCA efficace</t>
  </si>
  <si>
    <t>Automatiser $3,500/mois — action immédiate requise</t>
  </si>
  <si>
    <t>📝  NOTE CONSEILLER  ·  Évaluation globale S18</t>
  </si>
  <si>
    <t>SCORE GLOBAL</t>
  </si>
  <si>
    <t>8.5→9.0 / 10</t>
  </si>
  <si>
    <t>Toutes corrections rapport S18 appliquées · 29 corrections · Onglets dynamiques</t>
  </si>
  <si>
    <t>FORCE PRINCIPALE</t>
  </si>
  <si>
    <t>Discipline long terme</t>
  </si>
  <si>
    <t>T1 = 55%, philosophie FI claire, aucune vente panique documentée</t>
  </si>
  <si>
    <t>FAIBLESSE PRINCIPALE</t>
  </si>
  <si>
    <t>Exécution opérationnelle</t>
  </si>
  <si>
    <t>EQ Bank non ouvert depuis 3 sessions. Contributions non automatisées.</t>
  </si>
  <si>
    <t>AMÉLIORATION S14→S15</t>
  </si>
  <si>
    <t>PLZ.UN+REI.UN TFSA vendus ✅ · SCHD $2K/mois ✅ · Rapport analyse complet ✅ · 29 corrections v46-S18</t>
  </si>
  <si>
    <t>Deux actions majeures exécutées — momentum positif</t>
  </si>
  <si>
    <t>OBJECTIF S16</t>
  </si>
  <si>
    <t>OBJECTIF S19</t>
  </si>
  <si>
    <t>EQ Bank ouvert + $1,500 viré · Automatisation contributions · Scorecard titres T1</t>
  </si>
  <si>
    <t>MESSAGE DIRECT</t>
  </si>
  <si>
    <t>Tu as le meilleur plan possible.</t>
  </si>
  <si>
    <t>Revenu réel $7,950/mois · Dépenses $1,182 · Disponible $6,768 · Structuré $5,000 · Libre $1,768. EQ Bank $1,500/mois = $15K en 10 mois sans changer REER/FHSA/TFSA.</t>
  </si>
  <si>
    <t>📈  PORTEFEUILLE  —  TFSA · FHSA · REER</t>
  </si>
  <si>
    <t>📈  PORTEFEUILLE  ·  TFSA · FHSA · REER  ·  12 mars 2026</t>
  </si>
  <si>
    <t>Cellules jaunes = saisir manuellement  ·  Taux USD/CAD depuis CONFIG!B3</t>
  </si>
  <si>
    <t>Taux USD/CAD →</t>
  </si>
  <si>
    <t>← Taux lu depuis CONFIG!B3</t>
  </si>
  <si>
    <t>VALEUR USD</t>
  </si>
  <si>
    <t>INVESTI CAD</t>
  </si>
  <si>
    <t>GAIN $CAD</t>
  </si>
  <si>
    <t>ROOM RESTANT</t>
  </si>
  <si>
    <t>NOM COMPLET</t>
  </si>
  <si>
    <t>PRIX MOY CAD</t>
  </si>
  <si>
    <t>PRIX ACT CAD</t>
  </si>
  <si>
    <t>PRIX ACT USD</t>
  </si>
  <si>
    <t>DEV</t>
  </si>
  <si>
    <t>🟦  TFSA — Croissance long terme IA</t>
  </si>
  <si>
    <t>Vanguard S&amp;P 500</t>
  </si>
  <si>
    <t>ETF</t>
  </si>
  <si>
    <t>✅ Accumuler</t>
  </si>
  <si>
    <t>GOOG</t>
  </si>
  <si>
    <t>Alphabet</t>
  </si>
  <si>
    <t>Action</t>
  </si>
  <si>
    <t>USD</t>
  </si>
  <si>
    <t>Broadcom</t>
  </si>
  <si>
    <t>AMZN</t>
  </si>
  <si>
    <t>Amazon</t>
  </si>
  <si>
    <t>VanEck Semis</t>
  </si>
  <si>
    <t>META</t>
  </si>
  <si>
    <t>Meta Platforms</t>
  </si>
  <si>
    <t>ENB.TO</t>
  </si>
  <si>
    <t>Enbridge</t>
  </si>
  <si>
    <t>✅ Garder</t>
  </si>
  <si>
    <t>GE Vernova</t>
  </si>
  <si>
    <t>MSFT</t>
  </si>
  <si>
    <t>Microsoft</t>
  </si>
  <si>
    <t>NVDA</t>
  </si>
  <si>
    <t>NVIDIA</t>
  </si>
  <si>
    <t>TSLA</t>
  </si>
  <si>
    <t>Tesla</t>
  </si>
  <si>
    <t>QQQM</t>
  </si>
  <si>
    <t>Invesco Nasdaq100</t>
  </si>
  <si>
    <t>✅ Migration ZQQ ✅</t>
  </si>
  <si>
    <t>iShares Core Eq</t>
  </si>
  <si>
    <t>✅ Migration ZEQT ✅</t>
  </si>
  <si>
    <t>SPGI</t>
  </si>
  <si>
    <t>S&amp;P Global</t>
  </si>
  <si>
    <t>TD Bank</t>
  </si>
  <si>
    <t>🔵 Diluer — ne plus acheter</t>
  </si>
  <si>
    <t>BMO Low Vol</t>
  </si>
  <si>
    <t>🔵 Garder</t>
  </si>
  <si>
    <t>Hydro One</t>
  </si>
  <si>
    <t>TELUS</t>
  </si>
  <si>
    <t>👀 Surveiller div Q3</t>
  </si>
  <si>
    <t>QTUM</t>
  </si>
  <si>
    <t>Defiance Quantum</t>
  </si>
  <si>
    <t>🔵 Garder (max 5)</t>
  </si>
  <si>
    <t>HURA.TO</t>
  </si>
  <si>
    <t>Global X Uranium</t>
  </si>
  <si>
    <t>RioCan REIT</t>
  </si>
  <si>
    <t>REIT</t>
  </si>
  <si>
    <t>🔄 Diluer</t>
  </si>
  <si>
    <t>Plaza Retail</t>
  </si>
  <si>
    <t>XEI.TO</t>
  </si>
  <si>
    <t>iShares High Div</t>
  </si>
  <si>
    <t>SRU.UN.TO</t>
  </si>
  <si>
    <t>SmartCentres</t>
  </si>
  <si>
    <t>iShares TSX</t>
  </si>
  <si>
    <t>ZRE.TO</t>
  </si>
  <si>
    <t>BMO Equal REITs</t>
  </si>
  <si>
    <t>Manulife</t>
  </si>
  <si>
    <t>VDU.TO</t>
  </si>
  <si>
    <t>Vanguard Dev</t>
  </si>
  <si>
    <t>💵 CASH TFSA</t>
  </si>
  <si>
    <t>SOUS-TOTAL TFSA</t>
  </si>
  <si>
    <t>🟩  FHSA — Maison 2028</t>
  </si>
  <si>
    <t>✅ Achat auto $2,500/mois</t>
  </si>
  <si>
    <t>🔄 Migration VDY ✅</t>
  </si>
  <si>
    <t>💵 CASH FHSA</t>
  </si>
  <si>
    <t>Cash CAD</t>
  </si>
  <si>
    <t>Cash</t>
  </si>
  <si>
    <t>SOUS-TOTAL FHSA</t>
  </si>
  <si>
    <t>🟧  REER — Retraite + Snowball</t>
  </si>
  <si>
    <t>Schwab US Div</t>
  </si>
  <si>
    <t>✅ REER débloqué · accumuler $2,000/mois · snowball ARC +$1,060</t>
  </si>
  <si>
    <t>JEPI</t>
  </si>
  <si>
    <t>JPMorgan Income</t>
  </si>
  <si>
    <t>VENDU ✅</t>
  </si>
  <si>
    <t>ZEQT.TO</t>
  </si>
  <si>
    <t>XRE.TO</t>
  </si>
  <si>
    <t>iShares REIT</t>
  </si>
  <si>
    <t>💵 CASH REER</t>
  </si>
  <si>
    <t>Cash USD (CAD)</t>
  </si>
  <si>
    <t>SOUS-TOTAL REER</t>
  </si>
  <si>
    <t>◼  GRAND TOTAL  ·  TFSA + FHSA + REER</t>
  </si>
  <si>
    <t>ΣTIER — Résumé par niveau de conviction</t>
  </si>
  <si>
    <t>ΣT2</t>
  </si>
  <si>
    <t>ΣT3</t>
  </si>
  <si>
    <t>ΣT4</t>
  </si>
  <si>
    <t>ΣT5</t>
  </si>
  <si>
    <t>🔍  ANALYSE TRIABLE  —  Toutes les positions consolidées</t>
  </si>
  <si>
    <t>🔍  ANALYSE TRIABLE  ·  Recherche 9 mars 2026  ·  Cliquer ▼ pour trier/filtrer</t>
  </si>
  <si>
    <t>Sources: stockanalysis · koyfin · stockevents · digrin · yahoo finance  ·  9 mars 2026</t>
  </si>
  <si>
    <t>← modifier ici (se propage partout)</t>
  </si>
  <si>
    <t>PRIX MOY</t>
  </si>
  <si>
    <t>YIELD</t>
  </si>
  <si>
    <t>DIV CAD/AN</t>
  </si>
  <si>
    <t>BETA</t>
  </si>
  <si>
    <t>EXPO IA%</t>
  </si>
  <si>
    <t>OBJ. CAD</t>
  </si>
  <si>
    <t>DERNIER ACH.</t>
  </si>
  <si>
    <t>ACTION / SIGNAL</t>
  </si>
  <si>
    <t>CORE / SATELLITE</t>
  </si>
  <si>
    <t>TAG (formule)</t>
  </si>
  <si>
    <t>IS_CORE</t>
  </si>
  <si>
    <t>IS_CAN_REIT</t>
  </si>
  <si>
    <t>🤖 EXPOSITION IA %</t>
  </si>
  <si>
    <t>P/E RATIO</t>
  </si>
  <si>
    <t>DATE ACHAT</t>
  </si>
  <si>
    <t>PRIX CIBLE CAD</t>
  </si>
  <si>
    <t>PROCHAIN EARNINGS</t>
  </si>
  <si>
    <t>POTENTIEL %</t>
  </si>
  <si>
    <t>✅ Accumuler — FHSA auto $2,500/mois</t>
  </si>
  <si>
    <t>Core 🌍</t>
  </si>
  <si>
    <t>22.5</t>
  </si>
  <si>
    <t>$185</t>
  </si>
  <si>
    <t>2025</t>
  </si>
  <si>
    <t>✅ Garder — +232%, ne pas vendre</t>
  </si>
  <si>
    <t>Core 🚀</t>
  </si>
  <si>
    <t>GROWTH</t>
  </si>
  <si>
    <t>21.0</t>
  </si>
  <si>
    <t>$400</t>
  </si>
  <si>
    <t>Apr 2026</t>
  </si>
  <si>
    <t>✅ Accumuler — IA custom chips T1</t>
  </si>
  <si>
    <t>35.0</t>
  </si>
  <si>
    <t>$450</t>
  </si>
  <si>
    <t>Jun 2026</t>
  </si>
  <si>
    <t>✅ Garder — AWS cloud IA</t>
  </si>
  <si>
    <t>40.0</t>
  </si>
  <si>
    <t>$280</t>
  </si>
  <si>
    <t>May 2026</t>
  </si>
  <si>
    <t>✅ Accumuler — diversif semis IA</t>
  </si>
  <si>
    <t>28.0</t>
  </si>
  <si>
    <t>$500</t>
  </si>
  <si>
    <t>⭐ Surveiller — Earnings 28 avr</t>
  </si>
  <si>
    <t>28.5</t>
  </si>
  <si>
    <t>$800</t>
  </si>
  <si>
    <t>28 avr 2026</t>
  </si>
  <si>
    <t>✅ Garder — 30 ans div, faible beta</t>
  </si>
  <si>
    <t>Core 🇨🇦</t>
  </si>
  <si>
    <t>CAN</t>
  </si>
  <si>
    <t>18.0</t>
  </si>
  <si>
    <t>$80</t>
  </si>
  <si>
    <t>Aug 2026</t>
  </si>
  <si>
    <t>⭐ Surveiller — infra data centers</t>
  </si>
  <si>
    <t>Core 🔋</t>
  </si>
  <si>
    <t>INFRA</t>
  </si>
  <si>
    <t>55.0</t>
  </si>
  <si>
    <t>$1000</t>
  </si>
  <si>
    <t>✅ Garder — Copilot + Azure stable</t>
  </si>
  <si>
    <t>33.0</t>
  </si>
  <si>
    <t>✅ Garder — beta 1.7, déjà exposé SMH</t>
  </si>
  <si>
    <t>45.0</t>
  </si>
  <si>
    <t>$250</t>
  </si>
  <si>
    <t>⭐ Garder — spéculatif, beta 2.1</t>
  </si>
  <si>
    <t>Satellite ⚡</t>
  </si>
  <si>
    <t>SPEC</t>
  </si>
  <si>
    <t>120.0</t>
  </si>
  <si>
    <t>Nasdaq 100</t>
  </si>
  <si>
    <t>✅ Garder — overlap NVDA/META/AMZN</t>
  </si>
  <si>
    <t>30.0</t>
  </si>
  <si>
    <t>✅ Garder — diversif mondiale</t>
  </si>
  <si>
    <t>$45</t>
  </si>
  <si>
    <t>✅ Garder — moat monopolistique</t>
  </si>
  <si>
    <t>$550</t>
  </si>
  <si>
    <t>🔵 Diluer — AML risque, ne plus acheter</t>
  </si>
  <si>
    <t>Satellite 🇨🇦</t>
  </si>
  <si>
    <t>CAN_SAT</t>
  </si>
  <si>
    <t>12.0</t>
  </si>
  <si>
    <t>$85</t>
  </si>
  <si>
    <t>🔵 Garder — coussin défensif beta 0.6</t>
  </si>
  <si>
    <t>16.0</t>
  </si>
  <si>
    <t>$62</t>
  </si>
  <si>
    <t>🔵 Garder — utilité, beta 0.35</t>
  </si>
  <si>
    <t>22.0</t>
  </si>
  <si>
    <t>$65</t>
  </si>
  <si>
    <t>👀 Q3 2026 — surveiller décision div</t>
  </si>
  <si>
    <t>9.0</t>
  </si>
  <si>
    <t>🔵 Garder — thèse 10 ans, position petite</t>
  </si>
  <si>
    <t>$130</t>
  </si>
  <si>
    <t>🔵 Garder — énergie IA data centers</t>
  </si>
  <si>
    <t>Satellite 🔬</t>
  </si>
  <si>
    <t>$70</t>
  </si>
  <si>
    <t>🔄 Coussin défensif — div mensuel 5.9%</t>
  </si>
  <si>
    <t>Satellite 🏢</t>
  </si>
  <si>
    <t>$22</t>
  </si>
  <si>
    <t>🔄 Diluer — croissance div nulle 5 ans</t>
  </si>
  <si>
    <t>$5</t>
  </si>
  <si>
    <t>🔄 Diluer — redondant avec ENB/TD</t>
  </si>
  <si>
    <t>$38</t>
  </si>
  <si>
    <t>🔄 Coussin défensif — Walmart anchor</t>
  </si>
  <si>
    <t>$30</t>
  </si>
  <si>
    <t>🔄 Diluer — redondant titres individ.</t>
  </si>
  <si>
    <t>$58</t>
  </si>
  <si>
    <t>BMO REITs</t>
  </si>
  <si>
    <t>🔄 Diluer — redondant SRU/REI</t>
  </si>
  <si>
    <t>🔄 Diluer — perte -13.5%, ne pas vendre</t>
  </si>
  <si>
    <t>🔄 Diluer — international, petite position</t>
  </si>
  <si>
    <t>Satellite 🌍</t>
  </si>
  <si>
    <t>ETF_SAT</t>
  </si>
  <si>
    <t>✅ Auto $2,500/mois — FHSA maison 2028</t>
  </si>
  <si>
    <t>✅ Garder — FHSA</t>
  </si>
  <si>
    <t>🔵 Ne plus acheter — FHSA</t>
  </si>
  <si>
    <t>🔵 Garder — FHSA</t>
  </si>
  <si>
    <t>🔄 Diluer — FHSA</t>
  </si>
  <si>
    <t>✅ Auto $2,000/mois — snowball fiscal</t>
  </si>
  <si>
    <t>Core 💰</t>
  </si>
  <si>
    <t>INCOME</t>
  </si>
  <si>
    <t>✅ Garder — revenu mensuel REER</t>
  </si>
  <si>
    <t>◼  GRAND TOTAL — SUBTOTAL s'adapte aux filtres</t>
  </si>
  <si>
    <t>⚡  EXPOSITION IA PONDÉRÉE</t>
  </si>
  <si>
    <t>📊  BETA MOYEN PONDÉRÉ</t>
  </si>
  <si>
    <t>💰  DIVIDENDES ESTIMÉS /AN CAD</t>
  </si>
  <si>
    <t>% PORTFOLIO</t>
  </si>
  <si>
    <t>REV.DIV/AN CAD</t>
  </si>
  <si>
    <t>💡  COLONNES JAUNES = saisir  ·  BLEUES = calculées  ·  Yields/Beta à jour 9 mars 2026</t>
  </si>
  <si>
    <t>T5</t>
  </si>
  <si>
    <t>💰 REVENUS PASSIFS DIVIDENDES</t>
  </si>
  <si>
    <t>Revenu total /an (CAD)</t>
  </si>
  <si>
    <t>Revenu total /mois (CAD)</t>
  </si>
  <si>
    <t>Yield moyen du portfolio</t>
  </si>
  <si>
    <t>Cible revenu /an (retraite $7K/mois)</t>
  </si>
  <si>
    <t>Manquant pour cible</t>
  </si>
  <si>
    <t>📖 GUIDE DE TRI ET FILTRAGE</t>
  </si>
  <si>
    <t>Trier par valeur CAD ↑↓</t>
  </si>
  <si>
    <t>Colonne L → ▼ → Tri décroissant → voir top positions par poids</t>
  </si>
  <si>
    <t>Trier par gain % ↑↓</t>
  </si>
  <si>
    <t>Colonne N → ▼ → Tri décroissant → meilleurs/pires performers</t>
  </si>
  <si>
    <t>Trier par Tier A→Z</t>
  </si>
  <si>
    <t>Colonne E → ▼ → Tri A→Z → regroupe T1/T2/T3/T4 automatiquement</t>
  </si>
  <si>
    <t>Filtrer par compte</t>
  </si>
  <si>
    <t>Colonne F → ▼ → Cocher seulement TFSA ou FHSA ou REER</t>
  </si>
  <si>
    <t>Trier par dividende/an</t>
  </si>
  <si>
    <t>Colonne R → ▼ → Tri décroissant → voir meilleurs payeurs de div.</t>
  </si>
  <si>
    <t>Filtrer par action</t>
  </si>
  <si>
    <t>Colonne S → ▼ → Cocher ACCUMULER pour voir uniquement vos convictions</t>
  </si>
  <si>
    <t>⚠️ Note importante</t>
  </si>
  <si>
    <t>Le tri/filtre ici ne modifie PAS l'onglet PORTEFEUILLE — données sources sécurisées</t>
  </si>
  <si>
    <t xml:space="preserve">  🏗️  ANALYSE TFSA — CORE vs SATELLITE  ·  Cible: Core ≥ 80% · Satellite ≤ 20% (T3+T4)</t>
  </si>
  <si>
    <t>% PORT TFSA</t>
  </si>
  <si>
    <t>ÉCART</t>
  </si>
  <si>
    <t>TFSA Total (valeur CAD)</t>
  </si>
  <si>
    <t>📊 Référence</t>
  </si>
  <si>
    <t>TFSA Core (T1+T2 non-REIT)</t>
  </si>
  <si>
    <t>≥ 80%</t>
  </si>
  <si>
    <t>TFSA Satellite (T3+T4)</t>
  </si>
  <si>
    <t>≤ 20%</t>
  </si>
  <si>
    <t>TFSA CAN financials + REITs</t>
  </si>
  <si>
    <t>≤ 25%</t>
  </si>
  <si>
    <t xml:space="preserve">  🏠  ANALYSE FHSA — GLIDE PATH 2026→2028  ·  Point 3 — De-risking progressif avant RAP</t>
  </si>
  <si>
    <t>VALEUR / %</t>
  </si>
  <si>
    <t>CIBLE 2026</t>
  </si>
  <si>
    <t>CIBLE 2027</t>
  </si>
  <si>
    <t>CIBLE 2028</t>
  </si>
  <si>
    <t>STATUT 2026</t>
  </si>
  <si>
    <t>FHSA Total (CAD)</t>
  </si>
  <si>
    <t>FHSA Actions/ETF % (Core)</t>
  </si>
  <si>
    <t>≤ 70%</t>
  </si>
  <si>
    <t>≤ 50%</t>
  </si>
  <si>
    <t>≤ 30%</t>
  </si>
  <si>
    <t>FHSA REITs/Satellites %</t>
  </si>
  <si>
    <t>→ Nvx $ FHSA: Core seulement</t>
  </si>
  <si>
    <t>Tout → VFV.TO</t>
  </si>
  <si>
    <t>VFV + GIC</t>
  </si>
  <si>
    <t>GIC + bonds</t>
  </si>
  <si>
    <t xml:space="preserve">  🎯 RECOMMANDATION: FHSA → VFV.TO seul. Vendre SRU+REI+TD+ZLB+XEI → VFV.TO. RAP 2028 = $40K propre, zéro gestion, zéro risque de concentration.</t>
  </si>
  <si>
    <t xml:space="preserve">  💼  ANALYSE REER — RAP vs RETRAITE  ·  Point 5 — Split intentionnel</t>
  </si>
  <si>
    <t>COMPOSANTE</t>
  </si>
  <si>
    <t>VALEUR ACT. CAD</t>
  </si>
  <si>
    <t>OBJECTIF CAD</t>
  </si>
  <si>
    <t>% ATTEINT</t>
  </si>
  <si>
    <t>STRATÉGIE</t>
  </si>
  <si>
    <t>REER Total (CAD)</t>
  </si>
  <si>
    <t>SCHD $3K/mois + TDVG + VYM à ajouter</t>
  </si>
  <si>
    <t>Part RAP (maison)</t>
  </si>
  <si>
    <t>Objectif 2028 · De-risquer progressivement</t>
  </si>
  <si>
    <t>Part retraite long terme</t>
  </si>
  <si>
    <t>∞</t>
  </si>
  <si>
    <t>SCHD+TDVG+VYM · Actions 100% jusquʼà 2040</t>
  </si>
  <si>
    <t>Glide path RAP 2028</t>
  </si>
  <si>
    <t>2026: 100% SCHD · 2027: 80% SCHD+20% GIC · 2028: 50/50</t>
  </si>
  <si>
    <t xml:space="preserve">  💊  SCORE DE SANTÉ 4 DIMENSIONS  ·  Point 6 — Mise à jour trimestrielle</t>
  </si>
  <si>
    <t>DIMENSION</t>
  </si>
  <si>
    <t>SCORE /MAX</t>
  </si>
  <si>
    <t>% DIM.</t>
  </si>
  <si>
    <t>FORMULE AUTO</t>
  </si>
  <si>
    <t>Q1 2026</t>
  </si>
  <si>
    <t>Q2 2026</t>
  </si>
  <si>
    <t>Q3 2026</t>
  </si>
  <si>
    <t>Q4 2026</t>
  </si>
  <si>
    <t>🏠 Objectifs (maison+retraite)</t>
  </si>
  <si>
    <t>/30</t>
  </si>
  <si>
    <t>FHSA+REER ≥ $50K = 18pt | Cotisation OK = +7pt</t>
  </si>
  <si>
    <t>⚖️ Risque vs horizon (par cte)</t>
  </si>
  <si>
    <t>/25</t>
  </si>
  <si>
    <t>FHSA equity ≤70% = OK · TFSA satellite ≤20% = OK</t>
  </si>
  <si>
    <t>🌍 Diversification (pays/sect.)</t>
  </si>
  <si>
    <t>IA &lt; 45% = OK · CAN+REIT TFSA &lt; 25% = OK</t>
  </si>
  <si>
    <t>⚙️ Implémentation (cotisations)</t>
  </si>
  <si>
    <t>/20</t>
  </si>
  <si>
    <t>FHSA ≤ plafond + REER cotisé + pas satellite TFSA en surplus</t>
  </si>
  <si>
    <t xml:space="preserve">  🏆 SCORE TOTAL AUTO</t>
  </si>
  <si>
    <t>/100</t>
  </si>
  <si>
    <t>Mis à jour auto ·
Mise à jour trim. = col G-J</t>
  </si>
  <si>
    <t>📊  ANALYSE TITRES  ·  Scorecard /10 par titre  ·  Grille 8 critères  ·  Sources documentées  ·  Verdicts traçables</t>
  </si>
  <si>
    <t>Chaque analyse = web search systématique · 8 critères objectifs · Score /10 auto · Verdict daté · Revu à chaque session</t>
  </si>
  <si>
    <t>🎯  CRITÈRES OBJECTIFS DE CLASSIFICATION PAR TIER  ·  Gravés S16  ·  Immuables sauf révision formelle</t>
  </si>
  <si>
    <t>CRITÈRE</t>
  </si>
  <si>
    <t>T1 — CONVICTION MAX</t>
  </si>
  <si>
    <t>T2 — ACCUMULER SÉLECTIF</t>
  </si>
  <si>
    <t>T3 — HOLD SANS ACHAT</t>
  </si>
  <si>
    <t>T4 — DILUER NATURELLEMENT</t>
  </si>
  <si>
    <t>Croissance revenus/an</t>
  </si>
  <si>
    <t>&gt;15%/an</t>
  </si>
  <si>
    <t>5-15%/an</t>
  </si>
  <si>
    <t>0-5%/an</t>
  </si>
  <si>
    <t>&lt;0% ou N/A</t>
  </si>
  <si>
    <t>Avantage compétitif</t>
  </si>
  <si>
    <t>Fort + durable (moat)</t>
  </si>
  <si>
    <t>Modéré ou en construction</t>
  </si>
  <si>
    <t>Faible ou cyclique</t>
  </si>
  <si>
    <t>Aucun ou déclinant</t>
  </si>
  <si>
    <t>Potentiel 10 ans</t>
  </si>
  <si>
    <t>×5 à ×20 possible</t>
  </si>
  <si>
    <t>×2 à ×5 réaliste</t>
  </si>
  <si>
    <t>×1 à ×2 stable</t>
  </si>
  <si>
    <t>&lt;×1 ou incertain</t>
  </si>
  <si>
    <t>Qualité du bilan</t>
  </si>
  <si>
    <t>Excellent · Faible dette</t>
  </si>
  <si>
    <t>Bon · Dette maîtrisée</t>
  </si>
  <si>
    <t>Correct · Dette notable</t>
  </si>
  <si>
    <t>Faible · Dette élevée</t>
  </si>
  <si>
    <t>Conviction personnelle</t>
  </si>
  <si>
    <t>Maximum · Acheter les dips</t>
  </si>
  <si>
    <t>Haute · DCA régulier</t>
  </si>
  <si>
    <t>Moyenne · Garder seulement</t>
  </si>
  <si>
    <t>Basse · Ne plus acheter</t>
  </si>
  <si>
    <t>Rôle dans portfolio</t>
  </si>
  <si>
    <t>Moteur FI principal</t>
  </si>
  <si>
    <t>Support + diversification</t>
  </si>
  <si>
    <t>Défense / stabilité</t>
  </si>
  <si>
    <t>Erreur passée · diluer</t>
  </si>
  <si>
    <t>Dividende rôle</t>
  </si>
  <si>
    <t>Croissance dividende T1</t>
  </si>
  <si>
    <t>Dividende croissant utile</t>
  </si>
  <si>
    <t>Dividende stable ok</t>
  </si>
  <si>
    <t>Dividende piège possible</t>
  </si>
  <si>
    <t>Exemple portefeuille</t>
  </si>
  <si>
    <t>AVGO VFV GOOG AMZN META</t>
  </si>
  <si>
    <t>MSFT NVDA QQQM SCHD SPGI</t>
  </si>
  <si>
    <t>H.TO ZLB.TO HURA.TO TD.TO</t>
  </si>
  <si>
    <t>XIC XEI ZRE MFC VDU REITs</t>
  </si>
  <si>
    <t>📋  GRILLE SCORECARD /10  ·  8 CRITÈRES PONDÉRÉS  ·  Score auto  ·  Tier suggéré automatique</t>
  </si>
  <si>
    <t>POIDS</t>
  </si>
  <si>
    <t>SCORE /5</t>
  </si>
  <si>
    <t>PONDÉRÉ</t>
  </si>
  <si>
    <t>GUIDE SCORING</t>
  </si>
  <si>
    <t>C1</t>
  </si>
  <si>
    <t>Valorisation</t>
  </si>
  <si>
    <t>P/E vs secteur · P/S · EV/EBITDA · pas trop cher</t>
  </si>
  <si>
    <t>⬜ /5</t>
  </si>
  <si>
    <t>Score 1=très cher · 3=juste prix · 5=sous-évalué vs croissance</t>
  </si>
  <si>
    <t>C2</t>
  </si>
  <si>
    <t>Momentum</t>
  </si>
  <si>
    <t>Perf 1M · 3M · 1AN · 5ANS · tendance vs indice</t>
  </si>
  <si>
    <t>Score 1=baisse forte · 3=neutre · 5=surperformance constante</t>
  </si>
  <si>
    <t>C3</t>
  </si>
  <si>
    <t>Fondamentaux</t>
  </si>
  <si>
    <t>Revenus · Marges · FCF · Dette/EBITDA · ROE</t>
  </si>
  <si>
    <t>Score 1=faible · 3=correct · 5=excellent bilan + croissance</t>
  </si>
  <si>
    <t>C4</t>
  </si>
  <si>
    <t>Dividende</t>
  </si>
  <si>
    <t>Yield · Croissance 5 ans · Payout ratio · Durabilité</t>
  </si>
  <si>
    <t>Score 1=insoutenable · 3=stable · 5=croissance forte + couverte</t>
  </si>
  <si>
    <t>C5</t>
  </si>
  <si>
    <t>Moat / Avantage</t>
  </si>
  <si>
    <t>Barrières entrée · Pricing power · Part de marché</t>
  </si>
  <si>
    <t>Score 1=aucun · 3=modéré · 5=dominant + durable + irrempla</t>
  </si>
  <si>
    <t>C6</t>
  </si>
  <si>
    <t>Catalyseurs</t>
  </si>
  <si>
    <t>Earnings prochains · Annonces · Expansion · IA/Tech</t>
  </si>
  <si>
    <t>Score 1=risques seuls · 3=neutre · 5=fort pipeline 12-24 mois</t>
  </si>
  <si>
    <t>C7</t>
  </si>
  <si>
    <t>Risques</t>
  </si>
  <si>
    <t>Régulation · Concurrence · Concentration · Macro</t>
  </si>
  <si>
    <t>Score 1=risques majeurs · 3=gérables · 5=bien protégé</t>
  </si>
  <si>
    <t>C8</t>
  </si>
  <si>
    <t>Fit Portfolio FI</t>
  </si>
  <si>
    <t>Tier approprié · Expo USD/IA · Conviction · Horizon</t>
  </si>
  <si>
    <t>Score 1=mauvais fit · 3=acceptable · 5=parfait pour ton FI</t>
  </si>
  <si>
    <t>SCORE TOTAL</t>
  </si>
  <si>
    <t>100%</t>
  </si>
  <si>
    <t>TIER SUGGÉRÉ</t>
  </si>
  <si>
    <t>📈  ANALYSES COMPLÈTES PAR TITRE  ·  Scorecard rempli à chaque analyse  ·  Sources + Date + Verdict</t>
  </si>
  <si>
    <t>C1-VAL</t>
  </si>
  <si>
    <t>SC</t>
  </si>
  <si>
    <t>C3-FUND</t>
  </si>
  <si>
    <t>C5-MOAT</t>
  </si>
  <si>
    <t>TIER SUG.</t>
  </si>
  <si>
    <t>Mar 2026</t>
  </si>
  <si>
    <t>P/E S&amp;P ~21x — historique</t>
  </si>
  <si>
    <t>500 cies · croissance bénéfices ~10%/an</t>
  </si>
  <si>
    <t>Indice = moat ultime · 500 entreprises</t>
  </si>
  <si>
    <t>✅ ACCUMULER — DCA mensuel FHSA+TFSA. Pilier de la stratégie FI.</t>
  </si>
  <si>
    <t>Broadcom Inc.</t>
  </si>
  <si>
    <t>P/E ~35x — premium justifié IA</t>
  </si>
  <si>
    <t>Revenus +51% · marges EBITDA 62%</t>
  </si>
  <si>
    <t>Switch semis IA quasi-monopole</t>
  </si>
  <si>
    <t>✅ ACCUMULER AGRESSIVEMENT — Dip &gt;5% = achat immédiat. No-buy 28 mai→4 juin.</t>
  </si>
  <si>
    <t>VanEck Semis ETF</t>
  </si>
  <si>
    <t>P/E ~28x · prime semis justifiée</t>
  </si>
  <si>
    <t>Top holdings NVDA AVGO TSM ASML</t>
  </si>
  <si>
    <t>Semis = infrastructure IA incontournable</t>
  </si>
  <si>
    <t>✅ ACCUMULER — Proche seuil 15%. Prochain achat si dip &gt;5% seulement.</t>
  </si>
  <si>
    <t>Alphabet Inc.</t>
  </si>
  <si>
    <t>P/E ~21x — sous-évalué vs pairs IA</t>
  </si>
  <si>
    <t>Revenus +12% · marges 32% · FCF $70B</t>
  </si>
  <si>
    <t>Search 92% + Cloud #3 + YouTube #1</t>
  </si>
  <si>
    <t>✅ ACCUMULER — Sous-valorisé vs Meta/MSFT. Position trop petite. Dip &gt;8% = achat.</t>
  </si>
  <si>
    <t>Amazon.com</t>
  </si>
  <si>
    <t>P/E ~35x · AWS premium</t>
  </si>
  <si>
    <t>AWS 70% profits · e-commerce rentable</t>
  </si>
  <si>
    <t>AWS #1 cloud · Prime moat conso</t>
  </si>
  <si>
    <t>✅ ACCUMULER — AWS = infrastructure IA incontournable. Accumulation progressive.</t>
  </si>
  <si>
    <t>P/E ~27x — raisonnable</t>
  </si>
  <si>
    <t>Revenus +21% · marges 41% · FCF $50B</t>
  </si>
  <si>
    <t>Réseaux sociaux 3.3B users · moat pub</t>
  </si>
  <si>
    <t>✅ ACCUMULER — Après earnings Q1 (fin avril). No-buy 21→28 avr.</t>
  </si>
  <si>
    <t>P/E ~55x — growth premium élevé</t>
  </si>
  <si>
    <t>Revenus +14% · marge en amélioration</t>
  </si>
  <si>
    <t>Turbines gaz + éolien + grid = moat infra</t>
  </si>
  <si>
    <t>✅ ACCUMULER — Infrastructure IA indispensable. Dip &gt;10% = achat fort.</t>
  </si>
  <si>
    <t>Enbridge Inc.</t>
  </si>
  <si>
    <t>P/E ~18x · yield play</t>
  </si>
  <si>
    <t>Revenus stables · FCF $5B · régulé</t>
  </si>
  <si>
    <t>Pipelines = infrastructure réglementée</t>
  </si>
  <si>
    <t>✅ GARDER + ACCUMULER pour dividende. Pilier revenus passifs $39/an.</t>
  </si>
  <si>
    <t>Schwab US Div ETF</t>
  </si>
  <si>
    <t>P/E ~17x — value screen</t>
  </si>
  <si>
    <t>Quality screen · profitabilité filtrée</t>
  </si>
  <si>
    <t>100 titres quality dividend — moat sélection</t>
  </si>
  <si>
    <t>✅ ACCUMULER REER $2K/mois — Meilleur véhicule snowball fiscal. Priorité #1 REER.</t>
  </si>
  <si>
    <t>Microsoft Corp.</t>
  </si>
  <si>
    <t>⬜ À analyser</t>
  </si>
  <si>
    <t>NVIDIA Corp.</t>
  </si>
  <si>
    <t>Invesco Nasdaq ETF</t>
  </si>
  <si>
    <t>S&amp;P Global Inc.</t>
  </si>
  <si>
    <t>JPMorgan Equity Premium</t>
  </si>
  <si>
    <t>Tesla Inc.</t>
  </si>
  <si>
    <t>iShares All-Equity ETF</t>
  </si>
  <si>
    <t>TELUS Corp.</t>
  </si>
  <si>
    <t>BMO Low Volatility ETF</t>
  </si>
  <si>
    <t>Horizons Uranium ETF</t>
  </si>
  <si>
    <t>Defiance Quantum ETF</t>
  </si>
  <si>
    <t>iShares TSX Capped ETF</t>
  </si>
  <si>
    <t>Manulife Financial</t>
  </si>
  <si>
    <t>iShares S&amp;P/TSX HiDiv</t>
  </si>
  <si>
    <t>BMO Equal Weight REITs</t>
  </si>
  <si>
    <t>Vanguard FTSE Dev ex-NA</t>
  </si>
  <si>
    <t>SmartCentres REIT</t>
  </si>
  <si>
    <t>✅ VENDU 11 mars 2026</t>
  </si>
  <si>
    <t>🔬  PROTOCOLE D'ANALYSE  ·  8 étapes · Exécuter dans l'ordre · Ne jamais sauter une étape</t>
  </si>
  <si>
    <t>Étape 1</t>
  </si>
  <si>
    <t>Web search prix live</t>
  </si>
  <si>
    <t>StockAnalysis.com + Morningstar — prix actuel · P/E · P/S · 52-week range</t>
  </si>
  <si>
    <t>Étape 2</t>
  </si>
  <si>
    <t>Simply Wall St + Koyfin — revenus 3 ans · marges · FCF · dette · ROE</t>
  </si>
  <si>
    <t>Étape 3</t>
  </si>
  <si>
    <t>Digrin + Simply Wall St — yield actuel · croissance 5 ans · payout ratio</t>
  </si>
  <si>
    <t>Étape 4</t>
  </si>
  <si>
    <t>Earnings calendar</t>
  </si>
  <si>
    <t>StockEvents — date prochain earnings · no-buy zone si &lt;7 jours</t>
  </si>
  <si>
    <t>Étape 5</t>
  </si>
  <si>
    <t>Comparaison sectorielle</t>
  </si>
  <si>
    <t>Morningstar — P/E vs secteur · performance relative 1 an</t>
  </si>
  <si>
    <t>Étape 6</t>
  </si>
  <si>
    <t>Catalyseurs &amp; risques</t>
  </si>
  <si>
    <t>Seeking Alpha / news récentes — pipeline produits · régulation · macro</t>
  </si>
  <si>
    <t>Étape 7</t>
  </si>
  <si>
    <t>Fit portfolio</t>
  </si>
  <si>
    <t>Expo USD · IA · tier suggéré · conviction · objectif CAD dans portfolio</t>
  </si>
  <si>
    <t>Étape 8</t>
  </si>
  <si>
    <t>Verdict final</t>
  </si>
  <si>
    <t>Score /10 · Tier confirmé ou changement · Action: Acheter/Attendre/Éviter + raison</t>
  </si>
  <si>
    <t>📅  VERDICTS J+30  ·  Mesurer fiabilité des analyses  ·  11 avril 2026 = premier verdict</t>
  </si>
  <si>
    <t>DATE ANALYSE</t>
  </si>
  <si>
    <t>VERDICT INITIAL</t>
  </si>
  <si>
    <t>PERF %</t>
  </si>
  <si>
    <t>VERDICT CORRECT?</t>
  </si>
  <si>
    <t>Ex: AVGO</t>
  </si>
  <si>
    <t>Ex: Acheter T1</t>
  </si>
  <si>
    <t>Ex: $340 USD</t>
  </si>
  <si>
    <t>→ J+30:</t>
  </si>
  <si>
    <t>🎯  DÉCISIONS &amp; ACTIONS  ·  Achat du mois · Plan de vente · Rééquilibrage · Simulation</t>
  </si>
  <si>
    <t>💰  ACHAT DU MOIS  ·  $5,000 · Ordre fiscal optimal</t>
  </si>
  <si>
    <t>Mars 2026</t>
  </si>
  <si>
    <t>🔥1</t>
  </si>
  <si>
    <t>52.98%×$2K = +$1,060/mois ARC</t>
  </si>
  <si>
    <t>✅ EXÉCUTÉ 12 mars · 64.3053u confirmé Questrade</t>
  </si>
  <si>
    <t>🔥2</t>
  </si>
  <si>
    <t>$1,000</t>
  </si>
  <si>
    <t>✅ ACTIF</t>
  </si>
  <si>
    <t>⭐3</t>
  </si>
  <si>
    <t>AVGO fract.</t>
  </si>
  <si>
    <t>100% tax-free · QUASI PLEIN</t>
  </si>
  <si>
    <t>⚠️ ~$1,423 room</t>
  </si>
  <si>
    <t>🏦4</t>
  </si>
  <si>
    <t>EQ Bank</t>
  </si>
  <si>
    <t>HISA</t>
  </si>
  <si>
    <t>$1,500</t>
  </si>
  <si>
    <t>Fonds urgence · $15K en 10 mois · ~4.0% garanti · PRIORITÉ CETTE SEMAINE</t>
  </si>
  <si>
    <t>🔴  PLAN DE VENTE T4→T1  ·  PLZ.UN ✅ + REI.UN ✅ exécutés 11 mars  ·  Restant: ~$1,878</t>
  </si>
  <si>
    <t>RÉINVEST →</t>
  </si>
  <si>
    <t>✅ X</t>
  </si>
  <si>
    <t>0u (vendu)</t>
  </si>
  <si>
    <t>$4,094 réalisés</t>
  </si>
  <si>
    <t>→ AVGO+GEV+SMH</t>
  </si>
  <si>
    <t>✅ EXÉCUTÉ 11 mars @ $4.26 · gain +17%</t>
  </si>
  <si>
    <t>🔴2</t>
  </si>
  <si>
    <t>19u</t>
  </si>
  <si>
    <t>~$430</t>
  </si>
  <si>
    <t>→ VFV.TO</t>
  </si>
  <si>
    <t>✅ EXÉCUTER LUNDI 16 mars</t>
  </si>
  <si>
    <t>🔴3</t>
  </si>
  <si>
    <t>21u</t>
  </si>
  <si>
    <t>~$1,118</t>
  </si>
  <si>
    <t>→ SMH</t>
  </si>
  <si>
    <t>🔴4</t>
  </si>
  <si>
    <t>~$338</t>
  </si>
  <si>
    <t>→ GOOG</t>
  </si>
  <si>
    <t>⚖️  RÈGLE DE RÉÉQUILIBRAGE  ·  Quand et quoi</t>
  </si>
  <si>
    <t>🚫 JAMAIS vendre à perte TFSA</t>
  </si>
  <si>
    <t>T.TO + MFC.TO → room TFSA perdu définitivement</t>
  </si>
  <si>
    <t>✅ Trigger vente T3/T4</t>
  </si>
  <si>
    <t>Position en gain &gt;5% + meilleure opportunité T1 identifiée</t>
  </si>
  <si>
    <t>🔥 Trigger achat T1</t>
  </si>
  <si>
    <t>Dip &gt;5% = DCA accéléré · dip &gt;15% = maximiser · COVID mindset</t>
  </si>
  <si>
    <t>📊 Seuil tiers</t>
  </si>
  <si>
    <t>T1 cible 55-60% · T2 &lt;15% · T3 &lt;15% · T4 &lt;5% · Actuel T1=44%</t>
  </si>
  <si>
    <t>🤖 IA plafond</t>
  </si>
  <si>
    <t>Expo IA ≤ 45% · Actuel ~45% → AU SEUIL MAX · ne pas dépasser</t>
  </si>
  <si>
    <t>🎲  SIMULATEUR CRASH  ·  Psychologie : COVID ✅ · Buy the dip agressif</t>
  </si>
  <si>
    <t>VALEUR APRÈS</t>
  </si>
  <si>
    <t>ACTION OPTIMALE</t>
  </si>
  <si>
    <t>📉 Correction -20%</t>
  </si>
  <si>
    <t>$87,603</t>
  </si>
  <si>
    <t>~$70,082</t>
  </si>
  <si>
    <t>→ DCA accéléré T1</t>
  </si>
  <si>
    <t>P&amp;L +30% en 18 mois</t>
  </si>
  <si>
    <t>📉 Bear market -30%</t>
  </si>
  <si>
    <t>~$61,322</t>
  </si>
  <si>
    <t>→ Max AVGO+SMH+VFV</t>
  </si>
  <si>
    <t>Opportunité générationnelle</t>
  </si>
  <si>
    <t>📉 Crash -50%</t>
  </si>
  <si>
    <t>~$43,800</t>
  </si>
  <si>
    <t>→ REER+TFSA max</t>
  </si>
  <si>
    <t>COVID playbook</t>
  </si>
  <si>
    <t>📈 Rally +20%</t>
  </si>
  <si>
    <t>~$105,124</t>
  </si>
  <si>
    <t>→ DCA normal</t>
  </si>
  <si>
    <t>Ne pas chaser · rester le plan</t>
  </si>
  <si>
    <t>🚨  ALERTES &amp; SURVEILLANCE  ·  Risques · Prix cibles · Santé · Devise</t>
  </si>
  <si>
    <t>⚠️  TABLEAU DE BORD DES RISQUES  ·  Recalcul automatique</t>
  </si>
  <si>
    <t>ALERTE</t>
  </si>
  <si>
    <t>🔥 REER non cotisé</t>
  </si>
  <si>
    <t>Chaque mois sans SCHD = -$1,590 ARC</t>
  </si>
  <si>
    <t>🏦 Fonds urgence</t>
  </si>
  <si>
    <t>Plan: $1,500/mois dès prochaine paie cette semaine · $15K en 10 mois · AVANT Questrade</t>
  </si>
  <si>
    <t>Cible $15,000 EQ Bank · Actuel $0</t>
  </si>
  <si>
    <t>💱 Expo USD</t>
  </si>
  <si>
    <t>Actuel ~44% ✅ (post-trades 11 mars · seuil 65%)</t>
  </si>
  <si>
    <t>🤖 Expo IA</t>
  </si>
  <si>
    <t>Actuel ~28% ✅ (AVGO+SMH+GEV+NVDA+GOOG · seuil 45%)</t>
  </si>
  <si>
    <t>🏠 FHSA room 2026</t>
  </si>
  <si>
    <t>🔴 T.TO + MFC.TO</t>
  </si>
  <si>
    <t>🔴 NE PAS VENDRE</t>
  </si>
  <si>
    <t>Room TFSA perdu définitivement si vendu en perte</t>
  </si>
  <si>
    <t>🔔  PRIX CIBLES  ·  GOOGLEFINANCE auto · Signaux d'achat T1/T2</t>
  </si>
  <si>
    <t>PRIX ACTUEL</t>
  </si>
  <si>
    <t>PRIX CIBLE</t>
  </si>
  <si>
    <t>EARNINGS</t>
  </si>
  <si>
    <t>4 juin · no-buy 28 mai→4 juin</t>
  </si>
  <si>
    <t>Core IA · DCA mensuel</t>
  </si>
  <si>
    <t>ETF semis</t>
  </si>
  <si>
    <t>Dip &gt;10%</t>
  </si>
  <si>
    <t>28 avr · no-buy 21→28 avr</t>
  </si>
  <si>
    <t>Earnings watch</t>
  </si>
  <si>
    <t>DCA FHSA</t>
  </si>
  <si>
    <t>28 mai · no-buy 21→28 mai</t>
  </si>
  <si>
    <t>T2 seulement</t>
  </si>
  <si>
    <t>Dip &gt;15%</t>
  </si>
  <si>
    <t>Énergie IA infrastructure · T1 · DCA dip &gt;10%</t>
  </si>
  <si>
    <t>🚫  NO-BUY ZONES  ·  Ne pas acheter -7j avant earnings · Même si dip</t>
  </si>
  <si>
    <t>NO-BUY DU</t>
  </si>
  <si>
    <t>NO-BUY AU</t>
  </si>
  <si>
    <t>ÉVÉNEMENT</t>
  </si>
  <si>
    <t>Earnings Q1 META</t>
  </si>
  <si>
    <t>🚫 Ne pas acheter</t>
  </si>
  <si>
    <t>4 juin 2026</t>
  </si>
  <si>
    <t>Earnings Q2 AVGO</t>
  </si>
  <si>
    <t>28 mai 2026</t>
  </si>
  <si>
    <t>Earnings Q1 NVDA (T2)</t>
  </si>
  <si>
    <t>⚠️ T2 seulement</t>
  </si>
  <si>
    <t>→ Règle R10 : no-buy = -7 jours avant earnings T1/T2 · attendre résultats avant DCA</t>
  </si>
  <si>
    <t>🏥  SCORE DE SANTÉ  ·  /100  ·  Auto-calculé</t>
  </si>
  <si>
    <t>Diversification tiers T1&gt;55%</t>
  </si>
  <si>
    <t>T1 actuel ~44% → sous cible</t>
  </si>
  <si>
    <t>Expo IA ≤45%</t>
  </si>
  <si>
    <t>Expo USD ≤65%</t>
  </si>
  <si>
    <t>Actuel ~44% → 15/15 ✅ (post-trades)</t>
  </si>
  <si>
    <t>Fonds urgence $15K</t>
  </si>
  <si>
    <t>Actuel $0 → 2/15</t>
  </si>
  <si>
    <t>Plan cotisation actif</t>
  </si>
  <si>
    <t>FHSA actif → partiel</t>
  </si>
  <si>
    <t>T4 &lt; 5% portfolio</t>
  </si>
  <si>
    <t>T4 encore trop haut</t>
  </si>
  <si>
    <t>Calendrier earnings suivi</t>
  </si>
  <si>
    <t>Earnings dans CONTEXT</t>
  </si>
  <si>
    <t>SCORE TOTAL /100</t>
  </si>
  <si>
    <t>💱  EXPOSITION USD/CAD  ·  Surveillance change</t>
  </si>
  <si>
    <t>Taux live Google Finance</t>
  </si>
  <si>
    <t>Auto · sinon mettre à jour CONFIG!B3</t>
  </si>
  <si>
    <t>Taux CONFIG manuel</t>
  </si>
  <si>
    <t>Mettre à jour après dump Questrade</t>
  </si>
  <si>
    <t>Expo USD portfolio</t>
  </si>
  <si>
    <t>Seuil max 65% · Actuel ~44% ✅ post-trades 11 mars</t>
  </si>
  <si>
    <t>📊  PRIX .UN — Fiabilité GOOGLEFINANCE TSX REITs</t>
  </si>
  <si>
    <t>REI.UN → TSE:REI-UN ✅ fiable  ·  SRU.UN → TSE:SRU-UN ✅ fiable  ·  PLZ.UN ✅ VENDU 11 mars 2026 @ $4.26  ·  SRU.UN reste actif en FHSA</t>
  </si>
  <si>
    <t>🔔 ALARME 11 AVRIL 2026</t>
  </si>
  <si>
    <t>6 trades à évaluer · Prix entrée documentés dans JOURNAL · Calculer alpha vs VFV.TO · Leçons à documenter</t>
  </si>
  <si>
    <t>📊 Analyse Titres</t>
  </si>
  <si>
    <t>🆕 Onglet créé S16</t>
  </si>
  <si>
    <t>29 titres à analyser · Commencer par T1 à chaque session · Grille 8 critères + scorecard /10</t>
  </si>
  <si>
    <t>❄️  STRATÉGIE FISCALE  ·  Snowball REER · Remboursement ARC · FTQ · Fiscal avancé</t>
  </si>
  <si>
    <t>❄️  SNOWBALL FISCAL  ·  Impact réel taux 52.98%</t>
  </si>
  <si>
    <t>ÉCON. /AN</t>
  </si>
  <si>
    <t>ÉCON. /MOIS</t>
  </si>
  <si>
    <t>FHSA $16K/an</t>
  </si>
  <si>
    <t>Déduction + retrait maison tax-free</t>
  </si>
  <si>
    <t>REER $36K/an</t>
  </si>
  <si>
    <t>Déduction 52.98% · horizon retraite</t>
  </si>
  <si>
    <t>REER $2K/mois</t>
  </si>
  <si>
    <t>✅ EN COURS · $2,000/mois SCHD · Coût net $940/mois · ARC rembourse $1,060/mois</t>
  </si>
  <si>
    <t>FTQ $5K (si élig.)</t>
  </si>
  <si>
    <t>52.98%+30% = 82.98% retour effectif</t>
  </si>
  <si>
    <t>🧾  CALCULATEUR REMBOURSEMENT FISCAL  ·  Cotisations 2026 réelles</t>
  </si>
  <si>
    <t>COTISATION</t>
  </si>
  <si>
    <t>TAUX</t>
  </si>
  <si>
    <t>FHSA 2026</t>
  </si>
  <si>
    <t>REER 2026</t>
  </si>
  <si>
    <t>TOTAL REMBOURSÉ ARC</t>
  </si>
  <si>
    <t>🌲  FTQ  ·  Crédit 30% · Seuil admissibilité</t>
  </si>
  <si>
    <t>Seuil admissibilité</t>
  </si>
  <si>
    <t>Revenu NET 2025 &lt; $129,590</t>
  </si>
  <si>
    <t>⚠️ Vérifier ARC Mon Dossier</t>
  </si>
  <si>
    <t>Cotisation max</t>
  </si>
  <si>
    <t>$5,000 avant 31 déc 2026</t>
  </si>
  <si>
    <t>Crédit $1,500 garanti si éligible</t>
  </si>
  <si>
    <t>Retour combiné</t>
  </si>
  <si>
    <t>$5,000 → $4,149 récupéré</t>
  </si>
  <si>
    <t>Revenu net</t>
  </si>
  <si>
    <t>CONFIG!B35 · mettre à jour</t>
  </si>
  <si>
    <t>Statut FTQ 2026</t>
  </si>
  <si>
    <t>Statut FTQ</t>
  </si>
  <si>
    <t>Revenu net $140K &gt; seuil $129,590 · Réévaluer si cotisation REER+FHSA réduit revenu net 2026</t>
  </si>
  <si>
    <t>📊  PROJECTION REER → RAP $60,000  ·  Plan $2,000/mois</t>
  </si>
  <si>
    <t>DATE EST.</t>
  </si>
  <si>
    <t>REER actuel (confirmé S18)</t>
  </si>
  <si>
    <t>← Cotisé YTD: $2,000 (SCHD 64.3053u)</t>
  </si>
  <si>
    <t>Cotisation mensuelle REER</t>
  </si>
  <si>
    <t>SCHD · $1,060/mois ARC rembourse → coût net $940</t>
  </si>
  <si>
    <t>Mois pour atteindre $60,000 RAP</t>
  </si>
  <si>
    <t>← Auto</t>
  </si>
  <si>
    <t>Depuis solde actuel · ~29 mois si maintenu</t>
  </si>
  <si>
    <t>Date RAP $60K atteint (estimée)</t>
  </si>
  <si>
    <t>~Août 2028 si $2K/mois dès maintenant</t>
  </si>
  <si>
    <t>ARC remboursé total (cumul)</t>
  </si>
  <si>
    <t>Économie fiscale totale sur cotisations REER à date</t>
  </si>
  <si>
    <t>📊  PROJECTION FHSA → $40,000  ·  Plan $1,000/mois FHSA</t>
  </si>
  <si>
    <t>FHSA actuel (valeur marché)</t>
  </si>
  <si>
    <t>← Room restant 2026: $13,700 · Objectif: cotiser $16K en 2026</t>
  </si>
  <si>
    <t>Cotisé 2026 YTD (cash)</t>
  </si>
  <si>
    <t>VFV.TO 16u @ $157.38</t>
  </si>
  <si>
    <t>Objectif FHSA pour maison 2030</t>
  </si>
  <si>
    <t>2030</t>
  </si>
  <si>
    <t>Retrait tax-free pour mise de fonds · combiné RAP $60K = $100K</t>
  </si>
  <si>
    <t>Plan cotisations FHSA</t>
  </si>
  <si>
    <t>An 2026: $16K · An 2027: $8K · An 2028: $4K</t>
  </si>
  <si>
    <t>Selon plan confirmé par Hey S18</t>
  </si>
  <si>
    <t>💰  REVENUS PASSIFS  ·  Dividendes estimés · Dividendes reçus 2026</t>
  </si>
  <si>
    <t>📊  DIVIDENDES ESTIMÉS /AN  ·  Projections basées sur positions actuelles</t>
  </si>
  <si>
    <t>DIV/AN EST.</t>
  </si>
  <si>
    <t>TOTAL CAD EST.</t>
  </si>
  <si>
    <t>~$4.40 CAD/u</t>
  </si>
  <si>
    <t>Trimestriel ~6.0% yield</t>
  </si>
  <si>
    <t>64.31</t>
  </si>
  <si>
    <t>~$2.90 USD/u</t>
  </si>
  <si>
    <t>Trimestriel ~3.8%</t>
  </si>
  <si>
    <t>~$4.60 USD/u</t>
  </si>
  <si>
    <t>Mensuel ~8%</t>
  </si>
  <si>
    <t>TFSA+FHSA</t>
  </si>
  <si>
    <t>102</t>
  </si>
  <si>
    <t>~$4.08 CAD/u</t>
  </si>
  <si>
    <t>Trimestriel ~3.1%</t>
  </si>
  <si>
    <t>63</t>
  </si>
  <si>
    <t>~$1.85 CAD/u</t>
  </si>
  <si>
    <t>Mensuel · REIT</t>
  </si>
  <si>
    <t>~$1.60 CAD/u</t>
  </si>
  <si>
    <t>Trimestriel</t>
  </si>
  <si>
    <t>26</t>
  </si>
  <si>
    <t>~$1.20 CAD/u</t>
  </si>
  <si>
    <t>Mensuel ETF</t>
  </si>
  <si>
    <t>TOTAL /AN ESTIMÉ</t>
  </si>
  <si>
    <t>~$3,200+/an ✅</t>
  </si>
  <si>
    <t>📅  PROCHAINS DIVIDENDES ESTIMÉS  ·  Approximatif — confirmer Questrade</t>
  </si>
  <si>
    <t>Mars/Juin/Sep/Déc</t>
  </si>
  <si>
    <t>~$10 CAD/trim.</t>
  </si>
  <si>
    <t>6.0% yield</t>
  </si>
  <si>
    <t>~$47 USD/trim.</t>
  </si>
  <si>
    <t>3.8% yield · coeur snowball</t>
  </si>
  <si>
    <t>Jan/Avr/Juil/Oct</t>
  </si>
  <si>
    <t>~$104 CAD/trim.</t>
  </si>
  <si>
    <t>102u × $4.08/an ÷ 4</t>
  </si>
  <si>
    <t>SRU.UN</t>
  </si>
  <si>
    <t>~25 chaque mois</t>
  </si>
  <si>
    <t>~$10 CAD/mois</t>
  </si>
  <si>
    <t>63u × $1.85/an ÷ 12</t>
  </si>
  <si>
    <t>REI.UN</t>
  </si>
  <si>
    <t>~$6 CAD/mois</t>
  </si>
  <si>
    <t>80u × $0.96/an ÷ 12</t>
  </si>
  <si>
    <t>💸  DIVIDENDES RÉELS REÇUS 2026  ·  Saisir après réception Questrade</t>
  </si>
  <si>
    <t>MONTANT USD</t>
  </si>
  <si>
    <t>TOTAL YTD 2026</t>
  </si>
  <si>
    <t>🔥  SNOWBALL ARC — Modélisation complète du remboursement REER → réinvestissement</t>
  </si>
  <si>
    <t>Cotisation REER mensuelle</t>
  </si>
  <si>
    <t>← $2,000/mois (proportion du plan total)</t>
  </si>
  <si>
    <t>Cotisation REER annuelle</t>
  </si>
  <si>
    <t>← ×12</t>
  </si>
  <si>
    <t>← auto CONFIG</t>
  </si>
  <si>
    <t>Remboursement ARC /an</t>
  </si>
  <si>
    <t>← Économie impôt réelle · reçue ~avril de l'année suivante</t>
  </si>
  <si>
    <t>Remboursement ARC /mois</t>
  </si>
  <si>
    <t>← Cash mensuel équivalent</t>
  </si>
  <si>
    <t>Réinvestissement ARC (où?)</t>
  </si>
  <si>
    <t>FHSA/TFSA/REER selon room</t>
  </si>
  <si>
    <t>⬜ Décider chaque année en fonction du room restant</t>
  </si>
  <si>
    <t>Valeur ARC @20 ans (8%)</t>
  </si>
  <si>
    <t>← Si réinvesti chaque année · intérêts composés</t>
  </si>
  <si>
    <t>COÛT NET réel REER /an</t>
  </si>
  <si>
    <t>← Ce que ça te coûte vraiment après remboursement</t>
  </si>
  <si>
    <t>📅  CALENDRIER DIVIDENDES 2026 — Flux de trésorerie mensuel prévu</t>
  </si>
  <si>
    <t>TICKER / SOURCE</t>
  </si>
  <si>
    <t>JAN</t>
  </si>
  <si>
    <t>FÉV</t>
  </si>
  <si>
    <t>MARS</t>
  </si>
  <si>
    <t>AVR</t>
  </si>
  <si>
    <t>MAI</t>
  </si>
  <si>
    <t>JUIN</t>
  </si>
  <si>
    <t>JUIL</t>
  </si>
  <si>
    <t>AOÛT</t>
  </si>
  <si>
    <t>SEP</t>
  </si>
  <si>
    <t>OCT</t>
  </si>
  <si>
    <t>NOV</t>
  </si>
  <si>
    <t>DÉC</t>
  </si>
  <si>
    <t>TOTAL/AN</t>
  </si>
  <si>
    <t>▼ TOTAL /MOIS (CAD)</t>
  </si>
  <si>
    <t>💡 Ces dividendes = argent réel qui rentre. SCHD REER + ENB TFSA + JEPI REER trimestriels/mensuels. Ajouter à CONFIG!B25 (HISA) si non réinvesti = tampon liquidité.</t>
  </si>
  <si>
    <t>🏠  MAISON 2030+  ·  Plan d'achat complet  ·  FHSA $40K + RAP REER $60K = $100K mise de fonds</t>
  </si>
  <si>
    <t>Mis à jour automatiquement via CONFIG  ·  Cellules JAUNES = saisir à la main</t>
  </si>
  <si>
    <t>📊  PROGRESSION — Où j'en suis aujourd'hui</t>
  </si>
  <si>
    <t>PROGRESSION %</t>
  </si>
  <si>
    <t>⏳  COUNTDOWN — Temps restant</t>
  </si>
  <si>
    <t>Date cible achat maison</t>
  </si>
  <si>
    <t>2030-06-01</t>
  </si>
  <si>
    <t>Jours restants</t>
  </si>
  <si>
    <t>Manquant pour $100K (mise de fonds)</t>
  </si>
  <si>
    <t>À épargner par mois pour combler l'écart</t>
  </si>
  <si>
    <t>🏦  SIMULATION HYPOTHÈQUE — Ajuster les cellules JAUNES</t>
  </si>
  <si>
    <t>Prix de la maison ($CAD)</t>
  </si>
  <si>
    <t>Mise de fonds ($CAD)</t>
  </si>
  <si>
    <t>Taux hypothécaire (%)</t>
  </si>
  <si>
    <t>Amortissement (années)</t>
  </si>
  <si>
    <t>Fréquence paiement</t>
  </si>
  <si>
    <t>mensuel</t>
  </si>
  <si>
    <t>Montant emprunté</t>
  </si>
  <si>
    <t>Paiement mensuel estimé ($CAD)</t>
  </si>
  <si>
    <t>Remboursement RAP annuel (15 ans)</t>
  </si>
  <si>
    <t>Remboursement RAP mensuel</t>
  </si>
  <si>
    <t>Coût mensuel total (hypothèque + RAP)</t>
  </si>
  <si>
    <t>📊  SCÉNARIOS TAUX — Impact sur paiement mensuel (maison $400K, mise $100K)</t>
  </si>
  <si>
    <t>PAIEMENT MENSUEL</t>
  </si>
  <si>
    <t>PAIEMENT ANNUEL</t>
  </si>
  <si>
    <t>TOTAL 25 ANS</t>
  </si>
  <si>
    <t>INTÉRÊTS PAYÉS</t>
  </si>
  <si>
    <t>3.5%</t>
  </si>
  <si>
    <t>4.0%</t>
  </si>
  <si>
    <t>4.5%</t>
  </si>
  <si>
    <t>5.0%</t>
  </si>
  <si>
    <t>5.5%</t>
  </si>
  <si>
    <t>6.0%</t>
  </si>
  <si>
    <t>📊  VALIDATION FHSA → OBJECTIF $40K AVANT 2030</t>
  </si>
  <si>
    <t>FHSA actuel</t>
  </si>
  <si>
    <t>$14,932 CAD</t>
  </si>
  <si>
    <t>Cotisation mensuelle</t>
  </si>
  <si>
    <t>$1,000/mois = $12,000/an</t>
  </si>
  <si>
    <t>Room restant 2026</t>
  </si>
  <si>
    <t>~$4,000 (plafond $16K — déjà cotisé $12K)</t>
  </si>
  <si>
    <t>Projection 2030 (4 ans × $12K + $14,932)</t>
  </si>
  <si>
    <t>~$62,932 CAD</t>
  </si>
  <si>
    <t>✅ &gt; $40K objectif</t>
  </si>
  <si>
    <t>Atteint avant 2029</t>
  </si>
  <si>
    <t>Conclusion</t>
  </si>
  <si>
    <t>$40K RAP FHSA atteint ~2028 au rythme actuel</t>
  </si>
  <si>
    <t>✅ DANS LES DÉLAIS</t>
  </si>
  <si>
    <t>📈  PROJECTION INDÉPENDANCE FINANCIÈRE  ·  Objectif: FI à 55 ans (2047)  ·  v47-S18</t>
  </si>
  <si>
    <t>Cellules JAUNES = saisir · Noir = calculé · Vert = liens inter-onglets</t>
  </si>
  <si>
    <t>⚙️  PARAMÈTRES FI</t>
  </si>
  <si>
    <t>PARAMÈTRE</t>
  </si>
  <si>
    <t>VALEUR (SAISIR)</t>
  </si>
  <si>
    <t>SOURCE AUTO</t>
  </si>
  <si>
    <t>UNITÉ</t>
  </si>
  <si>
    <t>Portefeuille actuel</t>
  </si>
  <si>
    <t>Auto via CONFIG (saisir manuellement si besoin)</t>
  </si>
  <si>
    <t>Contribution mensuelle actuelle</t>
  </si>
  <si>
    <t>← Lié CONFIG!B10 = $5,000/mois · REER $2K + FHSA $1K + TFSA $500 + EQ $1,500 · Confirmé S16</t>
  </si>
  <si>
    <t>Rendement annuel pessimiste</t>
  </si>
  <si>
    <t>6%/an</t>
  </si>
  <si>
    <t>Rendement annuel réaliste</t>
  </si>
  <si>
    <t>8%/an</t>
  </si>
  <si>
    <t>Rendement annuel optimiste</t>
  </si>
  <si>
    <t>10%/an</t>
  </si>
  <si>
    <t>Objectif FI (règle 4%)</t>
  </si>
  <si>
    <t>$7K/mois × 12 × 25 = $2.1M · Plancher FI · Jamais un plafond</t>
  </si>
  <si>
    <t>Âge cible FI</t>
  </si>
  <si>
    <t>2047</t>
  </si>
  <si>
    <t>RRQ estimé (début 60 ans)</t>
  </si>
  <si>
    <t>$CAD/mois</t>
  </si>
  <si>
    <t>📊  PROJECTION ANNÉE PAR ANNÉE  ·  34 → 50 ans  ·  3 scénarios</t>
  </si>
  <si>
    <t>ANNÉE</t>
  </si>
  <si>
    <t>2026</t>
  </si>
  <si>
    <t>2027</t>
  </si>
  <si>
    <t>2028</t>
  </si>
  <si>
    <t>2029</t>
  </si>
  <si>
    <t>2031</t>
  </si>
  <si>
    <t>2032</t>
  </si>
  <si>
    <t>2033</t>
  </si>
  <si>
    <t>2034</t>
  </si>
  <si>
    <t>2035</t>
  </si>
  <si>
    <t>2036</t>
  </si>
  <si>
    <t>2037</t>
  </si>
  <si>
    <t>2038</t>
  </si>
  <si>
    <t>Portefeuille actuel CAD</t>
  </si>
  <si>
    <t>Contribution annuelle Phase 1 (2026-2028)</t>
  </si>
  <si>
    <t>← $3,500/mois × 12 = $42,000/an réel (corrigé)</t>
  </si>
  <si>
    <t>Contribution annuelle Phase 2 (2029-2035)</t>
  </si>
  <si>
    <t>Contribution annuelle Phase 3+ (2036-2065)</t>
  </si>
  <si>
    <t>Taux PESSIMISTE (%/an)</t>
  </si>
  <si>
    <t>Taux RÉALISTE (%/an)</t>
  </si>
  <si>
    <t>Taux OPTIMISTE (%/an)</t>
  </si>
  <si>
    <t>Objectif retraite CAD</t>
  </si>
  <si>
    <t>Âge retraite cible</t>
  </si>
  <si>
    <t>Retrait annuel retraite (règle 4%)</t>
  </si>
  <si>
    <t>📅  PROJECTION ANNUELLE — 2026 à 2065</t>
  </si>
  <si>
    <t>ÂGE</t>
  </si>
  <si>
    <t>CONTRIB./AN</t>
  </si>
  <si>
    <t>VALEUR
6% PESSIMISTE</t>
  </si>
  <si>
    <t>VALEUR
8% RÉALISTE</t>
  </si>
  <si>
    <t>VALEUR
10% OPTIMISTE</t>
  </si>
  <si>
    <t>OBJECTIF?</t>
  </si>
  <si>
    <t>PHASE</t>
  </si>
  <si>
    <t>RETRAIT 4%
(si retraite)</t>
  </si>
  <si>
    <t>Phase 1 — $46K/an</t>
  </si>
  <si>
    <t>Phase 2 — $60K/an</t>
  </si>
  <si>
    <t>Phase 3+ — $60K/an</t>
  </si>
  <si>
    <t>2039</t>
  </si>
  <si>
    <t>2040</t>
  </si>
  <si>
    <t>2041</t>
  </si>
  <si>
    <t>2042</t>
  </si>
  <si>
    <t>2043</t>
  </si>
  <si>
    <t>2044</t>
  </si>
  <si>
    <t>2045</t>
  </si>
  <si>
    <t>2046</t>
  </si>
  <si>
    <t>2048</t>
  </si>
  <si>
    <t>2049</t>
  </si>
  <si>
    <t>2050</t>
  </si>
  <si>
    <t>2051</t>
  </si>
  <si>
    <t>2052</t>
  </si>
  <si>
    <t>2053</t>
  </si>
  <si>
    <t>2054</t>
  </si>
  <si>
    <t>2055</t>
  </si>
  <si>
    <t>2056</t>
  </si>
  <si>
    <t>2057</t>
  </si>
  <si>
    <t>2058</t>
  </si>
  <si>
    <t>2059</t>
  </si>
  <si>
    <t>2060</t>
  </si>
  <si>
    <t>2061</t>
  </si>
  <si>
    <t>2062</t>
  </si>
  <si>
    <t>2063</t>
  </si>
  <si>
    <t>2064</t>
  </si>
  <si>
    <t>2065</t>
  </si>
  <si>
    <t>🎯  RÉSUMÉ — À 65 ANS</t>
  </si>
  <si>
    <t>📊  RÉSUMÉ — Quand est-ce que j'atteins $2.1M?</t>
  </si>
  <si>
    <t>Scénario PESSIMISTE (6%/an)</t>
  </si>
  <si>
    <t>Valeur projetée →</t>
  </si>
  <si>
    <t>Scénario RÉALISTE (8%/an)</t>
  </si>
  <si>
    <t>Scénario OPTIMISTE (10%/an)</t>
  </si>
  <si>
    <t>📈  PROJECTION FI — SCÉNARIOS RÉELS  ·  Avec et Sans Maison 2030  ·  Impact modélisé précisément</t>
  </si>
  <si>
    <t>Scénario A (gauche) = tu achètes maison 2030 : RAP -$60K REER · $100K hors portfolio · hypothèque $1,222/mois · contributions réduites</t>
  </si>
  <si>
    <t>$/an</t>
  </si>
  <si>
    <t>$/mois portefeuille + RRQ →</t>
  </si>
  <si>
    <t>$/mois total</t>
  </si>
  <si>
    <t>Scénario B (droite) = tu n'achètes PAS de maison : contributions maximales maintenues · portfolio grandit sans interruption</t>
  </si>
  <si>
    <t>🏠  IMPACT MAISON 2028 — Retrait RAP $60K + FHSA $40K = $100K</t>
  </si>
  <si>
    <t>⚙️  PARAMÈTRES — Cellules JAUNES = modifier · Noir = calculé</t>
  </si>
  <si>
    <t>Atteinte $2.1M AVEC maison</t>
  </si>
  <si>
    <t>Atteinte $2.1M SANS maison</t>
  </si>
  <si>
    <t>Coût d'opportunité (années)</t>
  </si>
  <si>
    <t>🚀  SCÉNARIO C — ACCÉLÉRATION  ·  Et si tu montes à $5K/mois d'ici 2028 ?</t>
  </si>
  <si>
    <t>Lié PORTEFEUILLE</t>
  </si>
  <si>
    <t>Live depuis dump</t>
  </si>
  <si>
    <t>Hypothèse: Salaire augmente ou Nunavik prime additionnelle → contributions passent de $3,500 à $5,000/mois en 2028. Pas de maison. Comparaison vs Scénario B baseline.</t>
  </si>
  <si>
    <t>$3,500/mois × 12</t>
  </si>
  <si>
    <t>,500/mois × 12 = 2,000/an</t>
  </si>
  <si>
    <t>Contributions 2030+ AVEC maison</t>
  </si>
  <si>
    <t>Après hypoth. + RAP</t>
  </si>
  <si>
    <t>↑ Environ 1-2 ans de délai selon scénario</t>
  </si>
  <si>
    <t>≈ $2,000/mois net après maison</t>
  </si>
  <si>
    <t>SCÉNARIO B
(baseline $3,500)</t>
  </si>
  <si>
    <t>SCÉNARIO C
(accéléré $5,000)</t>
  </si>
  <si>
    <t>≈ $4,500/mois optimiste LT</t>
  </si>
  <si>
    <t>📊  SENSIBILITÉ TAUX — Âge d'atteinte $2.1M selon rendement</t>
  </si>
  <si>
    <t>Contributions 2026-2027</t>
  </si>
  <si>
    <t>$3,500/mois = $42K/an</t>
  </si>
  <si>
    <t>Identique pour comparaison équitable</t>
  </si>
  <si>
    <t>Contributions 2028+</t>
  </si>
  <si>
    <t>$5,000/mois = $60K/an</t>
  </si>
  <si>
    <t>+$18K/an</t>
  </si>
  <si>
    <t>Portfolio @2035 (8%)</t>
  </si>
  <si>
    <t>~$885K</t>
  </si>
  <si>
    <t>~$1,050K (estimé)</t>
  </si>
  <si>
    <t>+$165K</t>
  </si>
  <si>
    <t>Portfolio @2040 (8%)</t>
  </si>
  <si>
    <t>~$1,617K</t>
  </si>
  <si>
    <t>~$2,050K (estimé)</t>
  </si>
  <si>
    <t>+$433K</t>
  </si>
  <si>
    <t>FI $2.1M atteint (8%)</t>
  </si>
  <si>
    <t>2043 (âge 51)</t>
  </si>
  <si>
    <t>-3 ans</t>
  </si>
  <si>
    <t>Retire $60K REER → hors portfolio temporairement</t>
  </si>
  <si>
    <t>Portfolio @FI (8%)</t>
  </si>
  <si>
    <t>$2.1M</t>
  </si>
  <si>
    <t>$2.1M+</t>
  </si>
  <si>
    <t>≥ plancher</t>
  </si>
  <si>
    <t>Réintègre dans REER (compté dans contrib)</t>
  </si>
  <si>
    <t>Verdict</t>
  </si>
  <si>
    <t>✅ Solide</t>
  </si>
  <si>
    <t>🚀 FI à 48 — 3 ans plus tôt</t>
  </si>
  <si>
    <t>3 ans de liberté</t>
  </si>
  <si>
    <t>Depuis MAISON 2030+ tab</t>
  </si>
  <si>
    <t>Objectif FI (plancher)</t>
  </si>
  <si>
    <t>Règle 4% · $7K/mois</t>
  </si>
  <si>
    <t>$2.1M = plancher, pas plafond</t>
  </si>
  <si>
    <t>💡 LEVIER CLÉ : Chaque $500/mois de contribution supplémentaire ≈ 0.5-1 an de FI avancé. À $140K salaire, $5K/mois = 43% du salaire net estimé. Faisable si Nunavik prime augmente ou si dépenses restent stables.</t>
  </si>
  <si>
    <t>🏠  SCÉNARIO A — AVEC MAISON 2030</t>
  </si>
  <si>
    <t>📈  SCÉNARIO B — SANS MAISON</t>
  </si>
  <si>
    <t>📊 ANALYSE</t>
  </si>
  <si>
    <t>CONTRIB/AN</t>
  </si>
  <si>
    <t>VAL 8%
RÉALISTE</t>
  </si>
  <si>
    <t>VAL 6%
PESSIMISTE</t>
  </si>
  <si>
    <t>VAL 10%
OPTIMISTE</t>
  </si>
  <si>
    <t>│</t>
  </si>
  <si>
    <t>AVANTAGE
B vs A</t>
  </si>
  <si>
    <t>STATUT
OBJECTIF</t>
  </si>
  <si>
    <t>2030 🏠</t>
  </si>
  <si>
    <t>💡  RECALIBRAGE OBJECTIF RÉALISTE  ·  Inflation incluse</t>
  </si>
  <si>
    <t>Objectif actuel (nominal)</t>
  </si>
  <si>
    <t>Inflation 30 ans @2.5%/an</t>
  </si>
  <si>
    <t>Objectif recalibré (réel)</t>
  </si>
  <si>
    <t>Avec RRQ ~$1,400/mois</t>
  </si>
  <si>
    <t>Portfolio cible ajusté</t>
  </si>
  <si>
    <t>Scénario bullcase (10%)</t>
  </si>
  <si>
    <t>📊  RÉSUMÉ ANALYTIQUE  ·  Ce que les chiffres disent vraiment</t>
  </si>
  <si>
    <t>Portfolio A @50 ans (8%)</t>
  </si>
  <si>
    <t>Portfolio B @50 ans (8%)</t>
  </si>
  <si>
    <t>Avantage B vs A à 50 ans (8%)</t>
  </si>
  <si>
    <t>Portfolio A @50 (pess. 6%)</t>
  </si>
  <si>
    <t>Portfolio B @50 (pess. 6%)</t>
  </si>
  <si>
    <t>Verdict 50 ans réaliste</t>
  </si>
  <si>
    <t>📅 DATES FI ESTIMÉES</t>
  </si>
  <si>
    <t>🏠 A — ~2050 (âge 58)</t>
  </si>
  <si>
    <t>📈 B — 2043 (âge 51)</t>
  </si>
  <si>
    <t>~7 ans d'écart</t>
  </si>
  <si>
    <t>💡 INSIGHT CLÉ — Ce que les chiffres disent précisément :
Scénario B (sans maison) atteint .1M en 2043 (âge 51). Scénario A (avec maison @K/mois contrib) atteint .1M vers ~2050 (âge 58). Coût réel de la maison = ~7 ans de liberté. Question : est-ce que la maison vaut 7 ans de liberté supplémentaire ? Si tu augmentes les contributions A à K/mois post-maison, l'écart se réduit à ~4 ans. Modifier D107 pour tester.</t>
  </si>
  <si>
    <t>⚠️ HYPOTHÈSES MAISON A : RAP $60K retiré du REER en 2030 · Contributions post-maison = $2,000/mois (salaire net − hypo $1,222 − RAP $333 − vie $700 ≈ $1,800-2,200). Ajuster $D param si ta situation change.</t>
  </si>
  <si>
    <t>💰  IMPACT ARC — $12,720/an réinvesti · Effet sur la date FI</t>
  </si>
  <si>
    <t>Cotisation REER /an</t>
  </si>
  <si>
    <t>← $2,000/mois × 12</t>
  </si>
  <si>
    <t>← auto · 52.98%</t>
  </si>
  <si>
    <t>← Ce que l'ARC retourne · ~$12,720/an</t>
  </si>
  <si>
    <t>← Équivalent mensuel · ~$1,060/mois</t>
  </si>
  <si>
    <t>Valeur ARC composé @20 ans</t>
  </si>
  <si>
    <t>← Si $12,720 réinvesti/an pendant 20 ans @8% → capital additionnel</t>
  </si>
  <si>
    <t>Impact date FI estimé</t>
  </si>
  <si>
    <t>~6-12 mois avancé</t>
  </si>
  <si>
    <t>← ARC réinvesti = accélérateur · réel dépend allocation (FHSA &gt; TFSA &gt; REER)</t>
  </si>
  <si>
    <t>STRATÉGIE OPTIMALE ARC</t>
  </si>
  <si>
    <t>FHSA si room → TFSA → REER</t>
  </si>
  <si>
    <t>⬜ Recevoir ARC avril N+1 → verser immédiatement · Ne JAMAIS laisser en compte ordinaire</t>
  </si>
  <si>
    <t>📓  HISTORIQUE &amp; SUIVI  ·  Transactions · Benchmark · Calendrier Earnings</t>
  </si>
  <si>
    <t>📋  LOG TRANSACTIONS  ·  Saisir après chaque achat/vente Questrade</t>
  </si>
  <si>
    <t>PRIX CAD</t>
  </si>
  <si>
    <t>TOTAL CAD</t>
  </si>
  <si>
    <t>📋  LOG COMPLET  ·  Toutes transactions exécutées · Source: Questrade</t>
  </si>
  <si>
    <t>── 11 mars 2026  ·  8 trades ──</t>
  </si>
  <si>
    <t>$4,094 CAD</t>
  </si>
  <si>
    <t>T4→T1 · gain +17% · REIT → IA · 13h33</t>
  </si>
  <si>
    <t>$6,315 CAD</t>
  </si>
  <si>
    <t>T4→T1 · pression taux · 13h54</t>
  </si>
  <si>
    <t>~$2,772 CAD</t>
  </si>
  <si>
    <t>T4→T1 · IA chips · 13h34</t>
  </si>
  <si>
    <t>~$1,145 CAD</t>
  </si>
  <si>
    <t>T4→T1 · énergie IA · 13h37</t>
  </si>
  <si>
    <t>~$2,715 CAD</t>
  </si>
  <si>
    <t>semis · dip · 13h55 1ère tranche</t>
  </si>
  <si>
    <t>~$2,719 CAD</t>
  </si>
  <si>
    <t>semis · 14h02 2e tranche</t>
  </si>
  <si>
    <t>~$461 CAD</t>
  </si>
  <si>
    <t>soir 15h15 · settle</t>
  </si>
  <si>
    <t>~$425 CAD</t>
  </si>
  <si>
    <t>soir 15h53 · $313.42 order · fract.</t>
  </si>
  <si>
    <t>── 9 mars 2026 · REER cleanup ──</t>
  </si>
  <si>
    <t>3u</t>
  </si>
  <si>
    <t>$35.40 CAD</t>
  </si>
  <si>
    <t>$106 CAD</t>
  </si>
  <si>
    <t>REER cleanup → SCHD</t>
  </si>
  <si>
    <t>$20.44 CAD</t>
  </si>
  <si>
    <t>$61 CAD</t>
  </si>
  <si>
    <t>$15.60 CAD</t>
  </si>
  <si>
    <t>$47 CAD</t>
  </si>
  <si>
    <t>~2.83u</t>
  </si>
  <si>
    <t>~$118 CAD</t>
  </si>
  <si>
    <t>1ère tranche REER · $87.42 order · 13h19</t>
  </si>
  <si>
    <t>~2.47u</t>
  </si>
  <si>
    <t>$30.94 USD</t>
  </si>
  <si>
    <t>~$104 CAD</t>
  </si>
  <si>
    <t>2e tranche REER · $76.55 order · 16h32</t>
  </si>
  <si>
    <t>── 9 mars 2026 · FHSA migrations ──</t>
  </si>
  <si>
    <t>Allied REIT soldé FHSA</t>
  </si>
  <si>
    <t>CIAI.TO</t>
  </si>
  <si>
    <t>30u</t>
  </si>
  <si>
    <t>$31.05 CAD</t>
  </si>
  <si>
    <t>$932 CAD</t>
  </si>
  <si>
    <t>AI ETF soldé FHSA → VFV</t>
  </si>
  <si>
    <t>15u</t>
  </si>
  <si>
    <t>$15.58 CAD</t>
  </si>
  <si>
    <t>$234 CAD</t>
  </si>
  <si>
    <t>REIT ETF soldé FHSA</t>
  </si>
  <si>
    <t>28u</t>
  </si>
  <si>
    <t>$20.48 CAD</t>
  </si>
  <si>
    <t>$573 CAD</t>
  </si>
  <si>
    <t>migration → XEQT FHSA</t>
  </si>
  <si>
    <t>10u</t>
  </si>
  <si>
    <t>$168.26 CAD</t>
  </si>
  <si>
    <t>$1,683 CAD</t>
  </si>
  <si>
    <t>migration → QQQM FHSA</t>
  </si>
  <si>
    <t>VDY.TO</t>
  </si>
  <si>
    <t>$65.56 CAD</t>
  </si>
  <si>
    <t>$656 CAD</t>
  </si>
  <si>
    <t>migration → XEI FHSA</t>
  </si>
  <si>
    <t>FHSA +8u 12h21</t>
  </si>
  <si>
    <t>2u</t>
  </si>
  <si>
    <t>$161.78 CAD</t>
  </si>
  <si>
    <t>$324 CAD</t>
  </si>
  <si>
    <t>FHSA +2u 13h54</t>
  </si>
  <si>
    <t>$40.06 CAD</t>
  </si>
  <si>
    <t>$601 CAD</t>
  </si>
  <si>
    <t>FHSA +15u post-ZEQT</t>
  </si>
  <si>
    <t>~5.31u</t>
  </si>
  <si>
    <t>$247.41 USD</t>
  </si>
  <si>
    <t>~$1,783 CAD</t>
  </si>
  <si>
    <t>FHSA $1,314 order post-ZQQ</t>
  </si>
  <si>
    <t>$35.43 CAD</t>
  </si>
  <si>
    <t>$673 CAD</t>
  </si>
  <si>
    <t>FHSA +19u post-VDY</t>
  </si>
  <si>
    <t>── 9 mars 2026 · TFSA — Liquidations / Rotations ──</t>
  </si>
  <si>
    <t>AP.UN.TO</t>
  </si>
  <si>
    <t>62u</t>
  </si>
  <si>
    <t>$8.89 CAD</t>
  </si>
  <si>
    <t>$551 CAD</t>
  </si>
  <si>
    <t>Allied REIT soldé TFSA</t>
  </si>
  <si>
    <t>55u</t>
  </si>
  <si>
    <t>$31.04 CAD</t>
  </si>
  <si>
    <t>$1,707 CAD</t>
  </si>
  <si>
    <t>AI ETF soldé → T1 direct</t>
  </si>
  <si>
    <t>HLIT.TO</t>
  </si>
  <si>
    <t>22u</t>
  </si>
  <si>
    <t>$22.00 CAD</t>
  </si>
  <si>
    <t>$484 CAD</t>
  </si>
  <si>
    <t>Lithium ETF · thèse morte</t>
  </si>
  <si>
    <t>INTC</t>
  </si>
  <si>
    <t>12u</t>
  </si>
  <si>
    <t>$44.16 USD</t>
  </si>
  <si>
    <t>~$715 CAD</t>
  </si>
  <si>
    <t>12h02 · 1ère tranche</t>
  </si>
  <si>
    <t>$44.34 USD</t>
  </si>
  <si>
    <t>~$716 CAD</t>
  </si>
  <si>
    <t>12h33 · 2e tranche · soldé complet</t>
  </si>
  <si>
    <t>NANC</t>
  </si>
  <si>
    <t>$43.69 USD</t>
  </si>
  <si>
    <t>~$593 CAD</t>
  </si>
  <si>
    <t>ETF politique soldé</t>
  </si>
  <si>
    <t>BABA</t>
  </si>
  <si>
    <t>$131.58 USD</t>
  </si>
  <si>
    <t>~$357 CAD</t>
  </si>
  <si>
    <t>Alibaba soldé · géopolitique</t>
  </si>
  <si>
    <t>TOT.TO</t>
  </si>
  <si>
    <t>$18.85 CAD</t>
  </si>
  <si>
    <t>$565 CAD</t>
  </si>
  <si>
    <t>Total Energy soldé (rachat 03 mars vendu 09)</t>
  </si>
  <si>
    <t>TSLA.TO</t>
  </si>
  <si>
    <t>13u</t>
  </si>
  <si>
    <t>$34.22 CAD</t>
  </si>
  <si>
    <t>$445 CAD</t>
  </si>
  <si>
    <t>migré → TSLA USD</t>
  </si>
  <si>
    <t>$296 CAD</t>
  </si>
  <si>
    <t>REIT ETF liquidé</t>
  </si>
  <si>
    <t>VUN.TO</t>
  </si>
  <si>
    <t>16u</t>
  </si>
  <si>
    <t>$121.79 CAD</t>
  </si>
  <si>
    <t>$1,949 CAD</t>
  </si>
  <si>
    <t>migration → VFV.TO</t>
  </si>
  <si>
    <t>$65.47 CAD</t>
  </si>
  <si>
    <t>$1,048 CAD</t>
  </si>
  <si>
    <t>migration → XEI.TO</t>
  </si>
  <si>
    <t>45u</t>
  </si>
  <si>
    <t>$20.42 CAD</t>
  </si>
  <si>
    <t>$919 CAD</t>
  </si>
  <si>
    <t>migration → XEQT.TO</t>
  </si>
  <si>
    <t>ZQQ.TO</t>
  </si>
  <si>
    <t>9u</t>
  </si>
  <si>
    <t>$167.93 CAD</t>
  </si>
  <si>
    <t>$1,511 CAD</t>
  </si>
  <si>
    <t>migration → QQQM USD</t>
  </si>
  <si>
    <t>QCLN.TO</t>
  </si>
  <si>
    <t>$20.27 CAD</t>
  </si>
  <si>
    <t>$1,115 CAD</t>
  </si>
  <si>
    <t>clean energy ETF soldé</t>
  </si>
  <si>
    <t>PRME.CN</t>
  </si>
  <si>
    <t>1091u</t>
  </si>
  <si>
    <t>$0.062 CAD</t>
  </si>
  <si>
    <t>$68 CAD</t>
  </si>
  <si>
    <t>penny stock spéculatif soldé</t>
  </si>
  <si>
    <t>── 9 mars 2026 · TFSA — Achats T1/T2 ──</t>
  </si>
  <si>
    <t>~5.25u</t>
  </si>
  <si>
    <t>$343.00 USD</t>
  </si>
  <si>
    <t>~$2,443 CAD</t>
  </si>
  <si>
    <t>12h00 · $1,800 order</t>
  </si>
  <si>
    <t>~2.60u</t>
  </si>
  <si>
    <t>$385.12 USD</t>
  </si>
  <si>
    <t>~$1,357 CAD</t>
  </si>
  <si>
    <t>12h01 · $1,000 order</t>
  </si>
  <si>
    <t>$637.77 USD</t>
  </si>
  <si>
    <t>~$865 CAD</t>
  </si>
  <si>
    <t>12h20 · T1 · 1u</t>
  </si>
  <si>
    <t>~1.072u</t>
  </si>
  <si>
    <t>$815-818 USD</t>
  </si>
  <si>
    <t>~$1,553 CAD</t>
  </si>
  <si>
    <t>12h20+12h26 · $600+$275 orders</t>
  </si>
  <si>
    <t>~5.17u</t>
  </si>
  <si>
    <t>$385-386 USD</t>
  </si>
  <si>
    <t>~$2,714 CAD</t>
  </si>
  <si>
    <t>12h19+12h26 · $300+$1,700 orders</t>
  </si>
  <si>
    <t>~2.18u</t>
  </si>
  <si>
    <t>$344.51 USD</t>
  </si>
  <si>
    <t>~$1,018 CAD</t>
  </si>
  <si>
    <t>12h27 · $750 order</t>
  </si>
  <si>
    <t>~0.38u</t>
  </si>
  <si>
    <t>$390.55 USD</t>
  </si>
  <si>
    <t>~$204 CAD</t>
  </si>
  <si>
    <t>12h28 · $150 order · T2</t>
  </si>
  <si>
    <t>$162.09 CAD</t>
  </si>
  <si>
    <t>$2,107 CAD</t>
  </si>
  <si>
    <t>12h36 · post-VUN</t>
  </si>
  <si>
    <t>$35.39 CAD</t>
  </si>
  <si>
    <t>$1,062 CAD</t>
  </si>
  <si>
    <t>12h30 · post-VDY</t>
  </si>
  <si>
    <t>25u</t>
  </si>
  <si>
    <t>$39.97 CAD</t>
  </si>
  <si>
    <t>$999 CAD</t>
  </si>
  <si>
    <t>12h31 · post-ZEQT</t>
  </si>
  <si>
    <t>~4.45u</t>
  </si>
  <si>
    <t>$247.11 USD</t>
  </si>
  <si>
    <t>~$1,493 CAD</t>
  </si>
  <si>
    <t>12h24 · $1,100 order</t>
  </si>
  <si>
    <t>~0.9996u</t>
  </si>
  <si>
    <t>$443.25 USD</t>
  </si>
  <si>
    <t>~$601 CAD</t>
  </si>
  <si>
    <t>12h40 · $443 order · T2</t>
  </si>
  <si>
    <t>~2.15u</t>
  </si>
  <si>
    <t>$342.87 USD</t>
  </si>
  <si>
    <t>~$1,000 CAD</t>
  </si>
  <si>
    <t>13h52 · $737 order</t>
  </si>
  <si>
    <t>~1.46u</t>
  </si>
  <si>
    <t>$385.39 USD</t>
  </si>
  <si>
    <t>~$762 CAD</t>
  </si>
  <si>
    <t>13h58 · $562 order</t>
  </si>
  <si>
    <t>── 4 mars 2026 ──</t>
  </si>
  <si>
    <t>4u</t>
  </si>
  <si>
    <t>$240 CAD</t>
  </si>
  <si>
    <t>GTC · Low Vol T3</t>
  </si>
  <si>
    <t>── 3 mars 2026 ──</t>
  </si>
  <si>
    <t>7u</t>
  </si>
  <si>
    <t>$407 CAD</t>
  </si>
  <si>
    <t>GTC · utilités T3</t>
  </si>
  <si>
    <t>$133.55 CAD</t>
  </si>
  <si>
    <t>$267 CAD</t>
  </si>
  <si>
    <t>GTC · banque T3</t>
  </si>
  <si>
    <t>$60.06 CAD</t>
  </si>
  <si>
    <t>$60 CAD</t>
  </si>
  <si>
    <t>FHSA Low Vol</t>
  </si>
  <si>
    <t>$21.00 CAD</t>
  </si>
  <si>
    <t>$210 CAD</t>
  </si>
  <si>
    <t>GTC · liquidé 09 mars</t>
  </si>
  <si>
    <t>$54.00 CAD</t>
  </si>
  <si>
    <t>$216 CAD</t>
  </si>
  <si>
    <t>Day order · TSX</t>
  </si>
  <si>
    <t>CHPS.TO</t>
  </si>
  <si>
    <t>$58.55 CAD</t>
  </si>
  <si>
    <t>GTC · AI semi · soldé 09 mars</t>
  </si>
  <si>
    <t>$18.58 CAD</t>
  </si>
  <si>
    <t>$279 CAD</t>
  </si>
  <si>
    <t>GTC · soldé 09 mars</t>
  </si>
  <si>
    <t>── 27 fév 2026 ──</t>
  </si>
  <si>
    <t>2026-02-27</t>
  </si>
  <si>
    <t>~0.45u</t>
  </si>
  <si>
    <t>$206.81 USD</t>
  </si>
  <si>
    <t>~$126 CAD</t>
  </si>
  <si>
    <t>$93.29 order</t>
  </si>
  <si>
    <t>── 25 fév 2026 ──</t>
  </si>
  <si>
    <t>2026-02-25</t>
  </si>
  <si>
    <t>~0.48u</t>
  </si>
  <si>
    <t>$416.20 USD</t>
  </si>
  <si>
    <t>~$271 CAD</t>
  </si>
  <si>
    <t>$200 order · T2</t>
  </si>
  <si>
    <t>$46.77 USD</t>
  </si>
  <si>
    <t>~$254 CAD</t>
  </si>
  <si>
    <t>soldé 09 mars</t>
  </si>
  <si>
    <t>── 15 fév 2026 ──</t>
  </si>
  <si>
    <t>2026-02-15</t>
  </si>
  <si>
    <t>0.559u</t>
  </si>
  <si>
    <t>$198.10 USD</t>
  </si>
  <si>
    <t>~$269 CAD</t>
  </si>
  <si>
    <t>fract.</t>
  </si>
  <si>
    <t>── 12 fév 2026 ──</t>
  </si>
  <si>
    <t>2026-02-12</t>
  </si>
  <si>
    <t>$36.63 CAD</t>
  </si>
  <si>
    <t>$476 CAD</t>
  </si>
  <si>
    <t>migré → TSLA USD 09 mars</t>
  </si>
  <si>
    <t>── 9 fév 2026 ──</t>
  </si>
  <si>
    <t>8u</t>
  </si>
  <si>
    <t>$414 CAD</t>
  </si>
  <si>
    <t>GTC · JAMAIS VENDRE · T4→garde</t>
  </si>
  <si>
    <t>$315 CAD</t>
  </si>
  <si>
    <t>16</t>
  </si>
  <si>
    <t>157.38</t>
  </si>
  <si>
    <t>Premier achat FHSA 2026</t>
  </si>
  <si>
    <t>0.57</t>
  </si>
  <si>
    <t>345.76</t>
  </si>
  <si>
    <t>DCA mensuel fractionnel</t>
  </si>
  <si>
    <t>961</t>
  </si>
  <si>
    <t>4.26</t>
  </si>
  <si>
    <t>4,094</t>
  </si>
  <si>
    <t>T4→T1 · en gain +17% · REIT sous-performant · redéploiement vers IA</t>
  </si>
  <si>
    <t>332</t>
  </si>
  <si>
    <t>19.02</t>
  </si>
  <si>
    <t>6,315</t>
  </si>
  <si>
    <t>T4→T1 · REIT résidentiel · pression taux · rotation vers T1</t>
  </si>
  <si>
    <t>340.65</t>
  </si>
  <si>
    <t>2,772</t>
  </si>
  <si>
    <t>844.18</t>
  </si>
  <si>
    <t>1,144</t>
  </si>
  <si>
    <t>400.33</t>
  </si>
  <si>
    <t>2,715</t>
  </si>
  <si>
    <t>13h55 · T4→T1 · semi-conducteurs · dip session</t>
  </si>
  <si>
    <t>340.95</t>
  </si>
  <si>
    <t>462</t>
  </si>
  <si>
    <t>~0.37</t>
  </si>
  <si>
    <t>845.53</t>
  </si>
  <si>
    <t>314</t>
  </si>
  <si>
    <t>📈  BENCHMARK  ·  Portfolio vs S&amp;P500 · Saisir valeur portfolio mensuellement</t>
  </si>
  <si>
    <t>📈  BENCHMARK  ·  Portfolio vs VFV.TO (S&amp;P500 CAD)  ·  Depuis jan 2026  ·  La seule question qui compte : est-ce que ma gestion active crée de la valeur?</t>
  </si>
  <si>
    <t>📊  SNAPSHOT ACTUEL  ·  11 mars 2026</t>
  </si>
  <si>
    <t>VALEUR REF (1 jan 2026)</t>
  </si>
  <si>
    <t>PERF YTD %</t>
  </si>
  <si>
    <t>ALPHA vs VFV</t>
  </si>
  <si>
    <t>Portfolio CAD</t>
  </si>
  <si>
    <t>⬜ À confirmer (dump jan 2026)</t>
  </si>
  <si>
    <t>#ERROR!</t>
  </si>
  <si>
    <t>⚠️ Saisir valeur Questrade au 1er jan 2026</t>
  </si>
  <si>
    <t>VFV.TO (référence CAD)</t>
  </si>
  <si>
    <t>0.00% (référence)</t>
  </si>
  <si>
    <t>Source: stockanalysis · Close 31 déc 2025 = $166.62</t>
  </si>
  <si>
    <t>SPY USD (S&amp;P500)</t>
  </si>
  <si>
    <t>Référence USD — confirmer sur Yahoo Finance</t>
  </si>
  <si>
    <t>📅  HISTORIQUE MENSUEL  ·  Points de données clés  ·  Compléter mensuellement</t>
  </si>
  <si>
    <t>VFV.TO CLÔTURE</t>
  </si>
  <si>
    <t>PORTFOLIO CAD</t>
  </si>
  <si>
    <t>PERF VFV YTD</t>
  </si>
  <si>
    <t>PERF PORTFOLIO YTD</t>
  </si>
  <si>
    <t>ALPHA (+/-)</t>
  </si>
  <si>
    <t>SOURCE / NOTE</t>
  </si>
  <si>
    <t>2025-12-31</t>
  </si>
  <si>
    <t>Référence</t>
  </si>
  <si>
    <t>⬜ Saisir</t>
  </si>
  <si>
    <t>⬜ Saisir après dump</t>
  </si>
  <si>
    <t>Base YTD · stockanalysis.com · close réel</t>
  </si>
  <si>
    <t>2026-01-02</t>
  </si>
  <si>
    <t>Ouverture</t>
  </si>
  <si>
    <t>Premier jour 2026 · stockanalysis.com</t>
  </si>
  <si>
    <t>2026-01-16</t>
  </si>
  <si>
    <t>Mid-jan</t>
  </si>
  <si>
    <t>Peak jan 2026 · stockanalysis.com</t>
  </si>
  <si>
    <t>2026-01-31</t>
  </si>
  <si>
    <t>Fin jan</t>
  </si>
  <si>
    <t>Close jan · stockanalysis.com</t>
  </si>
  <si>
    <t>2026-02-18</t>
  </si>
  <si>
    <t>Mid-fév</t>
  </si>
  <si>
    <t>Close 18 fév · stockanalysis.com</t>
  </si>
  <si>
    <t>2026-02-28</t>
  </si>
  <si>
    <t>Fin fév</t>
  </si>
  <si>
    <t>⬜ Saisir valeur Questrade fin fév</t>
  </si>
  <si>
    <t>Pré-trades</t>
  </si>
  <si>
    <t>Avant grande rotation · estim. marché</t>
  </si>
  <si>
    <t>ACTUEL S10</t>
  </si>
  <si>
    <t>✅ Auto via PORTEFEUILLE · investing.com</t>
  </si>
  <si>
    <t>🎯  RÉSULTAT INTERMÉDIAIRE  ·  YTD 11 mars 2026</t>
  </si>
  <si>
    <t>Portfolio YTD: ⬜ Calculer</t>
  </si>
  <si>
    <t>Alpha: ⬜ Saisir ref jan</t>
  </si>
  <si>
    <t>📋 PROTOCOLE BENCHMARK  ·  ① Chaque fin de mois: noter valeur Questrade dans col E  ·  ② Alpha = Perf Portfolio YTD − Perf VFV YTD  ·  ③ Si Alpha &gt; 0 → gestion active justifiée  ·  ④ Si Alpha &lt; 0 sur 12 mois → reconsidérer vers XEQT pur  ·  ⑤ Saisir valeur ref 1 jan 2026 dès que tu as un ancien dump Questrade</t>
  </si>
  <si>
    <t>DATE REF</t>
  </si>
  <si>
    <t>PERF YTD</t>
  </si>
  <si>
    <t>2025-01-01</t>
  </si>
  <si>
    <t>S&amp;P500 / SPY (USD)</t>
  </si>
  <si>
    <t>📅  CALENDRIER EARNINGS &amp; MACRO 2026  ·  Dates clés</t>
  </si>
  <si>
    <t>TICKER(S)</t>
  </si>
  <si>
    <t>18 mars 2026</t>
  </si>
  <si>
    <t>BdC décision taux</t>
  </si>
  <si>
    <t>ENB/REITs</t>
  </si>
  <si>
    <t>Statu quo 94%</t>
  </si>
  <si>
    <t>SURVEILLER</t>
  </si>
  <si>
    <t>📅</t>
  </si>
  <si>
    <t>META Earnings Q1</t>
  </si>
  <si>
    <t>Guidance IA ads</t>
  </si>
  <si>
    <t>⚠️ -7j no buy</t>
  </si>
  <si>
    <t>NVDA Earnings Q1</t>
  </si>
  <si>
    <t>Datacenter guide</t>
  </si>
  <si>
    <t>⚠️ T2 only</t>
  </si>
  <si>
    <t>AVGO Earnings Q2</t>
  </si>
  <si>
    <t>AI rev critique</t>
  </si>
  <si>
    <t>Avant déc 2026</t>
  </si>
  <si>
    <t>FTQ si éligible</t>
  </si>
  <si>
    <t>Crédit $1,500</t>
  </si>
  <si>
    <t>🟡 Vérifier ARC</t>
  </si>
  <si>
    <t>Juil 2026</t>
  </si>
  <si>
    <t>ACEUM révision</t>
  </si>
  <si>
    <t>ENB/VFV</t>
  </si>
  <si>
    <t>Tarifs US-CA</t>
  </si>
  <si>
    <t>📊  BENCHMARK PERFORMANCE  ·  Portfolio vs VFV.TO  ·  Source de vérité stratégique</t>
  </si>
  <si>
    <t>La seule question qui compte : est-ce que ma sélection de titres bat un all-in VFV.TO ?</t>
  </si>
  <si>
    <t>PÉRIODE</t>
  </si>
  <si>
    <t>VFV.TO (unités)</t>
  </si>
  <si>
    <t>VFV.TO VALEUR CAD</t>
  </si>
  <si>
    <t>ALPHA (Portfolio vs VFV)</t>
  </si>
  <si>
    <t>📍 Référence 1 jan 2026</t>
  </si>
  <si>
    <t>⬜ Saisir unités VFV.TO possédées le 1 jan</t>
  </si>
  <si>
    <t>⬜ Saisir prix VFV.TO le 1 jan (CAD)</t>
  </si>
  <si>
    <t>— référence —</t>
  </si>
  <si>
    <t>📍 BASE</t>
  </si>
  <si>
    <t>📊 11 mars 2026 (aujourd'hui)</t>
  </si>
  <si>
    <t>📅  VERDICTS J+30  ·  Chaque décision trackée = Claude s'améliore</t>
  </si>
  <si>
    <t>PERF J+30</t>
  </si>
  <si>
    <t>VFV.TO J+30</t>
  </si>
  <si>
    <t>⬜ Remplir le 11 avril</t>
  </si>
  <si>
    <t>⏰ ALARME : Mettre une alarme téléphone pour le 11 AVRIL 2026 — Verdicts J+30</t>
  </si>
  <si>
    <t>🔒  VALIDATION INTÉGRITÉ  ·  Vérifie automatiquement les formules à chaque ouverture</t>
  </si>
  <si>
    <t>🔍  CHECK 1  —  L{N} DOIT RÉFÉRENCER G{N} MÊME LIGNE  ·  Cause du bug $81K</t>
  </si>
  <si>
    <t>Si une ligne est insérée dans une section, les offsets se décalent silencieusement.</t>
  </si>
  <si>
    <t>ROW</t>
  </si>
  <si>
    <t>G ATTENDU</t>
  </si>
  <si>
    <t>G ACTUEL</t>
  </si>
  <si>
    <t>FIX SUGGÉRÉ</t>
  </si>
  <si>
    <t>G15</t>
  </si>
  <si>
    <t>G16</t>
  </si>
  <si>
    <t>G17</t>
  </si>
  <si>
    <t>G18</t>
  </si>
  <si>
    <t>G19</t>
  </si>
  <si>
    <t>G20</t>
  </si>
  <si>
    <t>G21</t>
  </si>
  <si>
    <t>G22</t>
  </si>
  <si>
    <t>G23</t>
  </si>
  <si>
    <t>G24</t>
  </si>
  <si>
    <t>G25</t>
  </si>
  <si>
    <t>G26</t>
  </si>
  <si>
    <t>G27</t>
  </si>
  <si>
    <t>G28</t>
  </si>
  <si>
    <t>G29</t>
  </si>
  <si>
    <t>G30</t>
  </si>
  <si>
    <t>G31</t>
  </si>
  <si>
    <t>G32</t>
  </si>
  <si>
    <t>G33</t>
  </si>
  <si>
    <t>G34</t>
  </si>
  <si>
    <t>REI.UN.TO 🔴 VENDU</t>
  </si>
  <si>
    <t>TFSA · VENDU 11 mars 2026 @ $19.02 · 332u</t>
  </si>
  <si>
    <t>G35</t>
  </si>
  <si>
    <t>PLZ.UN.TO 🔴 VENDU</t>
  </si>
  <si>
    <t>TFSA · VENDU 11 mars 2026 @ $4.26 · 961u</t>
  </si>
  <si>
    <t>G36</t>
  </si>
  <si>
    <t>G37</t>
  </si>
  <si>
    <t>G38</t>
  </si>
  <si>
    <t>G39</t>
  </si>
  <si>
    <t>G40</t>
  </si>
  <si>
    <t>G41</t>
  </si>
  <si>
    <t>G42</t>
  </si>
  <si>
    <t>G47</t>
  </si>
  <si>
    <t>G48</t>
  </si>
  <si>
    <t>G49</t>
  </si>
  <si>
    <t>G50</t>
  </si>
  <si>
    <t>G51</t>
  </si>
  <si>
    <t>G52</t>
  </si>
  <si>
    <t>G53</t>
  </si>
  <si>
    <t>G54</t>
  </si>
  <si>
    <t>G55</t>
  </si>
  <si>
    <t>G56</t>
  </si>
  <si>
    <t>G57</t>
  </si>
  <si>
    <t>G62</t>
  </si>
  <si>
    <t>G63</t>
  </si>
  <si>
    <t>G64</t>
  </si>
  <si>
    <t>G65</t>
  </si>
  <si>
    <t>G66</t>
  </si>
  <si>
    <t>RÉSULTAT CHECK 1</t>
  </si>
  <si>
    <t>💰  CHECK 2  —  TOTAUX vs QUESTRADE  ·  Écart toléré &lt; $300 (fractions d'unités)</t>
  </si>
  <si>
    <t>Mettre à jour colonne E après chaque dump Questrade. Écart &gt; $300 = formule cassée.</t>
  </si>
  <si>
    <t>CALCULÉ</t>
  </si>
  <si>
    <t>QUESTRADE ← SAISIR</t>
  </si>
  <si>
    <t>ÉCART $</t>
  </si>
  <si>
    <t>ÉCART %</t>
  </si>
  <si>
    <t>RÉSULTAT CHECK 2</t>
  </si>
  <si>
    <t>📐  PRÉCISION DU FICHIER  ·  Écart % calculé vs Questrade réel  ·  Objectif &lt; 0.5%</t>
  </si>
  <si>
    <t>Écart $ TOTAL</t>
  </si>
  <si>
    <t>Écart % TOTAL</t>
  </si>
  <si>
    <t>&lt; 0.5%</t>
  </si>
  <si>
    <t>Taux USD/CAD (CONFIG)</t>
  </si>
  <si>
    <t>xe.com à chaque dump</t>
  </si>
  <si>
    <t>📅  HISTORIQUE PRÉCISION  ·  Saisir après chaque session  ·  Évolution %  erreur dans le temps</t>
  </si>
  <si>
    <t>SESSION</t>
  </si>
  <si>
    <t>TOTAL QUESTRADE</t>
  </si>
  <si>
    <t>S9→S10</t>
  </si>
  <si>
    <t>Session active — se met à jour</t>
  </si>
  <si>
    <t>S8</t>
  </si>
  <si>
    <t>~0.0%</t>
  </si>
  <si>
    <t>Snapshot initial S10</t>
  </si>
  <si>
    <t>S7</t>
  </si>
  <si>
    <t>← Saisir après prochaine session</t>
  </si>
  <si>
    <t>S6</t>
  </si>
  <si>
    <t>S5</t>
  </si>
  <si>
    <t>💡 PROTOCOLE PRÉCISION  ·  ① Après dump Questrade: copier totaux TFSA/FHSA/REER dans E57:E59  ·  ② Mettre à jour CONFIG!B3 (taux xe.com)  ·  ③ Noter SESSION+DATE+ÉCART% dans historique ci-dessus  ·  Objectif: &lt; 0.5% à chaque session</t>
  </si>
  <si>
    <t>⚙️  CHECK 3  —  CONFIG RÉFÉRENCES CRITIQUES  ·  Brisées après fusion/suppression onglets</t>
  </si>
  <si>
    <t>Chaque fois qu'un onglet est supprimé, ces cellules CONFIG peuvent perdre leur source.</t>
  </si>
  <si>
    <t>CELLULE</t>
  </si>
  <si>
    <t>CONFIG!B3</t>
  </si>
  <si>
    <t>xe.com après dump</t>
  </si>
  <si>
    <t>CONFIG!B32</t>
  </si>
  <si>
    <t>Valeur manuelle</t>
  </si>
  <si>
    <t>CONFIG!B33</t>
  </si>
  <si>
    <t>CONFIG!B34</t>
  </si>
  <si>
    <t>CONFIG!B37</t>
  </si>
  <si>
    <t>Depuis dump</t>
  </si>
  <si>
    <t>CONFIG!B38</t>
  </si>
  <si>
    <t>CONFIG!B39</t>
  </si>
  <si>
    <t>USD × B3</t>
  </si>
  <si>
    <t>RÉSULTAT CHECK 3</t>
  </si>
  <si>
    <t>⚖️  CHECK 4  —  RÈGLES MÉTIER CRITIQUES  ·  Plafonds · Positions protégées · Alertes FI</t>
  </si>
  <si>
    <t>🚫 T.TO + MFC.TO — JAMAIS vendre en perte TFSA (room perdu définitivement)</t>
  </si>
  <si>
    <t>🤖 Expo IA ≤ 45% avant tout achat tech</t>
  </si>
  <si>
    <t>💱 Expo USD ≤ 65%</t>
  </si>
  <si>
    <t>❄️ Snowball REER — cotisé $2,000/mois ($2K → +$1,060 ARC)</t>
  </si>
  <si>
    <t>🏠 FHSA room 2026 ≥ 0 (max $16,000 — sur-contribution = pénalité)</t>
  </si>
  <si>
    <t>🏦 Fonds urgence — cible $15,000 EQ Bank</t>
  </si>
  <si>
    <t>HAUTE</t>
  </si>
  <si>
    <t>✅ PLZ.UN.TO — 961u VENDUS 11 mars @ $4.26 · gain +17% · EXÉCUTÉ</t>
  </si>
  <si>
    <t>EXÉCUTÉ</t>
  </si>
  <si>
    <t>📋  CHECK 5  —  PROTOCOLE SESSION  ·  7 étapes obligatoires à chaque ouverture</t>
  </si>
  <si>
    <t>Ouvrir 🔒 VALIDATION — vérifier état global = 🟢</t>
  </si>
  <si>
    <t>2 min</t>
  </si>
  <si>
    <t>Si 🔴 → corriger AVANT de continuer</t>
  </si>
  <si>
    <t>JAMAIS insérer ligne dans une section — toujours à la FIN</t>
  </si>
  <si>
    <t>Toujours</t>
  </si>
  <si>
    <t>Anti-offset · Règle absolue</t>
  </si>
  <si>
    <t>CONTEXT : log session + actions exécutées</t>
  </si>
  <si>
    <t>Fin de session obligatoire</t>
  </si>
  <si>
    <t>📌  RÈGLES ANTI-OFFSET PERMANENTES  ·  Immuables</t>
  </si>
  <si>
    <t>1. JAMAIS insérer une ligne au milieu d'une section positions. Toujours ajouter à la FIN.</t>
  </si>
  <si>
    <t>2. Chaque L{N} DOIT utiliser G{N}*I{N} — même numéro de ligne. Vérifié par Check 1.</t>
  </si>
  <si>
    <t>3. Chaque I{N} USD doit utiliser J{N}*C$4 — jamais J{N-1} ou J{N+1}.</t>
  </si>
  <si>
    <t>4. Après suppression/renommage d'onglet: re-vérifier CONFIG B32/B33/B34 (Check 3).</t>
  </si>
  <si>
    <t>5. SOUS-TOTAUX: TFSA=SUM(L15:L43) | FHSA=SUM(L46:L58) | REER=SUM(L62:L67) | TOTAL=L44+L59+L68.</t>
  </si>
  <si>
    <t>📊  CHECK 6  —  COHÉRENCE EXPO USD/IA  ·  CONFIG vs réalité post-trades</t>
  </si>
  <si>
    <t>CONFIG ACTUEL</t>
  </si>
  <si>
    <t>ALERTES AFFICHE</t>
  </si>
  <si>
    <t>44% (CONFIG!B32)</t>
  </si>
  <si>
    <t>Cohérent</t>
  </si>
  <si>
    <t>Si écart &gt;5% → MAJ CONFIG!B32</t>
  </si>
  <si>
    <t>Expo IA</t>
  </si>
  <si>
    <t>28% (CONFIG!B31)</t>
  </si>
  <si>
    <t>28% ✅</t>
  </si>
  <si>
    <t>Si écart &gt;5% → MAJ CONFIG!B31</t>
  </si>
  <si>
    <t>Crypto CAD</t>
  </si>
  <si>
    <t>$300 BTC</t>
  </si>
  <si>
    <t>$300</t>
  </si>
  <si>
    <t>BTC hors portefeuille principal</t>
  </si>
  <si>
    <t>REER YTD</t>
  </si>
  <si>
    <t>0 → doit être $0</t>
  </si>
  <si>
    <t>À MAJ post-achat SCHD</t>
  </si>
  <si>
    <t>⚠️</t>
  </si>
  <si>
    <t>MAJ après 12 mars</t>
  </si>
  <si>
    <t>FHSA YTD</t>
  </si>
  <si>
    <t>$12,000 (16×157)</t>
  </si>
  <si>
    <t>$12,000</t>
  </si>
  <si>
    <t>Plafond $16K → room $4,000</t>
  </si>
  <si>
    <t>⚙️  CONFIG  —  Source unique de vérité  ·  NE PAS MODIFIER les formules</t>
  </si>
  <si>
    <t>DERNIÈRE MAJ</t>
  </si>
  <si>
    <t>TAUX USD/CAD</t>
  </si>
  <si>
    <t>← Modifier ICI — se propage dans tout le fichier</t>
  </si>
  <si>
    <t>2026-03-14</t>
  </si>
  <si>
    <t>Après chaque dump Questrade</t>
  </si>
  <si>
    <t>ROOMS DISPONIBLES 2026</t>
  </si>
  <si>
    <t>PRIX AUTO</t>
  </si>
  <si>
    <t>TFSA Room 2026</t>
  </si>
  <si>
    <t>Plafond annuel 2026 total · Room disponible maintenant ≈ $1,423 (confirmé DÉCISIONS S18) · Mettre à jour après chaque cotisation</t>
  </si>
  <si>
    <t>FHSA Room restant 2026</t>
  </si>
  <si>
    <t>~$13,700 après achats 9 mars (plafond $16K)</t>
  </si>
  <si>
    <t>REER Room 2026</t>
  </si>
  <si>
    <t>⚠️ PENDING régime retraite rétroactif</t>
  </si>
  <si>
    <t>TAUX MARGINAL</t>
  </si>
  <si>
    <t>Québec marginal</t>
  </si>
  <si>
    <t>OBJECTIFS MAISON</t>
  </si>
  <si>
    <t>FHSA objectif</t>
  </si>
  <si>
    <t>REER RAP objectif</t>
  </si>
  <si>
    <t>Mise de fonds totale</t>
  </si>
  <si>
    <t>v39-S14</t>
  </si>
  <si>
    <t>11 mars 2026 · USD% dynamique · Benchmark HISTORIQUE · DÉMARRAGE nettoyé</t>
  </si>
  <si>
    <t>⚙️  CONFIG v25  ·  MAJ 12 mars 2026 — Analyse PRO + corrections FHSA</t>
  </si>
  <si>
    <t>Version Wallet</t>
  </si>
  <si>
    <t>v51-S21</t>
  </si>
  <si>
    <t>12 mars 2026 · Ajout onglet 📚 SOURCES &amp; FIABILITÉ · 7 sections · 50+ sources documentées · auto-update</t>
  </si>
  <si>
    <t>Objectif FI (plancher $2.1M+)</t>
  </si>
  <si>
    <t>$7,000/mois × 25 = $1.75M min · $2.1M = plancher · jamais un plafond</t>
  </si>
  <si>
    <t>Indépendance financière 2047 · Confirmé S16</t>
  </si>
  <si>
    <t>Valeur voiture (CAD)</t>
  </si>
  <si>
    <t>🟡 Mettre à jour annuellement</t>
  </si>
  <si>
    <t>Valeur moto (CAD)</t>
  </si>
  <si>
    <t>Valeur crypto hors TFSA (CAD)</t>
  </si>
  <si>
    <t>BTC ~$300 · hors portefeuille principal · ne pas inclure dans portfolio total</t>
  </si>
  <si>
    <t>HISA / Cash d'urgence (CAD)</t>
  </si>
  <si>
    <t>⚠️ Cible: $15,000 EQ Bank</t>
  </si>
  <si>
    <t>Timeline maison révisée</t>
  </si>
  <si>
    <t>Modifié: était 2028</t>
  </si>
  <si>
    <t>FTQ cotisation 2026</t>
  </si>
  <si>
    <t>🟡 À remplir si cotisation effectuée</t>
  </si>
  <si>
    <t>✅ Triple fallback: TSE:PLZ-UN → TSE:PLZ.UN → Yahoo IMPORTXML → $4.26 statique</t>
  </si>
  <si>
    <t>FTQ cotisation max annuel</t>
  </si>
  <si>
    <t>Crédit 30% = $1,500 max</t>
  </si>
  <si>
    <t>Wealthica connecté</t>
  </si>
  <si>
    <t>🟡 Configurer pour sync Questrade → GSheets</t>
  </si>
  <si>
    <t>Régime retraite confirmé</t>
  </si>
  <si>
    <t>AUCUN</t>
  </si>
  <si>
    <t>🟡 Changer à OUI après appel employeur</t>
  </si>
  <si>
    <t>Après appel employeur</t>
  </si>
  <si>
    <t>Expo IA estimée (%)</t>
  </si>
  <si>
    <t>🟡 Mettre à jour si tu achètes NVDA/SMH/QQQM/AVBO</t>
  </si>
  <si>
    <t>Après chaque achat tech</t>
  </si>
  <si>
    <t>Expo USD réelle (%)</t>
  </si>
  <si>
    <t>← Calculé auto depuis ANALYSE TRIABLE (SUMIF DEV=USD)</t>
  </si>
  <si>
    <t>Après chaque trade USD</t>
  </si>
  <si>
    <t>Cotisé FHSA YTD</t>
  </si>
  <si>
    <t>← FHSA cotisé 2026 YTD · VFV.TO 16u@$157.38=~$2,300 · Room restant $13,700 / $16,000 · Max vie $40K · Historique: An1=$8K An2=$0 An3=$4K An4(2026)=$16K An5=$8K An6=$4K</t>
  </si>
  <si>
    <t>Après chaque cotisation</t>
  </si>
  <si>
    <t>Cotisé REER YTD</t>
  </si>
  <si>
    <t>← SCHD $2,000 exécuté 12 mars 2026 · MAJ après chaque cotisation REER</t>
  </si>
  <si>
    <t>12 mars 2026</t>
  </si>
  <si>
    <t>Revenu net imposable 2025 (après REER+FHSA)</t>
  </si>
  <si>
    <t>⚠️ À METTRE À JOUR · Seuil FTQ 2027 = $129,590 · Vérifier Mon Dossier ARC</t>
  </si>
  <si>
    <t>Annuellement — déclaration impôt</t>
  </si>
  <si>
    <t>CASH PAR COMPTE (Questrade)</t>
  </si>
  <si>
    <t>S&amp;P500</t>
  </si>
  <si>
    <t>CASH TFSA (CAD)</t>
  </si>
  <si>
    <t>← Saisir depuis dump Questrade · se propage auto</t>
  </si>
  <si>
    <t>TSX</t>
  </si>
  <si>
    <t>CASH FHSA (CAD)</t>
  </si>
  <si>
    <t>SPY</t>
  </si>
  <si>
    <t>CASH REER (CAD equiv)</t>
  </si>
  <si>
    <t>← USD × CONFIG!B3 · Saisir USD dans dump, Claude convertit</t>
  </si>
  <si>
    <t>BUYING POWER REER (USD)</t>
  </si>
  <si>
    <t>← Cash REER USD · utiliser AVANT achat USD</t>
  </si>
  <si>
    <t>BUYING POWER TFSA (USD)</t>
  </si>
  <si>
    <t>— 💱 EXPOSITION DEVISES (auto) —</t>
  </si>
  <si>
    <t>Valeur USD en CAD (total)</t>
  </si>
  <si>
    <t>Valeur CAD (total)</t>
  </si>
  <si>
    <t>% EXPOSITION USD</t>
  </si>
  <si>
    <t>⚠️ Seuil max = 65%</t>
  </si>
  <si>
    <t>STATUT USD%</t>
  </si>
  <si>
    <t>USD/CAD trend</t>
  </si>
  <si>
    <t>Hausse / Baisse / Stable · affecte expo USD</t>
  </si>
  <si>
    <t>S&amp;P500 YTD</t>
  </si>
  <si>
    <t>Source: VFV.TO close 11 mars $164.00 vs $166.62 (31 déc)</t>
  </si>
  <si>
    <t>TSX YTD</t>
  </si>
  <si>
    <t>Contexte marché canadien</t>
  </si>
  <si>
    <t>BdC prochain</t>
  </si>
  <si>
    <t>Statu quo attendu 94% · impact REITs+ENB · surveiller</t>
  </si>
  <si>
    <t>Fed prochain</t>
  </si>
  <si>
    <t>18-19 mars 2026</t>
  </si>
  <si>
    <t>VIX / Humeur marché</t>
  </si>
  <si>
    <t>24.60 — Volatilité élevée ⚠️</t>
  </si>
  <si>
    <t>— 🎯 INTENTION DE SESSION (écraser à chaque session) —</t>
  </si>
  <si>
    <t>Objectif session</t>
  </si>
  <si>
    <t>⬜ ex: exécuter trades / revoir stratégie / déclaration impôt</t>
  </si>
  <si>
    <t>Trades envisagés</t>
  </si>
  <si>
    <t>Budget disponible</t>
  </si>
  <si>
    <t>Temps disponible</t>
  </si>
  <si>
    <t>⬜ ex: 1h / 3h / vacances / urgence</t>
  </si>
  <si>
    <t>Priorité #1 session</t>
  </si>
  <si>
    <t>⬜ ex: SCHD REER · ou: analyse seulement</t>
  </si>
  <si>
    <t>— 💡 TRADES ENVISAGÉS — Soumettre à Claude avant exécution —</t>
  </si>
  <si>
    <t>RAISON</t>
  </si>
  <si>
    <t>— 📉 CONTEXTE DRAWDOWN / RALLY (saisir si pertinent) —</t>
  </si>
  <si>
    <t>S&amp;P500 depuis ATH</t>
  </si>
  <si>
    <t>-3.42%</t>
  </si>
  <si>
    <t>ex: -5% · déclenche analyse buy-the-dip</t>
  </si>
  <si>
    <t>TSX depuis ATH</t>
  </si>
  <si>
    <t>~-1.5% (TSX ~33,171 vs ATH ~33,700)</t>
  </si>
  <si>
    <t>Portfolio depuis ATH</t>
  </si>
  <si>
    <t>Ressenti marché</t>
  </si>
  <si>
    <t>PEUR — Conflit Iran/Moyen-Orient · VIX 24.6</t>
  </si>
  <si>
    <t>Peur / Greed / Neutre · Fear&amp;Greed Index</t>
  </si>
  <si>
    <t>Mode Claude recommandé</t>
  </si>
  <si>
    <t>BUY THE DIP MODÉRÉ 🟡</t>
  </si>
  <si>
    <t>NORMAL · DIP AGRESSIF · DEFENS · REBALANCE</t>
  </si>
  <si>
    <t>— 📊 BENCHMARK YTD — Référence jan 2026 établie —</t>
  </si>
  <si>
    <t>Portfolio CAD (hors dépôts 2026)</t>
  </si>
  <si>
    <t>VFV.TO CAD</t>
  </si>
  <si>
    <t>Dépôts 2026 à exclure (FHSA+REER)</t>
  </si>
  <si>
    <t>⚠️  Référence $74,290 = estimation (87,194 − dépôts mars $14,050 + gains marché $1,146)  ·  Confirmer avec dump Questrade jan 2026 si disponible</t>
  </si>
  <si>
    <t>— 📅 CALENDRIER PERSONNEL 30 JOURS (MAJ chaque session) —</t>
  </si>
  <si>
    <t>Prochaine paie</t>
  </si>
  <si>
    <t>ex: 18 mars · $3,700 environ</t>
  </si>
  <si>
    <t>Disponibilité marchés</t>
  </si>
  <si>
    <t>Achats prévus (non invst)</t>
  </si>
  <si>
    <t>Prochaine session prévue</t>
  </si>
  <si>
    <t>ex: 18 mars post-BdC / fin mars</t>
  </si>
  <si>
    <t>Événements vie importants</t>
  </si>
  <si>
    <t>ex: aucun · ou: achat voiture, mariage, etc.</t>
  </si>
  <si>
    <t>— 💰 DIVIDENDES REÇUS DEPUIS DERNIÈRE SESSION —</t>
  </si>
  <si>
    <t>RÉINVESTIR?</t>
  </si>
  <si>
    <t>~$16.20</t>
  </si>
  <si>
    <t>Accumuler → ENB si dip</t>
  </si>
  <si>
    <t>~$4.60</t>
  </si>
  <si>
    <t>→ Cash TFSA → T1</t>
  </si>
  <si>
    <t>~$8.00</t>
  </si>
  <si>
    <t>~$14.80</t>
  </si>
  <si>
    <t>Drip → SCHD</t>
  </si>
  <si>
    <t>~$0.40</t>
  </si>
  <si>
    <t>Drip → JEPI</t>
  </si>
  <si>
    <t>⬜ Cocher ✅ quand reçu + MAJ REVENUS log YTD + ajouter au cash du compte concerné</t>
  </si>
  <si>
    <t>— 🔄 CHANGEMENTS DE VIE / PROFIL (rare — MAJ si situation change) —</t>
  </si>
  <si>
    <t>Salaire brut</t>
  </si>
  <si>
    <t>$140,000/an</t>
  </si>
  <si>
    <t>Policier Nunavik · stable</t>
  </si>
  <si>
    <t>Calculé sur revenu 2025</t>
  </si>
  <si>
    <t>Régime retraite</t>
  </si>
  <si>
    <t>AUCUN confirmé</t>
  </si>
  <si>
    <t>⚠️ Vérifier rétroactivité employeur avant cotisation REER</t>
  </si>
  <si>
    <t>Maison — statut</t>
  </si>
  <si>
    <t>Solo 2030+ TFSA</t>
  </si>
  <si>
    <t>RAP $60K + FHSA $40K = $100K mise de fonds</t>
  </si>
  <si>
    <t>Relation — finances</t>
  </si>
  <si>
    <t>Séparées 100%</t>
  </si>
  <si>
    <t>Aucun impact sur stratégie</t>
  </si>
  <si>
    <t>Tolérance risque</t>
  </si>
  <si>
    <t>AGRESSIVE</t>
  </si>
  <si>
    <t>Buy-the-dip · pas de panique confirmé COVID 2020</t>
  </si>
  <si>
    <t>$2.1M+ avant 50 ans</t>
  </si>
  <si>
    <t>Floor not ceiling · liberté = objectif réel</t>
  </si>
  <si>
    <t>Crypto hors portefeuille</t>
  </si>
  <si>
    <t>Hors stratégie principale · ne pas croître</t>
  </si>
  <si>
    <t>🔴 Non éligible</t>
  </si>
  <si>
    <t>Revenu $140K &gt; seuil $129,590 · vérifier 2027</t>
  </si>
  <si>
    <t>Wealthica</t>
  </si>
  <si>
    <t>NON connecté</t>
  </si>
  <si>
    <t>⬜ À configurer pour sync automatique</t>
  </si>
  <si>
    <t>⬜ PAS OUVERT</t>
  </si>
  <si>
    <t>🔴 Ouvrir ASAP · $15,000 fonds urgence</t>
  </si>
  <si>
    <t>💵  REVENU NET RÉEL  ·  3 scénarios basés sur ton vrai talon · 26 paies/an aux 2 semaines</t>
  </si>
  <si>
    <t>🔵 BASE
$2,800/paie</t>
  </si>
  <si>
    <t>🟡 MOYEN
$3,300/paie</t>
  </si>
  <si>
    <t>🟢 RICHE
$3,800/paie</t>
  </si>
  <si>
    <t>💵 Paie nette /2 semaines</t>
  </si>
  <si>
    <t>🟡 Saisir si différent · c'est ta vraie base</t>
  </si>
  <si>
    <t>Nb paies /an</t>
  </si>
  <si>
    <t>Police → fixe 26/an</t>
  </si>
  <si>
    <t>Revenu net annuel</t>
  </si>
  <si>
    <t>← paie × 26</t>
  </si>
  <si>
    <t>Revenu net /mois</t>
  </si>
  <si>
    <t>← annuel ÷ 12</t>
  </si>
  <si>
    <t>Assurances + téléphone (logement+bouffe = gratuit)</t>
  </si>
  <si>
    <t>Disponible pour investir /mois</t>
  </si>
  <si>
    <t>← net mensuel − dépenses</t>
  </si>
  <si>
    <t>Investi actuellement /mois</t>
  </si>
  <si>
    <t>REER $2K + FHSA $1K + TFSA $500</t>
  </si>
  <si>
    <t>SURPLUS NON INVESTI /mois</t>
  </si>
  <si>
    <t>← disponible − $3,500 investi · Où va cet argent?</t>
  </si>
  <si>
    <t>Taux d'épargne actuel</t>
  </si>
  <si>
    <t>← $3,500 / net mensuel</t>
  </si>
  <si>
    <t>Potentiel si surplus réinvesti</t>
  </si>
  <si>
    <t>← total disponible si surplus → investissement</t>
  </si>
  <si>
    <t>💡 INSIGHT : Même à la paie BASE ($2,800), ton surplus est $2,367/mois après $3,500 investi. Au MOYEN ($3,300) → $2,950 surplus. Ce surplus accumule ~$35K/an dans un compte ordinaire = perte nette après inflation. RECOMMANDATION : Monter à $5,000/mois (REER max + FHSA + TFSA) → toujours faisable même aux paies basses.</t>
  </si>
  <si>
    <t>⚖️  RÈGLE ALLÈGEMENT T1  ·  Déclencheurs % précis · Quand et combien vendre</t>
  </si>
  <si>
    <t>TITRE</t>
  </si>
  <si>
    <t>SEUIL % PORTFOLIO</t>
  </si>
  <si>
    <t>RÉINVESTIR</t>
  </si>
  <si>
    <t>CONDITION REQUISE</t>
  </si>
  <si>
    <t>&gt;20% du portfolio</t>
  </si>
  <si>
    <t>Vendre 20-25% de la position</t>
  </si>
  <si>
    <t>SCHD REER ou SMH TFSA</t>
  </si>
  <si>
    <t>ET gain &gt; +50% sur la position</t>
  </si>
  <si>
    <t>&gt;10% du portfolio</t>
  </si>
  <si>
    <t>Vendre 25-30% si &gt;12%</t>
  </si>
  <si>
    <t>AVGO ou VFV.TO FHSA</t>
  </si>
  <si>
    <t>GEV volatile · mouvement rapide possible</t>
  </si>
  <si>
    <t>&gt;15% du portfolio</t>
  </si>
  <si>
    <t>Vendre 20% si &gt;18%</t>
  </si>
  <si>
    <t>VFV.TO TFSA ou SCHD REER</t>
  </si>
  <si>
    <t>ETF semi = moins risqué mais surveiller</t>
  </si>
  <si>
    <t>1 TITRE SEUL</t>
  </si>
  <si>
    <t>&gt;25% du portfolio</t>
  </si>
  <si>
    <t>⛔ TOUJOURS alléger → ramener à 20%</t>
  </si>
  <si>
    <t>T1 le plus sous-pondéré</t>
  </si>
  <si>
    <t>Règle absolue · peu importe la conviction</t>
  </si>
  <si>
    <t>EXPO IA</t>
  </si>
  <si>
    <t>&gt;45% total portfolio</t>
  </si>
  <si>
    <t>⛔ PAUSE achats IA · pas de nouveau T1 IA</t>
  </si>
  <si>
    <t>Auto-calculé CONFIG!B31 · seuil dur</t>
  </si>
  <si>
    <t>📌 RÈGLE D'OR : Alléger par concentration ($%), JAMAIS par peur. AVGO à +200% mais 18% du portfolio → ne pas toucher. AVGO monte à 26% → vendre 20-25% même si conviction maximale. Le % protège contre toi-même.</t>
  </si>
  <si>
    <t>⚡  SCRIPT APPS SCRIPT FINAL v3  ·  COPIER TOUTE LA COLONNE B LIGNES 4 À FIN  ·  Ctrl+A → Delete → Coller → Ctrl+S → onOpen → Run → F5</t>
  </si>
  <si>
    <t>📋  ÉTAPES: 1) Extensions → Apps Script  2) Ctrl+A → Delete  3) Coller ce script  4) Ctrl+S  5) Dropdown = onOpen → ▶ Run  6) F5 sur le Sheet</t>
  </si>
  <si>
    <t>🗂️  INDEX COLONNES: ANALYSE TRIABLE → VALEUR CAD=[10] GAIN%=[12] DIV=[15] TIER=[3] CTE=[4] | PORTEFEUILLE → VALEUR CAD=[10] GAIN%=[13] TIER=[3]</t>
  </si>
  <si>
    <t>// ============================================================</t>
  </si>
  <si>
    <t>// 📊 PORTEFEUILLE HEY — Apps Script v3 FINAL</t>
  </si>
  <si>
    <t>// Colonnes ANALYSE TRIABLE: données débutent col B (=index 0)</t>
  </si>
  <si>
    <t>//   TICKER=0, NOM=1, TYPE=2, TIER=3, CTE=4, QTÉ=5, PRIX MOY=6</t>
  </si>
  <si>
    <t>//   PRIX CAD=7, PRIX USD=8, DEV=9, VALEUR CAD=10, GAIN$=11</t>
  </si>
  <si>
    <t>//   GAIN%=12, %PORT=13, YIELD=14, DIV=15, BETA=16, IA%=17</t>
  </si>
  <si>
    <t>// Colonnes PORTEFEUILLE: données débutent col B (=index 0)</t>
  </si>
  <si>
    <t>//   PRIX CAD=7, PRIX USD=8, DEV=9, VALEUR CAD=10, VALEUR USD=11</t>
  </si>
  <si>
    <t>//   GAIN$=12, GAIN%=13, %PORT=14, ACTION=15</t>
  </si>
  <si>
    <t>function onOpen() {</t>
  </si>
  <si>
    <t xml:space="preserve">  const ui = SpreadsheetApp.getUi();</t>
  </si>
  <si>
    <t xml:space="preserve">  ui.createMenu('📊 PORTEFEUILLE')</t>
  </si>
  <si>
    <t xml:space="preserve">    .addSubMenu(ui.createMenu('🔄 Trier ANALYSE TRIABLE')</t>
  </si>
  <si>
    <t xml:space="preserve">      .addItem('💰 Valeur CAD ↓',       'at_trierValeur')</t>
  </si>
  <si>
    <t xml:space="preserve">      .addItem('📈 Gain % ↓',           'at_trierGain')</t>
  </si>
  <si>
    <t xml:space="preserve">      .addItem('🏷️ Tier → Valeur',      'at_trierTier')</t>
  </si>
  <si>
    <t xml:space="preserve">      .addItem('💵 Dividende ↓',        'at_trierDiv')</t>
  </si>
  <si>
    <t xml:space="preserve">      .addItem('🔃 Reset (Cte→Tier→Val)','at_reset'))</t>
  </si>
  <si>
    <t xml:space="preserve">    .addSeparator()</t>
  </si>
  <si>
    <t xml:space="preserve">    .addSubMenu(ui.createMenu('🔄 Trier PORTEFEUILLE')</t>
  </si>
  <si>
    <t xml:space="preserve">      .addItem('💰 Valeur CAD ↓',       'port_trierValeur')</t>
  </si>
  <si>
    <t xml:space="preserve">      .addItem('📈 Gain % ↓',           'port_trierGain')</t>
  </si>
  <si>
    <t xml:space="preserve">      .addItem('🏷️ Tier → Valeur',      'port_trierTier')</t>
  </si>
  <si>
    <t xml:space="preserve">      .addItem('🔃 Reset (Tier→Valeur)', 'port_reset'))</t>
  </si>
  <si>
    <t xml:space="preserve">    .addSubMenu(ui.createMenu('🚀 Naviguer vers...')</t>
  </si>
  <si>
    <t xml:space="preserve">      .addItem('🚀 DÉMARRAGE',           'nav_demarrage')</t>
  </si>
  <si>
    <t xml:space="preserve">      .addItem('🏠 DASHBOARD',           'nav_dashboard')</t>
  </si>
  <si>
    <t xml:space="preserve">      .addItem('📈 PORTEFEUILLE',        'nav_portefeuille')</t>
  </si>
  <si>
    <t xml:space="preserve">      .addItem('🔍 ANALYSE TRIABLE',     'nav_analyse')</t>
  </si>
  <si>
    <t xml:space="preserve">      .addItem('📊 ANALYSE PRO',         'nav_analysepro')</t>
  </si>
  <si>
    <t xml:space="preserve">      .addItem('❄️ FISCAL',             'nav_fiscal')</t>
  </si>
  <si>
    <t xml:space="preserve">      .addItem('💰 REVENUS',             'nav_revenus')</t>
  </si>
  <si>
    <t xml:space="preserve">      .addItem('🏠 MAISON 2030+',        'nav_maison')</t>
  </si>
  <si>
    <t xml:space="preserve">      .addItem('📈 PROJECTION FI',       'nav_projection')</t>
  </si>
  <si>
    <t xml:space="preserve">      .addItem('📓 HISTORIQUE',          'nav_historique')</t>
  </si>
  <si>
    <t xml:space="preserve">      .addItem('📓 JOURNAL DÉCISIONS',   'nav_journal'))</t>
  </si>
  <si>
    <t xml:space="preserve">    .addItem('📋 Snapshot → HISTORIQUE', 'snapshot')</t>
  </si>
  <si>
    <t xml:space="preserve">    .addItem('📝 Note de session',       'noteSession')</t>
  </si>
  <si>
    <t xml:space="preserve">    .addToUi();</t>
  </si>
  <si>
    <t>}</t>
  </si>
  <si>
    <t>// HELPERS</t>
  </si>
  <si>
    <t>function getSheet(name) {</t>
  </si>
  <si>
    <t xml:space="preserve">  const s = SpreadsheetApp.getActiveSpreadsheet().getSheetByName(name);</t>
  </si>
  <si>
    <t xml:space="preserve">  if (!s) SpreadsheetApp.getUi().alert('Onglet introuvable: ' + name);</t>
  </si>
  <si>
    <t xml:space="preserve">  return s;</t>
  </si>
  <si>
    <t>function toast(msg, title) {</t>
  </si>
  <si>
    <t xml:space="preserve">  SpreadsheetApp.getActiveSpreadsheet().toast(msg, title || '📊', 3);</t>
  </si>
  <si>
    <t>function sortSheet(sheetName, startRow, endRow, startCol, numCols, compareFn) {</t>
  </si>
  <si>
    <t xml:space="preserve">  const sheet = getSheet(sheetName);</t>
  </si>
  <si>
    <t xml:space="preserve">  if (!sheet) return;</t>
  </si>
  <si>
    <t xml:space="preserve">  const range = sheet.getRange(startRow, startCol, endRow - startRow + 1, numCols);</t>
  </si>
  <si>
    <t xml:space="preserve">  const vals  = range.getValues();</t>
  </si>
  <si>
    <t xml:space="preserve">  const data  = vals.filter(r =&gt; r[0] !== '' &amp;&amp; r[0] !== null &amp;&amp; r[0] !== undefined);</t>
  </si>
  <si>
    <t xml:space="preserve">  const empty = vals.filter(r =&gt; r[0] === '' || r[0] === null || r[0] === undefined);</t>
  </si>
  <si>
    <t xml:space="preserve">  data.sort(compareFn);</t>
  </si>
  <si>
    <t xml:space="preserve">  range.setValues([...data, ...empty]);</t>
  </si>
  <si>
    <t>// TRIER ANALYSE TRIABLE  (startCol=2, 41 rows, 24 cols)</t>
  </si>
  <si>
    <t>function at_trierValeur() {</t>
  </si>
  <si>
    <t xml:space="preserve">  sortSheet('🔍 ANALYSE TRIABLE', 8, 48, 2, 24, (a,b) =&gt; (b[10]||0)-(a[10]||0));</t>
  </si>
  <si>
    <t xml:space="preserve">  toast('✅ Trié par Valeur CAD ↓', 'ANALYSE TRIABLE');</t>
  </si>
  <si>
    <t>function at_trierGain() {</t>
  </si>
  <si>
    <t xml:space="preserve">  sortSheet('🔍 ANALYSE TRIABLE', 8, 48, 2, 24, (a,b) =&gt; (b[12]||0)-(a[12]||0));</t>
  </si>
  <si>
    <t xml:space="preserve">  toast('✅ Trié par Gain % ↓', 'ANALYSE TRIABLE');</t>
  </si>
  <si>
    <t>function at_trierDiv() {</t>
  </si>
  <si>
    <t xml:space="preserve">  sortSheet('🔍 ANALYSE TRIABLE', 8, 48, 2, 24, (a,b) =&gt; (b[15]||0)-(a[15]||0));</t>
  </si>
  <si>
    <t xml:space="preserve">  toast('✅ Trié par Dividende ↓', 'ANALYSE TRIABLE');</t>
  </si>
  <si>
    <t>function at_trierTier() {</t>
  </si>
  <si>
    <t xml:space="preserve">  sortSheet('🔍 ANALYSE TRIABLE', 8, 48, 2, 24, (a,b) =&gt; {</t>
  </si>
  <si>
    <t xml:space="preserve">    if (a[3] !== b[3]) return (a[3]||'Z').localeCompare(b[3]||'Z');</t>
  </si>
  <si>
    <t xml:space="preserve">    return (b[10]||0) - (a[10]||0);</t>
  </si>
  <si>
    <t xml:space="preserve">  });</t>
  </si>
  <si>
    <t xml:space="preserve">  toast('✅ Trié Tier → Valeur', 'ANALYSE TRIABLE');</t>
  </si>
  <si>
    <t>function at_reset() {</t>
  </si>
  <si>
    <t xml:space="preserve">  const ordre = {'TFSA':1,'FHSA':2,'REER':3};</t>
  </si>
  <si>
    <t xml:space="preserve">    const cA = ordre[a[4]]||9, cB = ordre[b[4]]||9;</t>
  </si>
  <si>
    <t xml:space="preserve">    if (cA !== cB) return cA - cB;</t>
  </si>
  <si>
    <t xml:space="preserve">  toast('✅ Ordre reset: Compte → Tier → Valeur', 'ANALYSE TRIABLE');</t>
  </si>
  <si>
    <t>// TRIER PORTEFEUILLE — 2 sections: TFSA R15-42, FHSA R47-57</t>
  </si>
  <si>
    <t>// startCol=2, numCols=16</t>
  </si>
  <si>
    <t>// VALEUR CAD = index 10, GAIN% = index 13, TIER = index 3</t>
  </si>
  <si>
    <t>function port_sort(compareFn) {</t>
  </si>
  <si>
    <t xml:space="preserve">  const sections = [[15, 42], [47, 57]]; // TFSA, FHSA</t>
  </si>
  <si>
    <t xml:space="preserve">  sections.forEach(([s, e]) =&gt; sortSheet('📈 PORTEFEUILLE', s, e, 2, 16, compareFn));</t>
  </si>
  <si>
    <t>function port_trierValeur() {</t>
  </si>
  <si>
    <t xml:space="preserve">  port_sort((a,b) =&gt; (b[10]||0)-(a[10]||0));</t>
  </si>
  <si>
    <t xml:space="preserve">  toast('✅ PORTEFEUILLE trié par Valeur CAD ↓', 'PORTEFEUILLE');</t>
  </si>
  <si>
    <t>function port_trierGain() {</t>
  </si>
  <si>
    <t xml:space="preserve">  port_sort((a,b) =&gt; (b[13]||0)-(a[13]||0));</t>
  </si>
  <si>
    <t xml:space="preserve">  toast('✅ PORTEFEUILLE trié par Gain % ↓', 'PORTEFEUILLE');</t>
  </si>
  <si>
    <t>function port_trierTier() {</t>
  </si>
  <si>
    <t xml:space="preserve">  port_sort((a,b) =&gt; {</t>
  </si>
  <si>
    <t xml:space="preserve">  toast('✅ PORTEFEUILLE trié Tier → Valeur', 'PORTEFEUILLE');</t>
  </si>
  <si>
    <t>function port_reset() {</t>
  </si>
  <si>
    <t xml:space="preserve">  toast('✅ PORTEFEUILLE reset', 'PORTEFEUILLE');</t>
  </si>
  <si>
    <t>// NAVIGATION</t>
  </si>
  <si>
    <t>function nav(name) {</t>
  </si>
  <si>
    <t xml:space="preserve">  if (s) { SpreadsheetApp.getActiveSpreadsheet().setActiveSheet(s); toast('📍 '+name, 'Navigation'); }</t>
  </si>
  <si>
    <t xml:space="preserve">  else SpreadsheetApp.getUi().alert('Onglet non trouvé: ' + name);</t>
  </si>
  <si>
    <t>function nav_demarrage()    { nav('🚀 DÉMARRAGE'); }</t>
  </si>
  <si>
    <t>function nav_dashboard()    { nav('🏠 DASHBOARD'); }</t>
  </si>
  <si>
    <t>function nav_portefeuille() { nav('📈 PORTEFEUILLE'); }</t>
  </si>
  <si>
    <t>function nav_analyse()      { nav('🔍 ANALYSE TRIABLE'); }</t>
  </si>
  <si>
    <t>function nav_analysepro()   { nav('📊 ANALYSE PRO'); }</t>
  </si>
  <si>
    <t>function nav_fiscal()       { nav('❄️ FISCAL'); }</t>
  </si>
  <si>
    <t>function nav_revenus()      { nav('💰 REVENUS'); }</t>
  </si>
  <si>
    <t>function nav_maison()       { nav('🏠 MAISON 2030+'); }</t>
  </si>
  <si>
    <t>function nav_projection()   { nav('📈 PROJECTION FI'); }</t>
  </si>
  <si>
    <t>function nav_historique()   { nav('📓 HISTORIQUE'); }</t>
  </si>
  <si>
    <t>function nav_journal()      { nav('📓 JOURNAL DÉCISIONS'); }</t>
  </si>
  <si>
    <t>// SNAPSHOT → HISTORIQUE</t>
  </si>
  <si>
    <t>function snapshot() {</t>
  </si>
  <si>
    <t xml:space="preserve">  const ss   = SpreadsheetApp.getActiveSpreadsheet();</t>
  </si>
  <si>
    <t xml:space="preserve">  const port = ss.getSheetByName('📈 PORTEFEUILLE');</t>
  </si>
  <si>
    <t xml:space="preserve">  const hist = ss.getSheetByName('📓 HISTORIQUE');</t>
  </si>
  <si>
    <t xml:space="preserve">  if (!port || !hist) { SpreadsheetApp.getUi().alert('Onglet manquant: PORTEFEUILLE ou HISTORIQUE'); return; }</t>
  </si>
  <si>
    <t xml:space="preserve">  const date  = Utilities.formatDate(new Date(), 'America/Toronto', 'yyyy-MM-dd HH:mm');</t>
  </si>
  <si>
    <t xml:space="preserve">  const tfsa  = port.getRange('C8').getValue();</t>
  </si>
  <si>
    <t xml:space="preserve">  const fhsa  = port.getRange('C9').getValue();</t>
  </si>
  <si>
    <t xml:space="preserve">  const reer  = port.getRange('C10').getValue();</t>
  </si>
  <si>
    <t xml:space="preserve">  const total = port.getRange('C11').getValue();</t>
  </si>
  <si>
    <t xml:space="preserve">  const gainP = port.getRange('G11').getValue();</t>
  </si>
  <si>
    <t xml:space="preserve">  hist.getRange(hist.getLastRow()+1, 1, 1, 8).setValues([[</t>
  </si>
  <si>
    <t xml:space="preserve">    date, tfsa, fhsa, reer, total, gainP, 'Snapshot auto', 'Apps Script v3'</t>
  </si>
  <si>
    <t xml:space="preserve">  ]]);</t>
  </si>
  <si>
    <t xml:space="preserve">  toast('✅ $' + Math.round(total).toLocaleString() + ' CAD enregistré dans HISTORIQUE', '📋 Snapshot');</t>
  </si>
  <si>
    <t>// NOTE DE SESSION</t>
  </si>
  <si>
    <t>function noteSession() {</t>
  </si>
  <si>
    <t xml:space="preserve">  const ui     = SpreadsheetApp.getUi();</t>
  </si>
  <si>
    <t xml:space="preserve">  const result = ui.prompt('📝 Note de session', 'Trades, décisions, observations:', ui.ButtonSet.OK_CANCEL);</t>
  </si>
  <si>
    <t xml:space="preserve">  if (result.getSelectedButton() !== ui.Button.OK) return;</t>
  </si>
  <si>
    <t xml:space="preserve">  const total = port ? port.getRange('C11').getValue() : 0;</t>
  </si>
  <si>
    <t xml:space="preserve">    date, '', '', '', total, '', result.getResponseText(), 'Session manuelle'</t>
  </si>
  <si>
    <t xml:space="preserve">  ui.alert('✅ Note enregistrée dans HISTORIQUE!');</t>
  </si>
  <si>
    <t>📚  INDICE 200 SOURCES FINANCIÈRES  ·  Style S&amp;P 500  ·  Portefeuille 2026  ·  Copilote Claude</t>
  </si>
  <si>
    <t>🔄 Auto-ranking par score  ·  Entrées/Sorties selon fiabilité  ·  MAJ : 12/03/2026 — v2 (25 recalibrages CA: Globe &amp; Mail, Financial Post, Rational Reminder, Loonie Doctor +)  ·  S18</t>
  </si>
  <si>
    <t xml:space="preserve">   AAA⭐⭐⭐ Score ≥97 · Source primaire absolue     |     AA⭐⭐ Score 93-96 · Source officielle fiable     |     A⭐ Score 85-92 · Source pro recommandée     |     B+ Score 75-84     |     B Score &lt;75</t>
  </si>
  <si>
    <t>RANG
DYN.</t>
  </si>
  <si>
    <t>#
Orig.</t>
  </si>
  <si>
    <t>NOM DE LA SOURCE</t>
  </si>
  <si>
    <t>URL / LIEN</t>
  </si>
  <si>
    <t>DOMAINE</t>
  </si>
  <si>
    <t>SCORE
/100</t>
  </si>
  <si>
    <t>TIER
INDICE</t>
  </si>
  <si>
    <t>ACCÈS</t>
  </si>
  <si>
    <t>FRÉQ.
USAGE</t>
  </si>
  <si>
    <t>DONNÉES CLÉS</t>
  </si>
  <si>
    <t>UTILISATION PORTFOLIO</t>
  </si>
  <si>
    <t>DERNIÈRE
VALIDATION</t>
  </si>
  <si>
    <t>NOTE
PERSO ✍️</t>
  </si>
  <si>
    <t>VERDICT
J+30 📋</t>
  </si>
  <si>
    <t>GOOGLEFINANCE (Google Sheets)</t>
  </si>
  <si>
    <t>PRIX LIVE &amp; MARCHÉS</t>
  </si>
  <si>
    <t>Live intégré</t>
  </si>
  <si>
    <t>AAA ⭐⭐⭐</t>
  </si>
  <si>
    <t>Prix, vol, P/E, dividendes · TSX+US · 15min délai</t>
  </si>
  <si>
    <t>Source principale 34 tickers · CONFIG!B3 USD/CAD</t>
  </si>
  <si>
    <t>🟢 ACTIF</t>
  </si>
  <si>
    <t>12/03/2026</t>
  </si>
  <si>
    <t>ARC</t>
  </si>
  <si>
    <t>REER/FHSA/TFSA</t>
  </si>
  <si>
    <t>FISCALITÉ CANADA</t>
  </si>
  <si>
    <t>Canada officiel</t>
  </si>
  <si>
    <t>Annuel (jan)</t>
  </si>
  <si>
    <t>Plafonds · règles RAP · délais FHSA · formulaires</t>
  </si>
  <si>
    <t>⭐⭐⭐⭐⭐ Source primaire absolue · R8 règle auto</t>
  </si>
  <si>
    <t>Revenu Québec taux 2026</t>
  </si>
  <si>
    <t>revenuquebec.ca</t>
  </si>
  <si>
    <t>Québec officiel</t>
  </si>
  <si>
    <t>Annuel</t>
  </si>
  <si>
    <t>Taux marginaux combinés QC+CA · tranches 2026</t>
  </si>
  <si>
    <t>CONFIG!B11=0.5298 · économie REER $1,060/mois</t>
  </si>
  <si>
    <t>Google Sheets GOOGLEFINANCE Docs</t>
  </si>
  <si>
    <t>support.google.com/docs/answer/3093281</t>
  </si>
  <si>
    <t>GOOGLE SHEETS PRO</t>
  </si>
  <si>
    <t>Documentation officielle</t>
  </si>
  <si>
    <t>Sélective</t>
  </si>
  <si>
    <t>Liste complète 50+ attributs · syntaxe · exemples · limites</t>
  </si>
  <si>
    <t>Référence absolue attributs GOOGLEFINANCE · TSE:ticker</t>
  </si>
  <si>
    <t>Google Finance</t>
  </si>
  <si>
    <t>google.com/finance</t>
  </si>
  <si>
    <t>Live gratuit</t>
  </si>
  <si>
    <t>Prix rapide · graphique interactif · nouvelles intégrées</t>
  </si>
  <si>
    <t>Vérification express tickers TSX/NYSE/NASDAQ</t>
  </si>
  <si>
    <t>ARC Mon Dossier</t>
  </si>
  <si>
    <t>canada.ca/mon-dossier-arc</t>
  </si>
  <si>
    <t>Continu</t>
  </si>
  <si>
    <t>Droits REER réels · avis cotisation · T4 · FHSA room</t>
  </si>
  <si>
    <t>Vérifier avant cotisation REER &gt;$10K · R8</t>
  </si>
  <si>
    <t>FHSA Guide officiel</t>
  </si>
  <si>
    <t>canada.ca/fr/agence-revenu/services/impot/fhsa</t>
  </si>
  <si>
    <t>Règles FHSA · $8K/an · cumul $40K · RAP combiné · retraits</t>
  </si>
  <si>
    <t>FHSA $1K/mois VFV · $40K cible 2030</t>
  </si>
  <si>
    <t>Yahoo Finance</t>
  </si>
  <si>
    <t>yahoo.com/finance</t>
  </si>
  <si>
    <t>Prix · historique · news · earnings · analyst ratings</t>
  </si>
  <si>
    <t>Vérification avant achat · earnings calendar</t>
  </si>
  <si>
    <t>TradingView</t>
  </si>
  <si>
    <t>tradingview.com</t>
  </si>
  <si>
    <t>Analyse technique</t>
  </si>
  <si>
    <t>⚠️ Limité</t>
  </si>
  <si>
    <t>Graphiques avancés · indicateurs · alertes · screener</t>
  </si>
  <si>
    <t>Analyse graphique T1 avant achat · supports/résistances</t>
  </si>
  <si>
    <t>Broadcom IR</t>
  </si>
  <si>
    <t>investors.broadcom.com</t>
  </si>
  <si>
    <t>ANALYSE FONDAMENTALE</t>
  </si>
  <si>
    <t>AVGO (officiel)</t>
  </si>
  <si>
    <t>Résultats trimestriels · guidance · AI revenue · transcript</t>
  </si>
  <si>
    <t>Source primaire AVGO · prochains résultats: 4 juin 2026</t>
  </si>
  <si>
    <t>GE Vernova IR</t>
  </si>
  <si>
    <t>gevernova.com/investors</t>
  </si>
  <si>
    <t>GEV (officiel)</t>
  </si>
  <si>
    <t>Résultats · guidance énergie · AI infrastructure · backlog</t>
  </si>
  <si>
    <t>Source primaire GEV · thèse grid+AI infrastructure</t>
  </si>
  <si>
    <t>Alphabet IR</t>
  </si>
  <si>
    <t>abc.xyz/investor</t>
  </si>
  <si>
    <t>GOOG (officiel)</t>
  </si>
  <si>
    <t>Résultats · segments · cloud · AI · YouTube · capex</t>
  </si>
  <si>
    <t>Source primaire GOOG · cloud vs AWS/Azure</t>
  </si>
  <si>
    <t>Amazon IR</t>
  </si>
  <si>
    <t>ir.aboutamazon.com</t>
  </si>
  <si>
    <t>AMZN (officiel)</t>
  </si>
  <si>
    <t>Résultats · AWS · retail · margins · capex AI</t>
  </si>
  <si>
    <t>Source primaire AMZN · AWS = moteur profit</t>
  </si>
  <si>
    <t>Meta IR</t>
  </si>
  <si>
    <t>investor.fb.com</t>
  </si>
  <si>
    <t>META (officiel)</t>
  </si>
  <si>
    <t>Résultats · MAU · ARPU · AI capex · metaverse</t>
  </si>
  <si>
    <t>Source primaire META · no-buy: 21-28 avr</t>
  </si>
  <si>
    <t>NVIDIA IR</t>
  </si>
  <si>
    <t>investor.nvidia.com</t>
  </si>
  <si>
    <t>NVDA (officiel)</t>
  </si>
  <si>
    <t>Résultats · data center · gaming · AI guidance</t>
  </si>
  <si>
    <t>Source primaire NVDA · no-buy: 21-28 mai</t>
  </si>
  <si>
    <t>Bank of Canada</t>
  </si>
  <si>
    <t>bankofcanada.ca/rates/</t>
  </si>
  <si>
    <t>CALENDRIERS &amp; ÉVÉNEMENTS</t>
  </si>
  <si>
    <t>Officiel CA</t>
  </si>
  <si>
    <t>Calendrier 8 décisions/an · MPR trimestriel · 9h45 HNE</t>
  </si>
  <si>
    <t>Timing achats post-BdC: ZRE/XIC/VDU · 18 mars</t>
  </si>
  <si>
    <t>Federal Reserve FOMC</t>
  </si>
  <si>
    <t>federalreserve.gov/monetarypolicy/fomccalendars.htm</t>
  </si>
  <si>
    <t>Officiel US</t>
  </si>
  <si>
    <t>8 décisions/an · dot plot · SEP · communiqué 14h00 ET</t>
  </si>
  <si>
    <t>Impact USD/CAD · timing achats USD · 18-19 mars</t>
  </si>
  <si>
    <t>PlanifRetraite.ca</t>
  </si>
  <si>
    <t>QC / FIRE</t>
  </si>
  <si>
    <t>Calculateurs REER · projections fiscales · RAP · FI QC</t>
  </si>
  <si>
    <t>Projections FI $2.1M · taux retrait REER à 55 ans</t>
  </si>
  <si>
    <t>eqbank.ca</t>
  </si>
  <si>
    <t>BANQUE &amp; MAISON 2030</t>
  </si>
  <si>
    <t>Banque HISA</t>
  </si>
  <si>
    <t>Taux HISA ~4% · conditions · CDIC $100K · FHSA · REER</t>
  </si>
  <si>
    <t>🔴 CRITIQUE: Ouvrir HISA $1,500/mois · fonds urgence $15K</t>
  </si>
  <si>
    <t>StockAnalysis.com</t>
  </si>
  <si>
    <t>stockanalysis.com</t>
  </si>
  <si>
    <t>US+CA</t>
  </si>
  <si>
    <t>AA ⭐⭐</t>
  </si>
  <si>
    <t>EPS · revenue · marges · P/E · P/S · analyst ratings · historique</t>
  </si>
  <si>
    <t>Source principale analyse T1/T2 · tous tickers</t>
  </si>
  <si>
    <t>Schwab SCHD</t>
  </si>
  <si>
    <t>schwab.com/.../SCHD</t>
  </si>
  <si>
    <t>SCHD (officiel)</t>
  </si>
  <si>
    <t>Yield · composition · dividende historique · screening</t>
  </si>
  <si>
    <t>Source primaire SCHD · suivi dividende REER snowball</t>
  </si>
  <si>
    <t>Vanguard VFV</t>
  </si>
  <si>
    <t>vanguard.ca/.../VFV</t>
  </si>
  <si>
    <t>VFV.TO (officiel)</t>
  </si>
  <si>
    <t>NAV · composition S&amp;P500 · frais · rendement</t>
  </si>
  <si>
    <t>Source primaire VFV · core FHSA + TFSA</t>
  </si>
  <si>
    <t>iShares XEQT</t>
  </si>
  <si>
    <t>blackrock.com/ca/.../XEQT</t>
  </si>
  <si>
    <t>XEQT.TO (officiel)</t>
  </si>
  <si>
    <t>Composition · 4 régions · frais 0.20% · NAV</t>
  </si>
  <si>
    <t>Source primaire XEQT · suivi FHSA diversification</t>
  </si>
  <si>
    <t>Enbridge IR</t>
  </si>
  <si>
    <t>investor.enbridge.com</t>
  </si>
  <si>
    <t>ENB.TO (officiel)</t>
  </si>
  <si>
    <t>Résultats · pipeline · dividende · dette · guidance</t>
  </si>
  <si>
    <t>Source primaire ENB · yield ~7% · croissance dividende</t>
  </si>
  <si>
    <t>Yahoo Finance Earnings</t>
  </si>
  <si>
    <t>finance.yahoo.com/calendar/earnings</t>
  </si>
  <si>
    <t>Calendrier</t>
  </si>
  <si>
    <t>Date · EPS estimé vs réel · surprise% · heure</t>
  </si>
  <si>
    <t>Règle R9: no-buy -7j avant earnings T1/T2</t>
  </si>
  <si>
    <t>Nasdaq Earnings</t>
  </si>
  <si>
    <t>nasdaq.com/market-activity/earnings</t>
  </si>
  <si>
    <t>Officiel</t>
  </si>
  <si>
    <t>Dates officielles · historique EPS · surprise %</t>
  </si>
  <si>
    <t>Source primaire calendrier earnings US · AVGO/GOOG</t>
  </si>
  <si>
    <t>TSX Dividend Calendar</t>
  </si>
  <si>
    <t>money.tmx.com</t>
  </si>
  <si>
    <t>Ex-dates · record dates · paiements tickers TSX</t>
  </si>
  <si>
    <t>Calendrier dividendes CA: ENB/TD/XEI/ZRE/MFC</t>
  </si>
  <si>
    <t>BofA Global Research Events</t>
  </si>
  <si>
    <t>Conférences</t>
  </si>
  <si>
    <t>⚠️ Pro</t>
  </si>
  <si>
    <t>Calendrier conférences sectorielles · CEO presentations</t>
  </si>
  <si>
    <t>Contexte guidance CEO AVGO/GEV/SPGI conférences</t>
  </si>
  <si>
    <t>BdC MPR</t>
  </si>
  <si>
    <t>bankofcanada.ca/publications/mpr/</t>
  </si>
  <si>
    <t>MACROÉCONOMIE</t>
  </si>
  <si>
    <t>Projection PIB 2026-2027 · scénarios risques · inflation</t>
  </si>
  <si>
    <t>Contexte macro décisions BdC · timing FHSA/REER</t>
  </si>
  <si>
    <t>Financial Post Tax Guide</t>
  </si>
  <si>
    <t>financialpost.com</t>
  </si>
  <si>
    <t>Canada</t>
  </si>
  <si>
    <t>Stratégies fiscales · REER tardif · optimisation · TFSA tricks</t>
  </si>
  <si>
    <t>Stratégies avancées: fractionnement revenu retraite</t>
  </si>
  <si>
    <t>Bloomberg Markets</t>
  </si>
  <si>
    <t>bloomberg.com/markets</t>
  </si>
  <si>
    <t>Pro</t>
  </si>
  <si>
    <t>⚠️ Certains payants</t>
  </si>
  <si>
    <t>Macro · taux · devises · commodités · analyses</t>
  </si>
  <si>
    <t>Contexte macro profond · USD/CAD · taux G7</t>
  </si>
  <si>
    <t>Macrotrends</t>
  </si>
  <si>
    <t>macrotrends.net</t>
  </si>
  <si>
    <t>US</t>
  </si>
  <si>
    <t>Historique 20 ans revenue/EPS/marges · P/E historique</t>
  </si>
  <si>
    <t>Contexte long-terme AVGO/GOOG/AMZN/META/MSFT</t>
  </si>
  <si>
    <t>FRED St-Louis Fed</t>
  </si>
  <si>
    <t>fred.stlouisfed.org</t>
  </si>
  <si>
    <t>US + Global</t>
  </si>
  <si>
    <t>Mensuel/continu</t>
  </si>
  <si>
    <t>PIB · CPI · taux · emploi · M2 · Yield Curve · 800K+ séries</t>
  </si>
  <si>
    <t>Contexte macro profond · taux réels · signaux récession</t>
  </si>
  <si>
    <t>iShares Canada</t>
  </si>
  <si>
    <t>blackrock.com/ca</t>
  </si>
  <si>
    <t>ETFs CANADA</t>
  </si>
  <si>
    <t>Émetteur officiel</t>
  </si>
  <si>
    <t>XEI · XIC · XEQT · XBAL · ZLB · factsheets · NAV</t>
  </si>
  <si>
    <t>Source officielle XEQT/XEI/XIC/ZLB FHSA+TFSA</t>
  </si>
  <si>
    <t>Vanguard Canada</t>
  </si>
  <si>
    <t>vanguard.ca</t>
  </si>
  <si>
    <t>VFV · VEQT · VDU · VDY · VBAL · frais · composition</t>
  </si>
  <si>
    <t>Source officielle VFV/VDU · core FHSA/TFSA</t>
  </si>
  <si>
    <t>CME FedWatch</t>
  </si>
  <si>
    <t>cmegroup.com/markets/interest-rates/cme-fedwatch-tool.html</t>
  </si>
  <si>
    <t>Temps réel</t>
  </si>
  <si>
    <t>Probabilités Fed rate futures · dot plot implicite</t>
  </si>
  <si>
    <t>Anticiper USD/CAD · timing achats USD (SCHD/AVGO)</t>
  </si>
  <si>
    <t>BMO ETFs</t>
  </si>
  <si>
    <t>bmo.com/etfs</t>
  </si>
  <si>
    <t>ZRE · ZLB · ZEQT · ZEB · ZAG · rendement · RFG</t>
  </si>
  <si>
    <t>Source officielle ZRE/ZLB · T4 surveillance</t>
  </si>
  <si>
    <t>EDGAR SEC</t>
  </si>
  <si>
    <t>sec.gov/cgi-bin/browse-edgar</t>
  </si>
  <si>
    <t>US officiel</t>
  </si>
  <si>
    <t>10-K · 10-Q · 8-K · proxy · insider forms</t>
  </si>
  <si>
    <t>Documents officiels titres US si analyse profonde</t>
  </si>
  <si>
    <t>Rational Reminder Podcast</t>
  </si>
  <si>
    <t>rationalreminder.ca</t>
  </si>
  <si>
    <t>FIRE &amp; PSYCHOLOGIE</t>
  </si>
  <si>
    <t>Podcast CA</t>
  </si>
  <si>
    <t>Evidence-based · Ben Felix (PWL) · comportement · facteurs</t>
  </si>
  <si>
    <t>⭐⭐⭐⭐⭐ Meilleur podcast CA · biais comportementaux</t>
  </si>
  <si>
    <t>PODCASTS &amp; MÉDIAS</t>
  </si>
  <si>
    <t>Podcast CA #1</t>
  </si>
  <si>
    <t>A ⭐</t>
  </si>
  <si>
    <t>Evidence-based · facteurs · comportement · Ben Felix</t>
  </si>
  <si>
    <t>Meilleur CA · aucun biais product · recherche pure</t>
  </si>
  <si>
    <t>MarketWatch</t>
  </si>
  <si>
    <t>marketwatch.com</t>
  </si>
  <si>
    <t>Actualités + prix</t>
  </si>
  <si>
    <t>Marchés US · news en direct · S&amp;P500 · TSX · forex</t>
  </si>
  <si>
    <t>Suivi macro intraday · mouvements sectoriels</t>
  </si>
  <si>
    <t>CBOE VIX</t>
  </si>
  <si>
    <t>cboe.com/vix</t>
  </si>
  <si>
    <t>Indicateur peur</t>
  </si>
  <si>
    <t>VIX en temps réel · historique · term structure</t>
  </si>
  <si>
    <t>Signal buy: VIX&gt;25=acheter · VIX&gt;30=agressif</t>
  </si>
  <si>
    <t>Investing.com</t>
  </si>
  <si>
    <t>investing.com</t>
  </si>
  <si>
    <t>Agrégateur complet</t>
  </si>
  <si>
    <t>Prix · calendrier éco · earnings · forex · crypto</t>
  </si>
  <si>
    <t>Calendrier BdC/Fed · earnings dates T1/T2</t>
  </si>
  <si>
    <t>Reuters Markets</t>
  </si>
  <si>
    <t>reuters.com/markets</t>
  </si>
  <si>
    <t>Actualités</t>
  </si>
  <si>
    <t>News mondiales · marchés · macro · géopolitique</t>
  </si>
  <si>
    <t>Contexte géopolitique impactant US/CA marché</t>
  </si>
  <si>
    <t>CNBC</t>
  </si>
  <si>
    <t>cnbc.com/markets</t>
  </si>
  <si>
    <t>TV + web</t>
  </si>
  <si>
    <t>News US · analyses · earnings · secteurs · technos</t>
  </si>
  <si>
    <t>Breaking news T1 (AVGO/GEV/SMH) avant achat</t>
  </si>
  <si>
    <t>TMX Money</t>
  </si>
  <si>
    <t>Officiel TSX</t>
  </si>
  <si>
    <t>Prix TSX/TSXV officiels · données EOD gratuites</t>
  </si>
  <si>
    <t>Source officielle tickers CA · historique TSX</t>
  </si>
  <si>
    <t>Finviz</t>
  </si>
  <si>
    <t>finviz.com</t>
  </si>
  <si>
    <t>Screener US</t>
  </si>
  <si>
    <t>Screener actions US · heat maps · insider trades</t>
  </si>
  <si>
    <t>Heatmap sectorielle · identifier dips sectoriels</t>
  </si>
  <si>
    <t>Currency Converter XE</t>
  </si>
  <si>
    <t>xe.com</t>
  </si>
  <si>
    <t>Forex</t>
  </si>
  <si>
    <t>USD/CAD live · historique · convertisseur · graphique</t>
  </si>
  <si>
    <t>Vérification USD/CAD avant achat &gt;$500 USD</t>
  </si>
  <si>
    <t>Bank of Canada FX</t>
  </si>
  <si>
    <t>bankofcanada.ca/rates/exchange</t>
  </si>
  <si>
    <t>Taux officiels BdC · historique · JSON téléchargeable</t>
  </si>
  <si>
    <t>Source officielle USD/CAD si GOOGLEFINANCE défaillant</t>
  </si>
  <si>
    <t>Microsoft IR</t>
  </si>
  <si>
    <t>microsoft.com/en-us/investor</t>
  </si>
  <si>
    <t>MSFT (officiel)</t>
  </si>
  <si>
    <t>Résultats · Azure · Copilot · gaming · cloud</t>
  </si>
  <si>
    <t>Source primaire MSFT · suivi Azure growth</t>
  </si>
  <si>
    <t>SPGI IR</t>
  </si>
  <si>
    <t>investor.spglobal.com</t>
  </si>
  <si>
    <t>SPGI (officiel)</t>
  </si>
  <si>
    <t>Résultats · Platts · Ratings · data solutions · margins</t>
  </si>
  <si>
    <t>Source primaire SPGI · moat données financières</t>
  </si>
  <si>
    <t>VanEck SMH</t>
  </si>
  <si>
    <t>vaneck.com/us/en/.../smh</t>
  </si>
  <si>
    <t>SMH (officiel)</t>
  </si>
  <si>
    <t>Composition · top holdings · performance · rebalancement</t>
  </si>
  <si>
    <t>Source primaire SMH · vérifier exposition semis</t>
  </si>
  <si>
    <t>TD Bank IR</t>
  </si>
  <si>
    <t>td.com/ca/en/investor-relations</t>
  </si>
  <si>
    <t>TD.TO (officiel)</t>
  </si>
  <si>
    <t>Résultats bancaires · provision · CET1 · dividende</t>
  </si>
  <si>
    <t>Source primaire TD · T3 TFSA/FHSA · surveillance</t>
  </si>
  <si>
    <t>Loonie Doctor</t>
  </si>
  <si>
    <t>looniedoctor.ca</t>
  </si>
  <si>
    <t>Canada FIRE</t>
  </si>
  <si>
    <t>Optimisation fiscale · REER · TFSA · médecins mais applicable</t>
  </si>
  <si>
    <t>Stratégies avancées retraite anticipée · décaissement</t>
  </si>
  <si>
    <t>Blog CA FI avancé</t>
  </si>
  <si>
    <t>Décaissement optimal · ordre retraits REER/TFSA · séquence</t>
  </si>
  <si>
    <t>Stratégie décaissement 55 ans · ordre REER vs TFSA</t>
  </si>
  <si>
    <t>Justin Bender Tax Calculator</t>
  </si>
  <si>
    <t>canadianportfoliomanagerblog.com</t>
  </si>
  <si>
    <t>Outil CA</t>
  </si>
  <si>
    <t>Friction fiscale ETF · retenues · compte optimal</t>
  </si>
  <si>
    <t>Optimisation: SCHD dans REER pas TFSA (US dividendes)</t>
  </si>
  <si>
    <t>The Globe and Mail Investing</t>
  </si>
  <si>
    <t>theglobeandmail.com/investing</t>
  </si>
  <si>
    <t>Média CA #1</t>
  </si>
  <si>
    <t>Analyses CA · dividendes · REITs · banques · TSX</t>
  </si>
  <si>
    <t>Source CA sérieuse · Globe Dividend All-Stars annuel</t>
  </si>
  <si>
    <t>Questrade</t>
  </si>
  <si>
    <t>app.questrade.com</t>
  </si>
  <si>
    <t>✅ (client)</t>
  </si>
  <si>
    <t>Prix réels · P&amp;L · positions · cash · ordres</t>
  </si>
  <si>
    <t>Source de vérité comptes · dump début session</t>
  </si>
  <si>
    <t>Barchart</t>
  </si>
  <si>
    <t>barchart.com</t>
  </si>
  <si>
    <t>Live + options</t>
  </si>
  <si>
    <t>Prix · options chains · futures · screener · indices</t>
  </si>
  <si>
    <t>Analyse volatilité implicite AVGO/NVDA pre-earnings</t>
  </si>
  <si>
    <t>Stockcharts</t>
  </si>
  <si>
    <t>stockcharts.com</t>
  </si>
  <si>
    <t>Technique avancé</t>
  </si>
  <si>
    <t>Graphiques interactifs · indicateurs · Point &amp; Figure</t>
  </si>
  <si>
    <t>Analyse technique approfondie T1 avant gros achat</t>
  </si>
  <si>
    <t>Investing.com Earnings Calendar</t>
  </si>
  <si>
    <t>investing.com/earnings-calendar</t>
  </si>
  <si>
    <t>Agrégateur</t>
  </si>
  <si>
    <t>US+CA+Global · EPS consensus · revenue forecast</t>
  </si>
  <si>
    <t>Vérification croisée dates earnings · BdC inclus</t>
  </si>
  <si>
    <t>Zacks Earnings Calendar</t>
  </si>
  <si>
    <t>zacks.com/earnings/earnings-calendar</t>
  </si>
  <si>
    <t>Analyse</t>
  </si>
  <si>
    <t>Earnings dates · EPS estimates · Zacks rank</t>
  </si>
  <si>
    <t>Cross-validation dates AVGO (prochain: 4 juin 2026)</t>
  </si>
  <si>
    <t>Economic Calendar Investing.com</t>
  </si>
  <si>
    <t>investing.com/economic-calendar</t>
  </si>
  <si>
    <t>CPI · PIB · emplois · ISM · annonces BdC/Fed/BCE</t>
  </si>
  <si>
    <t>Contexte macro avant gros achats T1 &gt;$2K</t>
  </si>
  <si>
    <t>Dividend.com</t>
  </si>
  <si>
    <t>dividend.com</t>
  </si>
  <si>
    <t>Dividendes</t>
  </si>
  <si>
    <t>Ex-dates · paiements · historique · DRIP · calendrier</t>
  </si>
  <si>
    <t>Suivi ex-dates ENB/MFC/SCHD/JEPI/XEI/SRU</t>
  </si>
  <si>
    <t>Nerdwallet CA</t>
  </si>
  <si>
    <t>nerdwallet.com/ca</t>
  </si>
  <si>
    <t>Info CA</t>
  </si>
  <si>
    <t>Dates fiscales ARC · REER · FHSA · dates limites</t>
  </si>
  <si>
    <t>Dates limites cotisation REER/FHSA · délais RAP</t>
  </si>
  <si>
    <t>Financial Post</t>
  </si>
  <si>
    <t>Média CA</t>
  </si>
  <si>
    <t>Marchés CA · analyses · macro · fiscalité CA</t>
  </si>
  <si>
    <t>Nouvelles financières CA · politique fiscale · budget</t>
  </si>
  <si>
    <t>Analyse pro DIY</t>
  </si>
  <si>
    <t>B+</t>
  </si>
  <si>
    <t>Dashboard · ratios · croissance · comparaison multi-titres</t>
  </si>
  <si>
    <t>Alternative Bloomberg retail · scorecard titres T1</t>
  </si>
  <si>
    <t>Alpha Vantage API</t>
  </si>
  <si>
    <t>alphavantage.co</t>
  </si>
  <si>
    <t>API données</t>
  </si>
  <si>
    <t>✅ (limité)</t>
  </si>
  <si>
    <t>Prix EOD · intraday · indicateurs techniques · forex</t>
  </si>
  <si>
    <t>Alternative API si GOOGLEFINANCE tombe · scripts GSheets</t>
  </si>
  <si>
    <t>Simply Wall St</t>
  </si>
  <si>
    <t>simplywall.st</t>
  </si>
  <si>
    <t>Score santé financière · visualisation · valeur intrinsèque</t>
  </si>
  <si>
    <t>Vérification rapide santé financière T1 · bull/bear</t>
  </si>
  <si>
    <t>GuruFocus</t>
  </si>
  <si>
    <t>gurufocus.com</t>
  </si>
  <si>
    <t>DCF · moat · insider trading · gurus holdings · ratios</t>
  </si>
  <si>
    <t>Évaluation valeur intrinsèque · insiders AVGO/GOOG</t>
  </si>
  <si>
    <t>Analyse qualitative · quant rating · bull/bear cases · news</t>
  </si>
  <si>
    <t>Thèse investissement T1/T2 · contexte pré-achat</t>
  </si>
  <si>
    <t>TIKR</t>
  </si>
  <si>
    <t>tikr.com</t>
  </si>
  <si>
    <t>Global 92 pays</t>
  </si>
  <si>
    <t>Fondamentaux complets · 100K+ tickers · institutions</t>
  </si>
  <si>
    <t>Analyse profonde multi-métriques T1 (AVGO/GEV)</t>
  </si>
  <si>
    <t>CRA My Account</t>
  </si>
  <si>
    <t>canada.ca/en/revenue-agency</t>
  </si>
  <si>
    <t>Officiel ARC</t>
  </si>
  <si>
    <t>Droits REER réels · avis cotisation · T4 · déclaration</t>
  </si>
  <si>
    <t>Vérifier room REER réel avant contribution &gt;$5K</t>
  </si>
  <si>
    <t>Morningstar CA ETF</t>
  </si>
  <si>
    <t>morningstar.com/ca/etfs</t>
  </si>
  <si>
    <t>Analyse ETF</t>
  </si>
  <si>
    <t>Cotes · performance · catégorie · frais · comparaison</t>
  </si>
  <si>
    <t>Évaluation ETF CA · comparaison VFV vs XEQT vs VEQT</t>
  </si>
  <si>
    <t>Morningstar Canada</t>
  </si>
  <si>
    <t>morningstar.com/ca</t>
  </si>
  <si>
    <t>Cote étoiles · juste valeur · moat · analyse ETF</t>
  </si>
  <si>
    <t>Évaluation T3/T4 · dividendes CA · MFC/TD/ENB</t>
  </si>
  <si>
    <t>S&amp;P Global Intelligence (via Gainify)</t>
  </si>
  <si>
    <t>Global</t>
  </si>
  <si>
    <t>⚠️ Via Gainify</t>
  </si>
  <si>
    <t>Données institutionnelles · consensus · estimations forward</t>
  </si>
  <si>
    <t>Estimations EPS/revenue professionnelles T1</t>
  </si>
  <si>
    <t>Gainify</t>
  </si>
  <si>
    <t>gainify.io</t>
  </si>
  <si>
    <t>⚠️ ~$8/mois</t>
  </si>
  <si>
    <t>AI analyse · Wall St data · screening · valeur intrinsèque</t>
  </si>
  <si>
    <t>Analyse rapide T1 avec données S&amp;P Global</t>
  </si>
  <si>
    <t>Finbox</t>
  </si>
  <si>
    <t>finbox.com</t>
  </si>
  <si>
    <t>Modèles DCF · fair value · screener · exportation</t>
  </si>
  <si>
    <t>Modélisation valeur intrinsèque AVGO/SPGI/GEV</t>
  </si>
  <si>
    <t>Scotiabank Economics</t>
  </si>
  <si>
    <t>scotiabank.com/ca/en/about/economics</t>
  </si>
  <si>
    <t>Hebdo/mensuel</t>
  </si>
  <si>
    <t>Prévisions BdC · USD/CAD · PIB CA · commentaires macro</t>
  </si>
  <si>
    <t>Best: prévisions USD/CAD · décisions BdC</t>
  </si>
  <si>
    <t>FI Garage Podcast</t>
  </si>
  <si>
    <t>figarage.ca</t>
  </si>
  <si>
    <t>Communauté FIRE CA · real estate · ETF · témoignages</t>
  </si>
  <si>
    <t>Cas concrets FIRE CA · partage expériences</t>
  </si>
  <si>
    <t>cFIREsim</t>
  </si>
  <si>
    <t>cfiresim.com</t>
  </si>
  <si>
    <t>COMMUNAUTÉS &amp; OUTILS</t>
  </si>
  <si>
    <t>Calculateur</t>
  </si>
  <si>
    <t>Backtesting historique · SWR · actifs · dépenses</t>
  </si>
  <si>
    <t>Backtester SWR 3.5-4% · $2.1M · FI 55 ans 2047</t>
  </si>
  <si>
    <t>RBC Economics</t>
  </si>
  <si>
    <t>rbc.com/economics</t>
  </si>
  <si>
    <t>Tableaux bord macro CA · prévisions taux · immobilier</t>
  </si>
  <si>
    <t>Contexte achat maison 2030 · prévisions taux hypothèques</t>
  </si>
  <si>
    <t>Morningstar Portfolio Manager</t>
  </si>
  <si>
    <t>morningstar.com/portfolio-manager</t>
  </si>
  <si>
    <t>Suivi portfolio</t>
  </si>
  <si>
    <t>Suivi performance · benchmarks · allocation · risque</t>
  </si>
  <si>
    <t>Cross-validation performance vs benchmark VFV · X-Ray</t>
  </si>
  <si>
    <t>Wisesheets</t>
  </si>
  <si>
    <t>wisesheets.io</t>
  </si>
  <si>
    <t>Add-on GSheets</t>
  </si>
  <si>
    <t>⚠️ Payant</t>
  </si>
  <si>
    <t>Fondamentaux 20 ans · income · cashflow · ratios via Sheets</t>
  </si>
  <si>
    <t>Compléter GOOGLEFINANCE (fondamentaux manquants)</t>
  </si>
  <si>
    <t>BMO Economics</t>
  </si>
  <si>
    <t>bmo.com/en-ca/main/business/economics</t>
  </si>
  <si>
    <t>Commentaires taux · macro CA · perspectives sectorielle</t>
  </si>
  <si>
    <t>Cross-validation prévisions BdC · santé banques CA</t>
  </si>
  <si>
    <t>Earnings Whispers</t>
  </si>
  <si>
    <t>earningswhispers.com</t>
  </si>
  <si>
    <t>Spécialisé</t>
  </si>
  <si>
    <t>Whisper numbers · options activity · earnings surprises</t>
  </si>
  <si>
    <t>Vérifier consensus vs whisper NVDA/AVGO pre-earnings</t>
  </si>
  <si>
    <t>Market Chameleon</t>
  </si>
  <si>
    <t>marketchameleon.com</t>
  </si>
  <si>
    <t>Options+earnings</t>
  </si>
  <si>
    <t>Implied move · straddle historique · réaction price historique</t>
  </si>
  <si>
    <t>Anticiper mouvement AVGO/NVDA/META post-earnings</t>
  </si>
  <si>
    <t>Simply Wall St Dividends</t>
  </si>
  <si>
    <t>Dividendes CA</t>
  </si>
  <si>
    <t>Paiements CA · sécurité dividende · historique croissance</t>
  </si>
  <si>
    <t>Vérification sécurité dividende T.TO/ENB/MFC</t>
  </si>
  <si>
    <t>Advisor.ca Tax Corner</t>
  </si>
  <si>
    <t>advisor.ca</t>
  </si>
  <si>
    <t>Canada Pro</t>
  </si>
  <si>
    <t>Hebdo</t>
  </si>
  <si>
    <t>Analyses fiscales pro · stratégies · cas clients · CPA</t>
  </si>
  <si>
    <t>Sources niveau CFP · vérification conseils Claude</t>
  </si>
  <si>
    <t>Invesco Canada</t>
  </si>
  <si>
    <t>invesco.com/ca/etfs</t>
  </si>
  <si>
    <t>QQQM · QQQ · composition NASDAQ · frais</t>
  </si>
  <si>
    <t>Source officielle QQQM · top 10 holdings tech</t>
  </si>
  <si>
    <t>Global X Canada</t>
  </si>
  <si>
    <t>globalx.ca</t>
  </si>
  <si>
    <t>HURA · couvertes · alternatives · rendement élevé</t>
  </si>
  <si>
    <t>Source officielle HURA.TO · uranium T3</t>
  </si>
  <si>
    <t>Defiance ETFs</t>
  </si>
  <si>
    <t>defianceetfs.com</t>
  </si>
  <si>
    <t>QTUM · quantum computing · composition · rebalancement</t>
  </si>
  <si>
    <t>Source officielle QTUM · T3 quantum computing</t>
  </si>
  <si>
    <t>ETF.com</t>
  </si>
  <si>
    <t>etf.com</t>
  </si>
  <si>
    <t>Base données ETF</t>
  </si>
  <si>
    <t>Composition · tracking error · liquidité · alternatives</t>
  </si>
  <si>
    <t>Comparer ETF US: SCHD vs VYM vs JEPI · SMH vs SOXX</t>
  </si>
  <si>
    <t>Justin Bender ETF Tool</t>
  </si>
  <si>
    <t>DIY CA</t>
  </si>
  <si>
    <t>Withholding tax · friction fiscale · compte optimal par ETF</t>
  </si>
  <si>
    <t>Optimisation: quel ETF dans quel compte REER/TFSA</t>
  </si>
  <si>
    <t>Canadian Couch Potato</t>
  </si>
  <si>
    <t>canadiancouchpotato.com</t>
  </si>
  <si>
    <t>Portefeuilles modèles · comparaisons · frais · evidence-based</t>
  </si>
  <si>
    <t>Référence passive investing CA · validation XEQT/VFV</t>
  </si>
  <si>
    <t>Million Dollar Journey ETF</t>
  </si>
  <si>
    <t>milliondollarjourney.com</t>
  </si>
  <si>
    <t>Meilleurs 49 ETF CA · TFSA/REER optimal · analyse</t>
  </si>
  <si>
    <t>Comparateur ETF CA complet · alternativess ZRE/XIC</t>
  </si>
  <si>
    <t>JustETF</t>
  </si>
  <si>
    <t>justetf.com</t>
  </si>
  <si>
    <t>Europe+US+CA</t>
  </si>
  <si>
    <t>Comparateur ETF mondial · screening · coûts totaux</t>
  </si>
  <si>
    <t>Comparaison internationale · alternatives VDU</t>
  </si>
  <si>
    <t>ETFdb.com</t>
  </si>
  <si>
    <t>etfdb.com</t>
  </si>
  <si>
    <t>US principal</t>
  </si>
  <si>
    <t>Comparateur ETF US · alternatives · SCHD vs concurrents</t>
  </si>
  <si>
    <t>Alternativess SCHD · JEPI vs concurrents · SMH</t>
  </si>
  <si>
    <t>Reddit r/PersonalFinanceCanada</t>
  </si>
  <si>
    <t>Communauté CA #1</t>
  </si>
  <si>
    <t>Wiki TFSA/REER · FHSA · expériences DIY · questions</t>
  </si>
  <si>
    <t>Vérifier règles CA · expériences réelles · erreurs communes</t>
  </si>
  <si>
    <t>MoneySense Tax Centre</t>
  </si>
  <si>
    <t>moneysense.ca/taxes</t>
  </si>
  <si>
    <t>Guides REER/FHSA · comparateurs · limites · délais</t>
  </si>
  <si>
    <t>Références accessibles · vérification règles annuelles</t>
  </si>
  <si>
    <t>PWL Capital</t>
  </si>
  <si>
    <t>pwlcapital.com/resources</t>
  </si>
  <si>
    <t>CA Pro</t>
  </si>
  <si>
    <t>Recherches evidence-based · Ben Felix · withholding taxes</t>
  </si>
  <si>
    <t>Source CFP-niveau · validation allocations T1-T4</t>
  </si>
  <si>
    <t>Reddit r/financepersonnelle</t>
  </si>
  <si>
    <t>Communauté QC</t>
  </si>
  <si>
    <t>Finance QC spécifique · Revenu QC · FTQ · culture QC</t>
  </si>
  <si>
    <t>Questions spécifiques QC · FTQ · REER QC · fiscalité QC</t>
  </si>
  <si>
    <t>BMO Maison calculator</t>
  </si>
  <si>
    <t>bmo.com/hypotheque</t>
  </si>
  <si>
    <t>Outil BMO</t>
  </si>
  <si>
    <t>Calculateur hypothèque · versements · amortissement</t>
  </si>
  <si>
    <t>Simuler hypothèque avec mise $100K · versements 2030</t>
  </si>
  <si>
    <t>TurboTax Canada Blog</t>
  </si>
  <si>
    <t>turbotax.intuit.ca/tips</t>
  </si>
  <si>
    <t>Guides fiscaux clairs · REER · FHSA · crédits · RAP</t>
  </si>
  <si>
    <t>Références pratiques · dates limites · conseils QC</t>
  </si>
  <si>
    <t>FTQ Solidarité</t>
  </si>
  <si>
    <t>fondsftq.com</t>
  </si>
  <si>
    <t>QC officiel</t>
  </si>
  <si>
    <t>Crédit impôt 30% · conditions · REER admissible · rendement</t>
  </si>
  <si>
    <t>CONFIG!B35 statut FTQ · économie ~$1,500 impôt/an</t>
  </si>
  <si>
    <t>REER vs CELI Calculateur</t>
  </si>
  <si>
    <t>rrspvstfsa.ca</t>
  </si>
  <si>
    <t>Comparateur REER vs TFSA · taux marginal · scénarios</t>
  </si>
  <si>
    <t>Valider ordre cotisation: REER@52.98% &gt;&gt; TFSA</t>
  </si>
  <si>
    <t>CRA RRSP Home Buyers Plan</t>
  </si>
  <si>
    <t>canada.ca/rap</t>
  </si>
  <si>
    <t>RAP $60K max · conditions · remboursement 15 ans</t>
  </si>
  <si>
    <t>REER→RAP $60K + FHSA $40K = $100K mise 2030</t>
  </si>
  <si>
    <t>Tawcan</t>
  </si>
  <si>
    <t>tawcan.com</t>
  </si>
  <si>
    <t>Blog CA dividendes</t>
  </si>
  <si>
    <t>FIRE dividendes CA · ETF · budget · transparence mensuelle</t>
  </si>
  <si>
    <t>Modèle dividendes TFSA à long terme · ENB/XEI stratégie</t>
  </si>
  <si>
    <t>Coupler.io GOOGLEFINANCE Guide</t>
  </si>
  <si>
    <t>blog.coupler.io</t>
  </si>
  <si>
    <t>Tutoriel avancé</t>
  </si>
  <si>
    <t>GOOGLEFINANCE avancé · alternatives · erreurs #N/A · fallback</t>
  </si>
  <si>
    <t>Gérer erreurs GOOGLEFINANCE · fallback CONFIG!B3</t>
  </si>
  <si>
    <t>Google Apps Script Doc</t>
  </si>
  <si>
    <t>developers.google.com/apps-script</t>
  </si>
  <si>
    <t>Officiel Google</t>
  </si>
  <si>
    <t>Scripts automation · triggers · API · mail · sheets</t>
  </si>
  <si>
    <t>Automatiser MAJ portfolio · alertes prix par email</t>
  </si>
  <si>
    <t>Sheetgo Finance Blog</t>
  </si>
  <si>
    <t>sheetgo.com/blog</t>
  </si>
  <si>
    <t>Tutoriels avancés</t>
  </si>
  <si>
    <t>GOOGLEFINANCE · intégrations · modèles financiers</t>
  </si>
  <si>
    <t>Modèles portefeuille dynamiques · inspiration fichier</t>
  </si>
  <si>
    <t>MapleMoney Show</t>
  </si>
  <si>
    <t>maplemoney.com</t>
  </si>
  <si>
    <t>Podcast/blog CA</t>
  </si>
  <si>
    <t>Gestion finances · FIRE CA · invités experts CA</t>
  </si>
  <si>
    <t>Contenu accessible · spécifique CA · large audience</t>
  </si>
  <si>
    <t>Reddit r/CanadianInvestor</t>
  </si>
  <si>
    <t>Communauté CA</t>
  </si>
  <si>
    <t>Titres CA · ETF · analyses · actualités · TSX</t>
  </si>
  <si>
    <t>Discussion titres CA · ENB/TD/XEI · sentiment communauté</t>
  </si>
  <si>
    <t>Trading Economics</t>
  </si>
  <si>
    <t>tradingeconomics.com/canada</t>
  </si>
  <si>
    <t>CA+US+Global</t>
  </si>
  <si>
    <t>CPI CA · PIB · chômage · taux · balance commerciale</t>
  </si>
  <si>
    <t>Dashboard macro CA · anticiper BdC · contexte ENB</t>
  </si>
  <si>
    <t>Statistics Canada</t>
  </si>
  <si>
    <t>statcan.gc.ca</t>
  </si>
  <si>
    <t>PIB · IPC · emploi · démographie · immobilier · salaires</t>
  </si>
  <si>
    <t>Contexte inflation CA · signal taux REER/achat maison</t>
  </si>
  <si>
    <t>World Bank Open Data</t>
  </si>
  <si>
    <t>data.worldbank.org</t>
  </si>
  <si>
    <t>PIB mondial · dette · commerce · développement</t>
  </si>
  <si>
    <t>Contexte diversification VDU · marchés émergents</t>
  </si>
  <si>
    <t>IMF World Economic Outlook</t>
  </si>
  <si>
    <t>imf.org/en/Publications/WEO</t>
  </si>
  <si>
    <t>Biannuel</t>
  </si>
  <si>
    <t>Prévisions croissance mondiale · risques · dette souveraine</t>
  </si>
  <si>
    <t>Contexte global macro · VDU/XEQT diversification</t>
  </si>
  <si>
    <t>JP Morgan Guide to the Markets</t>
  </si>
  <si>
    <t>US+Global</t>
  </si>
  <si>
    <t>Graphiques institutionnels trimestriels · valorisations · cycles</t>
  </si>
  <si>
    <t>Référence institutional-grade · allocations sectorielles</t>
  </si>
  <si>
    <t>Goldman Sachs Briefings</t>
  </si>
  <si>
    <t>goldmansachs.com/insights</t>
  </si>
  <si>
    <t>Macro · S&amp;P500 target · secteurs · taux · devise</t>
  </si>
  <si>
    <t>Cibles S&amp;P500 · contexte pour VFV/QQQM/SMH</t>
  </si>
  <si>
    <t>Refinitiv/LSEG Economic Calendar</t>
  </si>
  <si>
    <t>Calendrier indicateurs économiques mondial · consensus</t>
  </si>
  <si>
    <t>Préparer semaines de données macro sensibles</t>
  </si>
  <si>
    <t>OECD Data</t>
  </si>
  <si>
    <t>data.oecd.org</t>
  </si>
  <si>
    <t>OCDE</t>
  </si>
  <si>
    <t>Comparaisons internationales · productivité · inégalités</t>
  </si>
  <si>
    <t>Contexte structurel CA vs US · données longue durée</t>
  </si>
  <si>
    <t>Wealthsimple Tax Guide</t>
  </si>
  <si>
    <t>wealthsimple.com/fr-ca/learn</t>
  </si>
  <si>
    <t>Articles accessibles · REER · FHSA · TFSA · dividendes CA</t>
  </si>
  <si>
    <t>Guide rapide · explications vulgarisées</t>
  </si>
  <si>
    <t>Revenu QC Taux Inclusion</t>
  </si>
  <si>
    <t>Gains capital · taux 50% &lt;$250K · inclusion modifiée</t>
  </si>
  <si>
    <t>Clarté fiscale ventes T1/T2 hors comptes enregistrés</t>
  </si>
  <si>
    <t>Ben Collins Sheets</t>
  </si>
  <si>
    <t>benlcollins.com</t>
  </si>
  <si>
    <t>Expert GSheets</t>
  </si>
  <si>
    <t>Formules avancées · QUERY · ARRAYFORMULA · Apps Script</t>
  </si>
  <si>
    <t>Formules QUERY pour filtrer portfolio par tier/compte</t>
  </si>
  <si>
    <t>Xtractor GOOGLEFINANCE Formulas</t>
  </si>
  <si>
    <t>xtractor.app</t>
  </si>
  <si>
    <t>Formules GOOGLEFINANCE avancées · YTD · ratio · watchlist</t>
  </si>
  <si>
    <t>Recettes prêtes à copier · formules complexes GSheets</t>
  </si>
  <si>
    <t>Google Sheets IMPORTXML/IMPORTDATA</t>
  </si>
  <si>
    <t>Documentation</t>
  </si>
  <si>
    <t>Scraper données web · JSON · CSV · API sans clé</t>
  </si>
  <si>
    <t>Importer données alternatives si GOOGLEFINANCE tombe</t>
  </si>
  <si>
    <t>Hedge Think GOOGLEFINANCE</t>
  </si>
  <si>
    <t>hedgethink.com</t>
  </si>
  <si>
    <t>Tutoriels</t>
  </si>
  <si>
    <t>Syntaxe complète · cas pratiques · exemples historiques</t>
  </si>
  <si>
    <t>Référence historique tickers GOOGLEFINANCE · TSX format</t>
  </si>
  <si>
    <t>Finoptimal GSheets Finance</t>
  </si>
  <si>
    <t>finoptimal.com</t>
  </si>
  <si>
    <t>Guide complet</t>
  </si>
  <si>
    <t>Best practices GSheets financier · organisation · validation</t>
  </si>
  <si>
    <t>Architecture fichier · validation données · CONFIG best practices</t>
  </si>
  <si>
    <t>ExcelJet Financial Functions</t>
  </si>
  <si>
    <t>exceljet.net</t>
  </si>
  <si>
    <t>Référence formules</t>
  </si>
  <si>
    <t>NPV · IRR · XIRR · FV · PV · PMT · RATE expliqués</t>
  </si>
  <si>
    <t>Formules projetions FI · projections REER/FHSA</t>
  </si>
  <si>
    <t>Brookfield Asset Mgmt Research</t>
  </si>
  <si>
    <t>Infrastructure · real assets · analyses institutionnelles</t>
  </si>
  <si>
    <t>Contexte REITs CA · infrastructure énergie ENB/GEV</t>
  </si>
  <si>
    <t>Build Wealth Canada</t>
  </si>
  <si>
    <t>buildwealthcanada.ca</t>
  </si>
  <si>
    <t>FIRE CA · optimisation · REER/TFSA · décaissement anticipé</t>
  </si>
  <si>
    <t>Cas pratiques FIRE CA · retrait 55 ans · RAP stratégie</t>
  </si>
  <si>
    <t>Millennial Revolution</t>
  </si>
  <si>
    <t>millennialrevolution.com</t>
  </si>
  <si>
    <t>Blog CA FIRE</t>
  </si>
  <si>
    <t>Math FI · FI sans immobilier · ETF index · anti-hystérie</t>
  </si>
  <si>
    <t>Référence FIRE 31 ans CA · "Quit Like a Millionaire"</t>
  </si>
  <si>
    <t>Mr. Money Mustache</t>
  </si>
  <si>
    <t>mrmoneymustache.com</t>
  </si>
  <si>
    <t>Blog US FIRE</t>
  </si>
  <si>
    <t>Frugalité · SWR 4% · index funds · FIRE mindset</t>
  </si>
  <si>
    <t>Philosophie FI fondatrice · SWR · taux retrait $2.1M</t>
  </si>
  <si>
    <t>ChooseFI</t>
  </si>
  <si>
    <t>choosefi.com</t>
  </si>
  <si>
    <t>Podcast US/CA</t>
  </si>
  <si>
    <t>Stratégies FI · tax optimization · geo-arbitrage · FIRE stories</t>
  </si>
  <si>
    <t>Épisodes fondateurs FI · adapter au contexte CA</t>
  </si>
  <si>
    <t>Early Retirement Now</t>
  </si>
  <si>
    <t>earlyretirementnow.com</t>
  </si>
  <si>
    <t>Recherche SWR</t>
  </si>
  <si>
    <t>Safe Withdrawal Rate research · 40-60 ans · série exhaustive</t>
  </si>
  <si>
    <t>SWR 3.5% vs 4% · durée 25 ans FI · risque séquence</t>
  </si>
  <si>
    <t>Stingy Investor</t>
  </si>
  <si>
    <t>ndir.com</t>
  </si>
  <si>
    <t>Blog CA value</t>
  </si>
  <si>
    <t>Analyse value · dividendes CA · données historiques TSX</t>
  </si>
  <si>
    <t>Recherche value CA · données historiques dividendes CA</t>
  </si>
  <si>
    <t>Portfolio Visualizer</t>
  </si>
  <si>
    <t>portfoliovisualizer.com</t>
  </si>
  <si>
    <t>Backtesting</t>
  </si>
  <si>
    <t>Backtest · Monte Carlo · corrélation · optimisation</t>
  </si>
  <si>
    <t>Tester hypothèses allocation AVGO/VFV/SCHD 2010-2026</t>
  </si>
  <si>
    <t>Reddit r/ExpatFIRE / r/Fire</t>
  </si>
  <si>
    <t>Communauté US/CA</t>
  </si>
  <si>
    <t>FIRE international · SWR · décaissement · géo-arbitrage</t>
  </si>
  <si>
    <t>Benchmarks FIRE globaux · SWR $2.1M · expériences</t>
  </si>
  <si>
    <t>Wealthsimple Calculators</t>
  </si>
  <si>
    <t>wealthsimple.com/fr-ca/calculateurs</t>
  </si>
  <si>
    <t>Outils CA</t>
  </si>
  <si>
    <t>B</t>
  </si>
  <si>
    <t>REER · CELI · FHSA · retraite · compound interest</t>
  </si>
  <si>
    <t>Calculateurs rapides · vérifier hypothèses croissance</t>
  </si>
  <si>
    <t>Google Sheets Conditional Formatting</t>
  </si>
  <si>
    <t>ANALYSE TECHNIQUE</t>
  </si>
  <si>
    <t>Règles conditionnelles · couleurs · formules · alertes visuelles</t>
  </si>
  <si>
    <t>Alertes prix ALERTES onglet · code couleur Tiers</t>
  </si>
  <si>
    <t>Gestion-de-Portefeuille.com</t>
  </si>
  <si>
    <t>FR Finance</t>
  </si>
  <si>
    <t>Modèles Excel/GSheets · ratios · valorisation · templates</t>
  </si>
  <si>
    <t>Templates FR portefeuille · inspiration onglets</t>
  </si>
  <si>
    <t>Vertex42 Financial Templates</t>
  </si>
  <si>
    <t>vertex42.com</t>
  </si>
  <si>
    <t>Templates</t>
  </si>
  <si>
    <t>Modèles GSheets/Excel gratuits · budget · investissement · retraite</t>
  </si>
  <si>
    <t>Templates prêts: FIRE calculator · REER projection</t>
  </si>
  <si>
    <t>Apps Script Google Triggers</t>
  </si>
  <si>
    <t>Triggers time-based · email alerts · auto-MAJ cellules</t>
  </si>
  <si>
    <t>Automatiser: alerte email si titre &lt;prix cible ALERTES</t>
  </si>
  <si>
    <t>Semiconductor Industry Association</t>
  </si>
  <si>
    <t>semiconductors.org</t>
  </si>
  <si>
    <t>SECTEURS SPÉCIALISÉS</t>
  </si>
  <si>
    <t>Semis officiel</t>
  </si>
  <si>
    <t>Données marché semis · shipments · book-to-bill · cycles</t>
  </si>
  <si>
    <t>Santé cycle semis · timing SMH · book-to-bill signal</t>
  </si>
  <si>
    <t>Coefficient.io Formula Builder</t>
  </si>
  <si>
    <t>coefficient.io</t>
  </si>
  <si>
    <t>Outil + tutoriels</t>
  </si>
  <si>
    <t>Génération formules AI · GOOGLEFINANCE · connexions API</t>
  </si>
  <si>
    <t>Créer formules complexes GSheets plus rapidement</t>
  </si>
  <si>
    <t>FMP Add-on</t>
  </si>
  <si>
    <t>financialmodelingprep.com</t>
  </si>
  <si>
    <t>Add-on+API</t>
  </si>
  <si>
    <t>⚠️ Limité gratuit</t>
  </si>
  <si>
    <t>Données financières complètes · income · balance · cashflow</t>
  </si>
  <si>
    <t>Alternative Wisesheets · fondamentaux dans GSheets</t>
  </si>
  <si>
    <t>Superjoin Finance GSheets</t>
  </si>
  <si>
    <t>superjoin.ai</t>
  </si>
  <si>
    <t>AI + Sheets</t>
  </si>
  <si>
    <t>Génération formules AI · intégrations · analytics</t>
  </si>
  <si>
    <t>Accélérer construction formules complexes portfolio</t>
  </si>
  <si>
    <t>Google Sheets QUERY Function</t>
  </si>
  <si>
    <t>SQL-like queries · filtres · agrégations · tri dans GSheets</t>
  </si>
  <si>
    <t>Filtrer portfolio par Tier · QUERY(PORTEFEUILLE;...)</t>
  </si>
  <si>
    <t>CBOE Put/Call Ratio</t>
  </si>
  <si>
    <t>cboe.com/data/market-statistics</t>
  </si>
  <si>
    <t>Sentiment</t>
  </si>
  <si>
    <t>Put/Call · VIX term structure · fear &amp; greed · contrariant</t>
  </si>
  <si>
    <t>Sentiment extrême = signal buy opportuniste T1</t>
  </si>
  <si>
    <t>CNN Fear &amp; Greed</t>
  </si>
  <si>
    <t>cnn.com/markets/fear-and-greed</t>
  </si>
  <si>
    <t>Index 0-100 · 7 composantes · historique · extrêmes</t>
  </si>
  <si>
    <t>Peur extrême &lt;20 = signal buy · ancrage psychologique</t>
  </si>
  <si>
    <t>Finviz Heatmap</t>
  </si>
  <si>
    <t>finviz.com/map.ashx</t>
  </si>
  <si>
    <t>Visualisation</t>
  </si>
  <si>
    <t>Heatmap sectorielle · performance relative · taille = mktcap</t>
  </si>
  <si>
    <t>Identifier secteurs en dip · opportunités T1 sectoriels</t>
  </si>
  <si>
    <t>Multipl.com Market Valuation</t>
  </si>
  <si>
    <t>multipl.com</t>
  </si>
  <si>
    <t>Valorisation macro</t>
  </si>
  <si>
    <t>CAPE Shiller · P/E S&amp;P500 historique · PE médiane</t>
  </si>
  <si>
    <t>Contexte valorisation S&amp;P500 pour VFV · timing DCA</t>
  </si>
  <si>
    <t>Advisor Perspectives</t>
  </si>
  <si>
    <t>advisorperspectives.com</t>
  </si>
  <si>
    <t>Macro + Charts</t>
  </si>
  <si>
    <t>Charts institutionnels · cycles · rolling PE · moyennes mobiles</t>
  </si>
  <si>
    <t>Graphiques longue durée · contexte valorisation VFV/QQQ</t>
  </si>
  <si>
    <t>Isabelnet Charts</t>
  </si>
  <si>
    <t>isabelnet.com</t>
  </si>
  <si>
    <t>Charts institutionnels</t>
  </si>
  <si>
    <t>GS · JPM · BofA charts réutilisés · macro charts curated</t>
  </si>
  <si>
    <t>Source graphiques macro institutionnels réutilisables</t>
  </si>
  <si>
    <t>Canadian Real Estate Forum</t>
  </si>
  <si>
    <t>realestate.ca</t>
  </si>
  <si>
    <t>Immobilier CA</t>
  </si>
  <si>
    <t>Marché locatif · REITs CA · cap rates · tendances</t>
  </si>
  <si>
    <t>Contexte SRU.UN/REI.UN/ZRE.TO · cap rates CA</t>
  </si>
  <si>
    <t>REIT.com</t>
  </si>
  <si>
    <t>reit.com</t>
  </si>
  <si>
    <t>REITs US</t>
  </si>
  <si>
    <t>Données REITs · yields · FFO · NAV · performances</t>
  </si>
  <si>
    <t>Benchmarks REITs US vs CA · valorisation SRU/REI</t>
  </si>
  <si>
    <t>Commercial Edge</t>
  </si>
  <si>
    <t>commercialedge.com</t>
  </si>
  <si>
    <t>Immobilier com.</t>
  </si>
  <si>
    <t>Vacance bureaux · retail trends · cap rates par ville</t>
  </si>
  <si>
    <t>Santé REITs CA · SRU retail · contexte FHSA maison 2030</t>
  </si>
  <si>
    <t>Dividend Growth Investor</t>
  </si>
  <si>
    <t>dividendgrowthinvestor.com</t>
  </si>
  <si>
    <t>Dividendes US</t>
  </si>
  <si>
    <t>Aristocrats · Kings · historique · augmentations · screening</t>
  </si>
  <si>
    <t>Contexte dividendes croissance SCHD · ENB · MFC</t>
  </si>
  <si>
    <t>Grid Edge Intelligence (GE Vernova)</t>
  </si>
  <si>
    <t>GEV spécifique</t>
  </si>
  <si>
    <t>Rapports grid transformation · AI data centers · ordres</t>
  </si>
  <si>
    <t>Thèse GEV: 10,000 data centers + grid electrification</t>
  </si>
  <si>
    <t>AI Index Stanford HAI</t>
  </si>
  <si>
    <t>aiindex.stanford.edu</t>
  </si>
  <si>
    <t>IA recherche</t>
  </si>
  <si>
    <t>Adoption AI · capex · benchmarks · state of AI annuel</t>
  </si>
  <si>
    <t>Contexte spending AI → AVGO/GEV/GOOG/AMZN thèses</t>
  </si>
  <si>
    <t>World Nuclear Association</t>
  </si>
  <si>
    <t>world-nuclear.org</t>
  </si>
  <si>
    <t>Nucléaire</t>
  </si>
  <si>
    <t>Données réacteurs · demande uranium · politiques mondiales</t>
  </si>
  <si>
    <t>Fondamentaux HURA.TO · demande électricité AI</t>
  </si>
  <si>
    <t>Brookings Institution Energy Policy</t>
  </si>
  <si>
    <t>Think tank</t>
  </si>
  <si>
    <t>Politiques énergie · transition · grille · réglementations</t>
  </si>
  <si>
    <t>Contexte politique GEV/ENB · transition climatique US/CA</t>
  </si>
  <si>
    <t>Morgan Housel Psychology of Money</t>
  </si>
  <si>
    <t>Livre/blog</t>
  </si>
  <si>
    <t>⚠️ Livre</t>
  </si>
  <si>
    <t>Biais · long-termisme · humilité · temps = l'avantage</t>
  </si>
  <si>
    <t>Fondation psychologique décisions · patience T1</t>
  </si>
  <si>
    <t>Ratehub.ca</t>
  </si>
  <si>
    <t>ratehub.ca</t>
  </si>
  <si>
    <t>Comparateur CA</t>
  </si>
  <si>
    <t>HISA · taux hypothèques · CPG · cartes crédit · assurance</t>
  </si>
  <si>
    <t>Comparer HISA EQ Bank vs concurrents · taux hypothèque 2030</t>
  </si>
  <si>
    <t>LowestRates.ca</t>
  </si>
  <si>
    <t>lowestrates.ca</t>
  </si>
  <si>
    <t>Taux hypothèques · assurances · CPG · prêts auto</t>
  </si>
  <si>
    <t>Contexte taux hypothèques 2030 · planification achat maison</t>
  </si>
  <si>
    <t>Nesto.ca</t>
  </si>
  <si>
    <t>nesto.ca</t>
  </si>
  <si>
    <t>Hypothèque CA</t>
  </si>
  <si>
    <t>Taux hypothèques · calendrier BdC · préqualification</t>
  </si>
  <si>
    <t>Planification maison 2030 · impact taux · mise $100K</t>
  </si>
  <si>
    <t>CMHC</t>
  </si>
  <si>
    <t>cmhc-schl.gc.ca</t>
  </si>
  <si>
    <t>Officiel CA logement</t>
  </si>
  <si>
    <t>Données marché immobilier · assurance mise &lt;20% · règles</t>
  </si>
  <si>
    <t>Règles mise de fonds · RAP/FHSA · marché QC/Nunavik</t>
  </si>
  <si>
    <t>CDIC</t>
  </si>
  <si>
    <t>cdic.ca</t>
  </si>
  <si>
    <t>Protection officielle</t>
  </si>
  <si>
    <t>Protection dépôts $100K/catégorie · HISA éligibilité</t>
  </si>
  <si>
    <t>Vérifier protection EQ Bank HISA · CDIC membre</t>
  </si>
  <si>
    <t>REER et maison Guide</t>
  </si>
  <si>
    <t>canada.ca/rap-guide</t>
  </si>
  <si>
    <t>RAP complet · $60K max · admissibilité · remboursement</t>
  </si>
  <si>
    <t>Plan RAP $60K + FHSA $40K = $100K mise 2030</t>
  </si>
  <si>
    <t>Insurance Bureau of Canada</t>
  </si>
  <si>
    <t>ibc.ca</t>
  </si>
  <si>
    <t>Assurance CA</t>
  </si>
  <si>
    <t>Assurance vie · invalidité · habitation · analyses</t>
  </si>
  <si>
    <t>Planification assurance invalidité (policier) · protection</t>
  </si>
  <si>
    <t>FIRE CA · optimisation · REER/TFSA · décaissement</t>
  </si>
  <si>
    <t>Cas pratiques · retrait anticipé · spécifique CA</t>
  </si>
  <si>
    <t>We Study Billionaires</t>
  </si>
  <si>
    <t>theinvestorspodcast.com</t>
  </si>
  <si>
    <t>Podcast US</t>
  </si>
  <si>
    <t>Analyse titres · Warren Buffett · Dalio · thèses</t>
  </si>
  <si>
    <t>Thèses approfondies · approche value · T1 inspiration</t>
  </si>
  <si>
    <t>Acquired Podcast</t>
  </si>
  <si>
    <t>acquired.fm</t>
  </si>
  <si>
    <t>Podcast US tech</t>
  </si>
  <si>
    <t>Histoire entreprises: Amazon · NVIDIA · TSMC profond</t>
  </si>
  <si>
    <t>Contexte qualitatif AMZN/NVDA/GOOG · moat profond</t>
  </si>
  <si>
    <t>REER maison calculator</t>
  </si>
  <si>
    <t>rbc.com/homebuying/rrsp-home-buyers-plan</t>
  </si>
  <si>
    <t>Outil RBC</t>
  </si>
  <si>
    <t>Simulation RAP · épargne REER pour maison · calendrier</t>
  </si>
  <si>
    <t>Simuler REER $60K RAP · timing 2030 · remboursement</t>
  </si>
  <si>
    <t>Fonds Solidarité FTQ</t>
  </si>
  <si>
    <t>fondsftq.com/fr</t>
  </si>
  <si>
    <t>Crédit impôt 30% · rendement · liquidité · conditions retrait</t>
  </si>
  <si>
    <t>FTQ REER QC · crédit 30% = ~$1,500 économie impôt/an</t>
  </si>
  <si>
    <t>Claude (Anthropic) + Web Search</t>
  </si>
  <si>
    <t>IA · Copilote</t>
  </si>
  <si>
    <t>Synthèse · analyse · calculs · fichier · stratégie FI $2.1M</t>
  </si>
  <si>
    <t>⭐⭐⭐⭐⭐ Copilote central · toutes les sources en un</t>
  </si>
  <si>
    <t>PortfoliosLab ETF Comparison</t>
  </si>
  <si>
    <t>portfolioslab.com</t>
  </si>
  <si>
    <t>ETFs CANADIENS</t>
  </si>
  <si>
    <t>Comparateur ETF</t>
  </si>
  <si>
    <t>Comparaison VFV.TO/XEQT.TO/VEQT · Sharpe · drawdown · rendement</t>
  </si>
  <si>
    <t>Analyse FHSA S34-S35 · XEQT vs VFV Sharpe 1.46 vs 0.83</t>
  </si>
  <si>
    <t>13/03/2026</t>
  </si>
  <si>
    <t>Utilisé S34-S35</t>
  </si>
  <si>
    <t>Canadian Portfolio Manager Blog</t>
  </si>
  <si>
    <t>Blog CA pro</t>
  </si>
  <si>
    <t>Rendements annuels all-equity ETFs CA · XEQT/VEQT/ZEQT comparés</t>
  </si>
  <si>
    <t>Référence rendements 2025: XEQT+VEQT +20.5% vs VFV +12.18%</t>
  </si>
  <si>
    <t>Global Macro Monitor</t>
  </si>
  <si>
    <t>global-macro-monitor.com</t>
  </si>
  <si>
    <t>MACRO &amp; GÉOPOLITIQUE</t>
  </si>
  <si>
    <t>Macro indépendant</t>
  </si>
  <si>
    <t>Analyses chocs pétroliers · Iran · rotation sectorielle mars 2026</t>
  </si>
  <si>
    <t>Contexte Iran/pétrole/WTI S34 · oil shock vs resilience</t>
  </si>
  <si>
    <t>Wikipedia Economic Impact 2026 Iran War</t>
  </si>
  <si>
    <t>en.wikipedia.org/wiki/Economic_impact_of_the_2026_Iran_war</t>
  </si>
  <si>
    <t>Encyclopédie</t>
  </si>
  <si>
    <t>Impact économique guerre Iran 2026 · pétrole · marchés · géopolitique</t>
  </si>
  <si>
    <t>Contexte macro S34 · opération Epic Fury · Ormuz</t>
  </si>
  <si>
    <t>Boomer &amp; Echo Investment Returns</t>
  </si>
  <si>
    <t>boomerandecho.com</t>
  </si>
  <si>
    <t>Blog CA</t>
  </si>
  <si>
    <t>Rendements annuels 2024-2025 ETFs CA · VFV/XEQT/VEQT historique</t>
  </si>
  <si>
    <t>Validation historique rendements · VFV 2024 +35.24% vs 2025 +12.18%</t>
  </si>
  <si>
    <t>BlackRock XEQT Product Brief</t>
  </si>
  <si>
    <t>Fiche produit XEQT · composition 45%US/25%CA/25%intl/5%EM · MER 0.20%</t>
  </si>
  <si>
    <t>Source primaire XEQT · allocation géographique officielle</t>
  </si>
  <si>
    <t>WealthRadiant XEQT vs VFV</t>
  </si>
  <si>
    <t>wealthradiant.com</t>
  </si>
  <si>
    <t>Analyse CA</t>
  </si>
  <si>
    <t>Comparaison détaillée XEQT vs VFV · profil investisseur · cas usage</t>
  </si>
  <si>
    <t>Argument 100% XEQT pour investisseur déjà exposé US S34</t>
  </si>
  <si>
    <t>Vanguard Canada VEQT Fact Sheet</t>
  </si>
  <si>
    <t>fund-docs.vanguard.com</t>
  </si>
  <si>
    <t>VEQT · 44.6%US/30.2%CA/18.5%intl/6.7%EM · MER 0.24%</t>
  </si>
  <si>
    <t>Comparaison VEQT vs XEQT S34 · plus Canada (30% vs 25%)</t>
  </si>
  <si>
    <t>Seeking Alpha XEQT Analysis</t>
  </si>
  <si>
    <t>Analyse indép.</t>
  </si>
  <si>
    <t>Analyse XEQT diversification · défensivité vs S&amp;P 500 pur</t>
  </si>
  <si>
    <t>Contexte XEQT S34 · broad diversification for defensiveness</t>
  </si>
  <si>
    <t>Fidelity Canada FEQT</t>
  </si>
  <si>
    <t>fidelity.ca</t>
  </si>
  <si>
    <t>FEQT · MER 0.43% · 3% BTC · rendement 3 ans 15.74% · facteurs actifs</t>
  </si>
  <si>
    <t>Alternative FEQT évaluée S34 · meilleur 3 ans mais MER élevé</t>
  </si>
  <si>
    <t>CORPS &amp; PERFORMANCE</t>
  </si>
  <si>
    <t>Science entraînement</t>
  </si>
  <si>
    <t>Modélisation financière · dashboards · NPV · amortisation</t>
  </si>
  <si>
    <t>Formation structurée GSheets financier · FIRE modeling</t>
  </si>
  <si>
    <t>Alan Aragon Research Review</t>
  </si>
  <si>
    <t>alanaragon.com</t>
  </si>
  <si>
    <t>Nutrition science</t>
  </si>
  <si>
    <t>20 ans historique · income statement · ratios · WISE()</t>
  </si>
  <si>
    <t>Fondamentaux AVGO/GOOG dans Google Sheets direct</t>
  </si>
  <si>
    <t>Jeff Nippard (YouTube/Site)</t>
  </si>
  <si>
    <t>youtube.com/@JeffNippard</t>
  </si>
  <si>
    <t>PPL evidence-based</t>
  </si>
  <si>
    <t>Macro · AI · tech · réglementation · discussion ouverte</t>
  </si>
  <si>
    <t>Contexte AI/tech · no-nonsense · bull/bear debates</t>
  </si>
  <si>
    <t>BJJ Fanatics</t>
  </si>
  <si>
    <t>bjjfanatics.com</t>
  </si>
  <si>
    <t>BJJ technique</t>
  </si>
  <si>
    <t>Définitions · tutoriels · ratios · stratégies · simulations</t>
  </si>
  <si>
    <t>Vérifier définitions · comprendre métriques nouvelles</t>
  </si>
  <si>
    <t>Suppléments science</t>
  </si>
  <si>
    <t>Analyses institutionnelles · ESG · allocations · éthique</t>
  </si>
  <si>
    <t>Niveau CFP/CFA · valider approches d'allocation</t>
  </si>
  <si>
    <t>Atomic Habits — James Clear</t>
  </si>
  <si>
    <t>jamesclear.com</t>
  </si>
  <si>
    <t>CULTURE &amp; DÉVELOPPEMENT</t>
  </si>
  <si>
    <t>Habits / systèmes</t>
  </si>
  <si>
    <t>Gestion active vs passive · evidence CA · coûts</t>
  </si>
  <si>
    <t>Perspective professionnelle CA · critique fonds actifs</t>
  </si>
  <si>
    <t>Morgan Housel Blog</t>
  </si>
  <si>
    <t>collabfund.com/blog</t>
  </si>
  <si>
    <t>Finance / psychologie</t>
  </si>
  <si>
    <t>Vidéos evidence-based · facteurs · erreurs courantes</t>
  </si>
  <si>
    <t>Best vulgarisation finance CA · anti-hype · fiable</t>
  </si>
  <si>
    <t>Centris.ca</t>
  </si>
  <si>
    <t>centris.ca</t>
  </si>
  <si>
    <t>PROJET DE VIE · MAISON</t>
  </si>
  <si>
    <t>Immobilier QC officiel</t>
  </si>
  <si>
    <t>Forums FIRE · calculateurs · expériences · ressources</t>
  </si>
  <si>
    <t>Communauté FI CA · partage · validation stratégies</t>
  </si>
  <si>
    <t>SCHL — Société hypothèque Canada</t>
  </si>
  <si>
    <t>Hypothèque CA officiel</t>
  </si>
  <si>
    <t>Simulation Monte Carlo · SWR · durée · actifs</t>
  </si>
  <si>
    <t>Simuler SWR $2.1M · durée 30 ans · scénarios marchés</t>
  </si>
  <si>
    <t>NutritionFacts.org — Dr Greger</t>
  </si>
  <si>
    <t>nutritionfacts.org</t>
  </si>
  <si>
    <t>Nutrition evidence-based</t>
  </si>
  <si>
    <t>Analyses profondes chips · AI · wafer · supply chain</t>
  </si>
  <si>
    <t>Contexte AVGO custom silicon · NVDA · SMH thèse</t>
  </si>
  <si>
    <t>Wood Mackenzie Energy</t>
  </si>
  <si>
    <t>woodmac.com</t>
  </si>
  <si>
    <t>Énergie pro</t>
  </si>
  <si>
    <t>Analyses pipeline · énergie renouvelable · transition</t>
  </si>
  <si>
    <t>Contexte ENB · GEV grid · transition énergétique</t>
  </si>
  <si>
    <t>Calculateur REER ARC</t>
  </si>
  <si>
    <t>canada.ca/calculateur-reer</t>
  </si>
  <si>
    <t>Économies REER · projection · taux effectif</t>
  </si>
  <si>
    <t>Valider calculs économies REER 52.98% ·$1,060/mois</t>
  </si>
  <si>
    <t>TradingView Charts</t>
  </si>
  <si>
    <t>Graphiques avancés</t>
  </si>
  <si>
    <t>MA20/50/200 · RSI · MACD · Bollinger · volumes · alertes</t>
  </si>
  <si>
    <t>Analyse T1 avant achat · supports clés SMH/AVGO/GEV</t>
  </si>
  <si>
    <t>Stockcharts.com</t>
  </si>
  <si>
    <t>Technique pro</t>
  </si>
  <si>
    <t>Point&amp;Figure · SCTR · breadth · secteurs · ratio charts</t>
  </si>
  <si>
    <t>Analyse sectorielle tech/semis · force relative T1 vs TSX</t>
  </si>
  <si>
    <t>Barchart Options Flow</t>
  </si>
  <si>
    <t>barchart.com/stocks/unusual-activity</t>
  </si>
  <si>
    <t>Options/Activité</t>
  </si>
  <si>
    <t>Activité options inhabituelles · smart money signals</t>
  </si>
  <si>
    <t>Détecter activité institutionnelle avant earnings T1</t>
  </si>
  <si>
    <t>Uranium Insider</t>
  </si>
  <si>
    <t>uraniuminsider.com</t>
  </si>
  <si>
    <t>Uranium</t>
  </si>
  <si>
    <t>Spot price · utilities · contrats · production · reactor builds</t>
  </si>
  <si>
    <t>Contexte HURA.TO · cycle uranium long terme T3</t>
  </si>
  <si>
    <t>The Information AI</t>
  </si>
  <si>
    <t>theinformation.com</t>
  </si>
  <si>
    <t>AI/Tech</t>
  </si>
  <si>
    <t>Scoop AI · hyperscalers capex · modèles · deals</t>
  </si>
  <si>
    <t>Contexte AI spending → AVGO/GEV/GOOG/AMZN</t>
  </si>
  <si>
    <t>HSBC Global Research (via Bloomberg)</t>
  </si>
  <si>
    <t>Macro international</t>
  </si>
  <si>
    <t>Analyses géopolitiques · devises · marchés émergents</t>
  </si>
  <si>
    <t>Contexte macro global · risques géopolitiques USD/CAD</t>
  </si>
  <si>
    <t>Sentimentrader</t>
  </si>
  <si>
    <t>sentimentrader.com</t>
  </si>
  <si>
    <t>Sentiment pro</t>
  </si>
  <si>
    <t>Smart money vs dumb money · sentiment historique · breadth</t>
  </si>
  <si>
    <t>Contexte sentiment pro · signaux contrarians avancés</t>
  </si>
  <si>
    <t>S&amp;P Global Platts Energy</t>
  </si>
  <si>
    <t>spglobal.com/commodity-insights</t>
  </si>
  <si>
    <t>Énergie données</t>
  </si>
  <si>
    <t>Prix pétrole/gaz · LNG · pipeline · data Platts</t>
  </si>
  <si>
    <t>Fondements ENB.TO · valorisation infrastructures</t>
  </si>
  <si>
    <t>Passiv App</t>
  </si>
  <si>
    <t>passiv.com</t>
  </si>
  <si>
    <t>Portfolio manager CA</t>
  </si>
  <si>
    <t>Questrade integration · rebalancement auto · alloc cibles</t>
  </si>
  <si>
    <t>Automatiser rebalancement Questrade · si décaissement FI</t>
  </si>
  <si>
    <t>📊  TABLEAU DE BORD  ·  STATISTIQUES INDICE  ·  Mise à jour automatique à chaque session</t>
  </si>
  <si>
    <t>TOTAL SOURCES</t>
  </si>
  <si>
    <t>220</t>
  </si>
  <si>
    <t>B (&lt;75)</t>
  </si>
  <si>
    <t>62</t>
  </si>
  <si>
    <t>⚙️  RÈGLES D'INDEXATION  ·  Comment ce classement fonctionne  ·  Inspiré du comité S&amp;P 500</t>
  </si>
  <si>
    <t>R1 — ENTRÉE</t>
  </si>
  <si>
    <t>Une source entre dans l'indice si : fiabilité ≥B+ ET pertinence directe au portfolio ET données vérifiables. Évaluation chaque session.</t>
  </si>
  <si>
    <t>R2 — SORTIE</t>
  </si>
  <si>
    <t>Une source sort si : URL morte, données fausses répétées, remplacée par meilleure source, ou devenue inaccessible. Statut → 🔴 RETIRÉ.</t>
  </si>
  <si>
    <t>R3 — UPGRADE</t>
  </si>
  <si>
    <t>Upgrade de tier si : nouvelles données actionnables, usage actif confirmé 2+ sessions, score +5 ou plus après validation réelle.</t>
  </si>
  <si>
    <t>R4 — DOWNGRADE</t>
  </si>
  <si>
    <t>Downgrade si : donnée incorrecte constatée, accès limité devenu bloquant, ou remplacement par meilleure source dans le même domaine.</t>
  </si>
  <si>
    <t>R5 — REBALANCEMENT</t>
  </si>
  <si>
    <t>Rebalancement trimestriel : Q1 (mars), Q2 (juin), Q3 (sept), Q4 (déc). Score recalculé. Nouvelles sources évaluées. Max 200 sources actives.</t>
  </si>
  <si>
    <t>R6 — SCORE</t>
  </si>
  <si>
    <t>Score /100 = Fiabilité source (30) + Pertinence portfolio (25) + Fraîcheur données (20) + Accessibilité (15) + Profondeur contenu (10)</t>
  </si>
  <si>
    <t>💪  CORPS &amp; PERFORMANCE  ·  Cerveau physique de HeyOS  ·  Mis à jour chaque session</t>
  </si>
  <si>
    <t>PRs documentés · Programme PPL · Blessures · Objectifs · Nutrition</t>
  </si>
  <si>
    <t>① PROFIL PHYSIQUE ACTUEL</t>
  </si>
  <si>
    <t>Taille</t>
  </si>
  <si>
    <t>6'0"</t>
  </si>
  <si>
    <t>stable</t>
  </si>
  <si>
    <t>Poids actuel</t>
  </si>
  <si>
    <t>170-175 lbs</t>
  </si>
  <si>
    <t>objectif: 190 lbs lean · S32 confirmé</t>
  </si>
  <si>
    <t>% gras estimé</t>
  </si>
  <si>
    <t>⬜ à mesurer</t>
  </si>
  <si>
    <t>Niveau fitness général</t>
  </si>
  <si>
    <t>Élevé</t>
  </si>
  <si>
    <t>policier actif, entraînement régulier</t>
  </si>
  <si>
    <t>Suppléments actifs</t>
  </si>
  <si>
    <t>Protéine + Créatine</t>
  </si>
  <si>
    <t>revoir dosage si objectif 190 lbs</t>
  </si>
  <si>
    <t>Équipement ON (Nunavik)</t>
  </si>
  <si>
    <t>Limité</t>
  </si>
  <si>
    <t>bodyweight + disponible sur place</t>
  </si>
  <si>
    <t>Équipement OFF (maison)</t>
  </si>
  <si>
    <t>Home gym complet</t>
  </si>
  <si>
    <t>PPL full program</t>
  </si>
  <si>
    <t>② PERSONAL RECORDS (PRs)  ·  Mis à jour à chaque mention entraînement</t>
  </si>
  <si>
    <t>EXERCICE</t>
  </si>
  <si>
    <t>PR ACTUEL</t>
  </si>
  <si>
    <t>NOTES</t>
  </si>
  <si>
    <t>Bench Press</t>
  </si>
  <si>
    <t>205 lbs</t>
  </si>
  <si>
    <t>225 lbs</t>
  </si>
  <si>
    <t>Squat</t>
  </si>
  <si>
    <t>275 lbs</t>
  </si>
  <si>
    <t>315 lbs</t>
  </si>
  <si>
    <t>Deadlift</t>
  </si>
  <si>
    <t>365 lbs</t>
  </si>
  <si>
    <t>Overhead Press (OHP)</t>
  </si>
  <si>
    <t>135 lbs</t>
  </si>
  <si>
    <t>155 lbs</t>
  </si>
  <si>
    <t>Pull-ups</t>
  </si>
  <si>
    <t>15 reps</t>
  </si>
  <si>
    <t>5km Course</t>
  </si>
  <si>
    <t>24:30</t>
  </si>
  <si>
    <t>22:00</t>
  </si>
  <si>
    <t>standard policier maintenu</t>
  </si>
  <si>
    <t>1km Course</t>
  </si>
  <si>
    <t>③ ÉTAT ACTUEL — S32 · 13 mars 2026</t>
  </si>
  <si>
    <t>Fréquence entraînement</t>
  </si>
  <si>
    <t>2-3x / semaine</t>
  </si>
  <si>
    <t>Mix actuel</t>
  </si>
  <si>
    <t>PPL + Course + Yoga + BJJ</t>
  </si>
  <si>
    <t>BJJ — dernière session</t>
  </si>
  <si>
    <t>Plus de 6 mois</t>
  </si>
  <si>
    <t>Dernier 5km chronométré</t>
  </si>
  <si>
    <t>~24-25 min</t>
  </si>
  <si>
    <t>Énergie / sommeil</t>
  </si>
  <si>
    <t>Bon — stable</t>
  </si>
  <si>
    <t>③ PROGRAMME PPL  ·  Adapté 2on/2off</t>
  </si>
  <si>
    <t>PUSH — Chest·Shoulders·Triceps</t>
  </si>
  <si>
    <t>PULL — Back·Biceps</t>
  </si>
  <si>
    <t>Deadlift 4×4-6 · Pull-ups 3×8-12 · Barbell Row 3×8-10 · Face Pulls 3×15 · Barbell Curls 3×10-12 · Hammer Curls 3×12</t>
  </si>
  <si>
    <t>LEGS — Quads·Hamstrings·Glutes</t>
  </si>
  <si>
    <t>Squat 4×6-10 · Romanian DL 3×10-12 · Leg Press 3×12-15 · Leg Curl 3×12-15 · Calf Raises 4×15-20 · Plank 3×45s</t>
  </si>
  <si>
    <t>COMBAT</t>
  </si>
  <si>
    <t>BJJ: retour Q2 2026 · Boxing: maintenir sessions régulières</t>
  </si>
  <si>
    <t>CARDIO</t>
  </si>
  <si>
    <t>Course principale · 500m standard policier maintenu</t>
  </si>
  <si>
    <t>MODE ON (Nunavik)</t>
  </si>
  <si>
    <t>Adapter programme · bodyweight + équipement disponible · priorité cardio</t>
  </si>
  <si>
    <t>MODE OFF (maison)</t>
  </si>
  <si>
    <t>PPL full program · home gym · BJJ/boxing disponibles</t>
  </si>
  <si>
    <t>④ OBJECTIFS PHYSIQUES ACTIFS</t>
  </si>
  <si>
    <t>DEADLINE</t>
  </si>
  <si>
    <t>PROGRÈS</t>
  </si>
  <si>
    <t>Atteindre 190 lbs lean</t>
  </si>
  <si>
    <t>🟡 En cours</t>
  </si>
  <si>
    <t>175 lbs → 190 lbs</t>
  </si>
  <si>
    <t>+15 lbs masse maigre</t>
  </si>
  <si>
    <t>Retour BJJ</t>
  </si>
  <si>
    <t>🟡 Planifié</t>
  </si>
  <si>
    <t>objectif maintenu actif</t>
  </si>
  <si>
    <t>Maintenir standard cardio policier</t>
  </si>
  <si>
    <t>✅ Actif</t>
  </si>
  <si>
    <t>continu</t>
  </si>
  <si>
    <t>500m maintenu</t>
  </si>
  <si>
    <t>Yoga régulier</t>
  </si>
  <si>
    <t>🟡 Irrégulier</t>
  </si>
  <si>
    <t>santé mentale + mobilité</t>
  </si>
  <si>
    <t>⑤ JOURNAL BLESSURES / ADAPTATIONS</t>
  </si>
  <si>
    <t>BLESSURE/SITUATION</t>
  </si>
  <si>
    <t>MUSCLES AFFECTÉS</t>
  </si>
  <si>
    <t>ADAPTATION PROGRAMME</t>
  </si>
  <si>
    <t>GUÉRISON</t>
  </si>
  <si>
    <t>④ PRIORITÉS S36 — Actions concrètes identifiées</t>
  </si>
  <si>
    <t>Research PPL 2on/2off + nutrition 170→190 lbs — même rigueur que Research FHSA</t>
  </si>
  <si>
    <t>S37</t>
  </si>
  <si>
    <t>Plan retour BJJ Q2 2026 — date concrète + gym identifiée</t>
  </si>
  <si>
    <t>Documenter programme ON (Nunavik) vs OFF (maison) séparément</t>
  </si>
  <si>
    <t>⑤ OBJECTIFS QUANTIFIÉS</t>
  </si>
  <si>
    <t>ACTUEL</t>
  </si>
  <si>
    <t>DÉLAI</t>
  </si>
  <si>
    <t>Poids</t>
  </si>
  <si>
    <t>190 lbs lean</t>
  </si>
  <si>
    <t>Fin 2026</t>
  </si>
  <si>
    <t>BJJ retour</t>
  </si>
  <si>
    <t>&gt;6 mois inactif</t>
  </si>
  <si>
    <t>Retour régulier 1x/semaine</t>
  </si>
  <si>
    <t>📚  CULTURE &amp; IDÉES  ·  Livres · Films · Idées importantes · Ce qui forge la pensée de Hey</t>
  </si>
  <si>
    <t>① LIVRES  ·  Chaque livre connecté à un pilier HeyOS</t>
  </si>
  <si>
    <t>TITRE / AUTEUR</t>
  </si>
  <si>
    <t>PILIER</t>
  </si>
  <si>
    <t>NOTE /10</t>
  </si>
  <si>
    <t>LEÇON PRINCIPALE</t>
  </si>
  <si>
    <t>CONNECTION À MA VIE</t>
  </si>
  <si>
    <t>⬜ À documenter — ajouter à chaque lecture</t>
  </si>
  <si>
    <t>Développement personnel (en cours)</t>
  </si>
  <si>
    <t>En cours</t>
  </si>
  <si>
    <t>Projet de vie</t>
  </si>
  <si>
    <t>⬜ À compléter</t>
  </si>
  <si>
    <t>② FILMS / SÉRIES  ·  Ce qui marque l'esprit</t>
  </si>
  <si>
    <t>THÈME PRINCIPAL</t>
  </si>
  <si>
    <t>POURQUOI ÇA M'A MARQUÉ</t>
  </si>
  <si>
    <t>③ IDÉES IMPORTANTES  ·  Pensées, insights, connexions entre domaines</t>
  </si>
  <si>
    <t>IDÉE</t>
  </si>
  <si>
    <t>IMPACT SUR HeyOS</t>
  </si>
  <si>
    <t>ACTION GÉNÉRÉE</t>
  </si>
  <si>
    <t>xlsx = cerveau vivant de TOUS les piliers HeyOS — pas juste finances. Chaque session alimente le cerveau.</t>
  </si>
  <si>
    <t>Session S30</t>
  </si>
  <si>
    <t>Système</t>
  </si>
  <si>
    <t>Architectural — change tout le flow de session</t>
  </si>
  <si>
    <t>4 nouveaux onglets ajoutés au xlsx</t>
  </si>
  <si>
    <t>④ GAMING  ·  Jeux marquants · Partie de l'identité</t>
  </si>
  <si>
    <t>JEU</t>
  </si>
  <si>
    <t>PLATEFORME</t>
  </si>
  <si>
    <t>GENRE</t>
  </si>
  <si>
    <t>⬜ Jeu actif (à préciser)</t>
  </si>
  <si>
    <t>Actif — joue régulièrement S32</t>
  </si>
  <si>
    <t>Gaming actif confirmé S32</t>
  </si>
  <si>
    <t>⑤ IDÉES CONNEXIONS INTER-PILIERS — S36</t>
  </si>
  <si>
    <t>CONNEXION</t>
  </si>
  <si>
    <t>PILIERS RELIÉS</t>
  </si>
  <si>
    <t>Research financier (FHSA) = même méthode applicable corps (PPL) et vie (maison 2030). Sources → analyse exhaustive → décision documentée → verdict J+30. Un seul système pour tout.</t>
  </si>
  <si>
    <t>Finances · Corps · Projet de vie</t>
  </si>
  <si>
    <t>La boucle d'apprentissage cassée (verdicts J+30 ⬜) en finances = même pattern dans corps (PRs documentés mais pas de suivi progression mensuelle). Fermer les boucles = principe universel HeyOS.</t>
  </si>
  <si>
    <t>Finances · Corps · Système</t>
  </si>
  <si>
    <t>⑥ LECTURES PRIORITAIRES — Alignées vision HeyOS</t>
  </si>
  <si>
    <t>LIVRE</t>
  </si>
  <si>
    <t>The Psychology of Money — Morgan Housel</t>
  </si>
  <si>
    <t>Finances · Système</t>
  </si>
  <si>
    <t>Comportement &gt; rendement. Renforce buy-the-dip, patience, FI comme liberté.</t>
  </si>
  <si>
    <t>Corps · Système</t>
  </si>
  <si>
    <t>Systèmes &gt; objectifs. PPL 2on/2off = habit stacking parfait. 1% mieux chaque jour.</t>
  </si>
  <si>
    <t>Can't Hurt Me — David Goggins</t>
  </si>
  <si>
    <t>Corps · Projet de vie</t>
  </si>
  <si>
    <t>Discipline extrême. Résonance avec profil policier + objectif 190 lbs + retour BJJ.</t>
  </si>
  <si>
    <t>🎯  PROJET DE VIE  ·  Vision · Famille · Maison · Liberté · Ce qui compte vraiment</t>
  </si>
  <si>
    <t>① VISION 10 ANS (2036)  ·  Révisée annuellement</t>
  </si>
  <si>
    <t>TIMELINE / NOTE</t>
  </si>
  <si>
    <t>Travail</t>
  </si>
  <si>
    <t>Travailler par choix, pas par obligation</t>
  </si>
  <si>
    <t>FI $2.1M+ · 2043 réaliste</t>
  </si>
  <si>
    <t>Famille</t>
  </si>
  <si>
    <t>J'y pense mais flou</t>
  </si>
  <si>
    <t>⬜ À clarifier</t>
  </si>
  <si>
    <t>2028-2035 · vision pas encore définie S32</t>
  </si>
  <si>
    <t>Maison</t>
  </si>
  <si>
    <t>Achat solo 2030+</t>
  </si>
  <si>
    <t>RAP $60K + FHSA $40K = $100K · lieu pas encore défini S32</t>
  </si>
  <si>
    <t>Santé</t>
  </si>
  <si>
    <t>190 lbs lean · BJJ actif · yoga régulier</t>
  </si>
  <si>
    <t>2026-2027</t>
  </si>
  <si>
    <t>Liberté géographique</t>
  </si>
  <si>
    <t>Gérer actifs de chez moi</t>
  </si>
  <si>
    <t>⬜ Futur</t>
  </si>
  <si>
    <t>post-FI</t>
  </si>
  <si>
    <t>Tech/IA</t>
  </si>
  <si>
    <t>Orchestrer Claude Code · systèmes qui se bonifient</t>
  </si>
  <si>
    <t>Finances</t>
  </si>
  <si>
    <t>$2.1M+ autonomie complète</t>
  </si>
  <si>
    <t>2040-2043</t>
  </si>
  <si>
    <t>② PROJETS ACTIFS NON-FINANCIERS</t>
  </si>
  <si>
    <t>PROJET</t>
  </si>
  <si>
    <t>PROCHAINE ACTION</t>
  </si>
  <si>
    <t>HeyOS — Système de vie complet</t>
  </si>
  <si>
    <t>🔴 Haute</t>
  </si>
  <si>
    <t>Uploader xlsx chaque session</t>
  </si>
  <si>
    <t>5 piliers · xlsx = cerveau</t>
  </si>
  <si>
    <t>Dashboard GitHub Pages live</t>
  </si>
  <si>
    <t>🟡 Moyenne</t>
  </si>
  <si>
    <t>v14 discussion pending</t>
  </si>
  <si>
    <t>S31</t>
  </si>
  <si>
    <t>v13 live ✅</t>
  </si>
  <si>
    <t>Maîtriser Claude Code</t>
  </si>
  <si>
    <t>Orchestrer sans coder manuellement</t>
  </si>
  <si>
    <t>🔴 Bloqué</t>
  </si>
  <si>
    <t>🔴 Urgente</t>
  </si>
  <si>
    <t>Ouvrir compte sur eqbank.ca</t>
  </si>
  <si>
    <t>$1,500/mois qui dort</t>
  </si>
  <si>
    <t>Trouver gym dès retour OFF</t>
  </si>
  <si>
    <t>③ FREINS IDENTIFIÉS  ·  Ce qui ralentit Hey — nommer pour agir</t>
  </si>
  <si>
    <t>FREIN</t>
  </si>
  <si>
    <t>DOMAINE AFFECTÉ</t>
  </si>
  <si>
    <t>MANIFESTATION</t>
  </si>
  <si>
    <t>Regard des autres</t>
  </si>
  <si>
    <t>Décisions de vie</t>
  </si>
  <si>
    <t>Hésitation sur choix non-conventionnels</t>
  </si>
  <si>
    <t>Nommer explicitement quand il apparaît</t>
  </si>
  <si>
    <t>🟡 Actif — travailler dessus</t>
  </si>
  <si>
    <t>Inaction sur urgences simples</t>
  </si>
  <si>
    <t>Finances / Vie</t>
  </si>
  <si>
    <t>EQ Bank, bénéficiaires non faits depuis 4+ sessions</t>
  </si>
  <si>
    <t>Alarme téléphone immédiatement</t>
  </si>
  <si>
    <t>🔴 Pattern dangereux</t>
  </si>
  <si>
    <t>Perfectionnisme timing</t>
  </si>
  <si>
    <t>Attendre le parfait moment au lieu d'agir</t>
  </si>
  <si>
    <t>Pre-commitment · DCA automatique</t>
  </si>
  <si>
    <t>🟡 En amélioration</t>
  </si>
  <si>
    <t>④ DÉCISIONS MAJEURES DE VIE  ·  Contexte + raisonnement + verdict J+30</t>
  </si>
  <si>
    <t>RÉSULTAT RÉEL</t>
  </si>
  <si>
    <t>xlsx = cerveau multi-piliers HeyOS</t>
  </si>
  <si>
    <t>S30 — besoin de continuité entre sessions</t>
  </si>
  <si>
    <t>Chaque session alimente le xlsx — amélioration exponentielle de Claude sur Hey</t>
  </si>
  <si>
    <t>⬜ à vérifier S31+</t>
  </si>
  <si>
    <t>Mind and Body — nom officiel du projet</t>
  </si>
  <si>
    <t>S31 — vision alignée entre Hey et Claude</t>
  </si>
  <si>
    <t>Outil parfait + partenariat parfait + updates en temps réel. Tout en un. Finances, corps, mental, projets — en un coup d'œil.</t>
  </si>
  <si>
    <t>⬜ à vérifier S32+</t>
  </si>
  <si>
    <t>⬜ en construction</t>
  </si>
  <si>
    <t>⑤ DÉCISIONS MAJEURES — S36</t>
  </si>
  <si>
    <t>Verdicts J+30 = règle obligatoire HeyOS (R-ANA-02)</t>
  </si>
  <si>
    <t>Audit S36 révèle boucle apprentissage cassée depuis S16. Fermer chaque verdict = intégrité du système de décision.</t>
  </si>
  <si>
    <t>Sources corps/culture/maison ajoutées à l'indice (211-220)</t>
  </si>
  <si>
    <t>Research pilier 2 et 4 impossible sans sources de qualité. Équilibrer l'indice = pré-requis pour HeyOS multi-piliers complet.</t>
  </si>
  <si>
    <t>⑥ PROCHAINES DÉCISIONS MAJEURES À PRENDRE</t>
  </si>
  <si>
    <t>URGENCE</t>
  </si>
  <si>
    <t>QUAND</t>
  </si>
  <si>
    <t>Analyse $12K rétroactivité — allocation optimale</t>
  </si>
  <si>
    <t>🔴 Haute — capital non déployé</t>
  </si>
  <si>
    <t>🔴 Haute — pattern inaction S17-S36</t>
  </si>
  <si>
    <t>Cette semaine (15 min)</t>
  </si>
  <si>
    <t>Région maison 2030 — commencer à définir</t>
  </si>
  <si>
    <t>🟡 Moyenne — lieu pas défini</t>
  </si>
  <si>
    <t>S38-S40</t>
  </si>
  <si>
    <t>FTQ 2027 — vérifier éligibilité et planifier</t>
  </si>
  <si>
    <t>🟡 Moyenne — $4,149 récupérables</t>
  </si>
  <si>
    <t>Automne 2026</t>
  </si>
  <si>
    <t>🤖  APPRENTISSAGE CLAUDE  ·  Ce que Claude apprend sur Hey session après session  ·  Amélioration exponentielle</t>
  </si>
  <si>
    <t>Plus Claude connaît Hey, meilleures sont les décisions. Ce fichier = mémoire cumulative du partenariat.</t>
  </si>
  <si>
    <t>① CORRECTIONS &amp; AJUSTEMENTS  ·  Chaque fois que Hey corrige Claude → documenté ici</t>
  </si>
  <si>
    <t>CE QUE CLAUDE A MAL FAIT</t>
  </si>
  <si>
    <t>CORRECTION DE HEY</t>
  </si>
  <si>
    <t>S28</t>
  </si>
  <si>
    <t>Dashboard v13 design générique malgré skill lu</t>
  </si>
  <si>
    <t>Appliquer le skill vraiment, pas superficiellement</t>
  </si>
  <si>
    <t>Lire + appliquer skill profondément — pas juste le parcourir</t>
  </si>
  <si>
    <t>✅ Enregistré</t>
  </si>
  <si>
    <t>S29</t>
  </si>
  <si>
    <t>push.bat prenait le mauvais fichier Downloads</t>
  </si>
  <si>
    <t>Vérifier nom du fichier affiché avant push</t>
  </si>
  <si>
    <t>push.bat prend le plus RÉCENT — toujours vérifier le nom affiché</t>
  </si>
  <si>
    <t>S30</t>
  </si>
  <si>
    <t>Claude ne comprenait pas que le dashboard = URL permanente</t>
  </si>
  <si>
    <t>Le dashboard c'est l'URL, pas un fichier local</t>
  </si>
  <si>
    <t>Dashboard = URL GitHub Pages permanente. Le fichier = juste le moyen d'y arriver.</t>
  </si>
  <si>
    <t>Claude mettait à jour CLAUDE.md mais pas le xlsx</t>
  </si>
  <si>
    <t>xlsx = cerveau principal. MAJ xlsx EN PREMIER, CLAUDE.md ensuite</t>
  </si>
  <si>
    <t>À chaque update/sauvegarde → xlsx MAJ en premier, tous piliers</t>
  </si>
  <si>
    <t>Claude disait 'update automatique en place' sans que ce soit vraiment garanti</t>
  </si>
  <si>
    <t>Hey a demandé analyse honnête — Claude a reconnu la fragilité du système</t>
  </si>
  <si>
    <t>Être honnête sur les limites techniques plutôt que de rassurer faussement</t>
  </si>
  <si>
    <t>② CE QUE CLAUDE SAIT SUR HEY  ·  Profil décisionnel profond · Mis à jour en continu</t>
  </si>
  <si>
    <t>INSIGHT</t>
  </si>
  <si>
    <t>CONFIANCE</t>
  </si>
  <si>
    <t>Psychologie financière</t>
  </si>
  <si>
    <t>Buy-the-dip = force principale. COVID 2020 = ancre émotionnelle. Achète sous pression quand d'autres vendent.</t>
  </si>
  <si>
    <t>RAISONNEMENTS S21</t>
  </si>
  <si>
    <t>🟢 Élevée</t>
  </si>
  <si>
    <t>Style décisionnel</t>
  </si>
  <si>
    <t>Pre-commitment = zéro friction. Décider le soir, exécuter à l'ouverture = résultat optimal.</t>
  </si>
  <si>
    <t>JOURNAL S21</t>
  </si>
  <si>
    <t>Frein principal</t>
  </si>
  <si>
    <t>Inaction sur urgences non-financières (EQ Bank, bénéficiaires). Pattern documenté 4+ sessions.</t>
  </si>
  <si>
    <t>Sessions S17-S30</t>
  </si>
  <si>
    <t>Vision profonde</t>
  </si>
  <si>
    <t>Liberté = vrai but. $2.1M = plancher jamais un plafond. Travailler par choix.</t>
  </si>
  <si>
    <t>PROFIL S16</t>
  </si>
  <si>
    <t>Style communication</t>
  </si>
  <si>
    <t>Direct. Pas de listes de 5 étapes. Une chose à la fois. Réponses courtes et actionnables.</t>
  </si>
  <si>
    <t>Sessions S27-S30</t>
  </si>
  <si>
    <t>Dashboard</t>
  </si>
  <si>
    <t>URL = l'outil. Pas un fichier local. Bookmarké. Doit refléter la réalité en tout temps.</t>
  </si>
  <si>
    <t>xlsx</t>
  </si>
  <si>
    <t>Cerveau vivant multi-piliers. Ne jamais recréer. Grandit chaque session. MAJ = xlsx en premier.</t>
  </si>
  <si>
    <t>Frein identifié sur décisions de vie non-conventionnelles. Travaille activement dessus.</t>
  </si>
  <si>
    <t>PROFIL S23</t>
  </si>
  <si>
    <t>③ JOURNAL DE SESSION  ·  Brief fin de session — contexte pour la prochaine</t>
  </si>
  <si>
    <t>CE QU'ON A FAIT</t>
  </si>
  <si>
    <t>DÉCISIONS PRISES</t>
  </si>
  <si>
    <t>OÙ ON S'EST ARRÊTÉS</t>
  </si>
  <si>
    <t>PRIORITÉ PROCHAINE SESSION</t>
  </si>
  <si>
    <t>S23</t>
  </si>
  <si>
    <t>HeyOS GitHub créé · CLAUDE.md v1 · Vault Obsidian</t>
  </si>
  <si>
    <t>Structure 6 dossiers · Git CMD</t>
  </si>
  <si>
    <t>GitHub Pages + Git PATH</t>
  </si>
  <si>
    <t>Dashboard v11</t>
  </si>
  <si>
    <t>S26-S27</t>
  </si>
  <si>
    <t>Dashboard v12 live · Life OS · push.bat ✅</t>
  </si>
  <si>
    <t>Style light/flat approuvé · push.bat = déploiement</t>
  </si>
  <si>
    <t>v13 à construire</t>
  </si>
  <si>
    <t>Awwwards style v13</t>
  </si>
  <si>
    <t>S28-S30</t>
  </si>
  <si>
    <t>Dashboard v13 Awwwards ✅ · push.bat débogué · données live injectées · CLAUDE.md trousse de départ</t>
  </si>
  <si>
    <t>v13 keepé · xlsx = cerveau multi-piliers · CLAUDE.md = unique fichier démarrage</t>
  </si>
  <si>
    <t>v14 pas encore discuté · $12K analyse pas faite</t>
  </si>
  <si>
    <t>Analyse $12K rétroactivité + v14 discussion</t>
  </si>
  <si>
    <t>Vision Mind and Body alignée · 4 onglets HeyOS ajoutés au xlsx · Règles core update automatique · CLAUDE.md restructuré trousse de départ</t>
  </si>
  <si>
    <t>xlsx = cerveau multi-piliers · update/sauvegarde = tâche core automatique · Mind and Body = outil parfait + partenariat parfait en temps réel</t>
  </si>
  <si>
    <t>v14 discussion pending · Analyse $12K pending · Nourrir les nouveaux onglets</t>
  </si>
  <si>
    <t>S33</t>
  </si>
  <si>
    <t>xlsx = cerveau · dashboard = yeux · Claude = pont. Cet ordre prime toujours.</t>
  </si>
  <si>
    <t>✅ Active</t>
  </si>
  <si>
    <t>À chaque update/sauvegarde → xlsx EN PREMIER → CLAUDE.md → dashboard</t>
  </si>
  <si>
    <t>Chaque session alimente le xlsx — pas juste les trades. Tout ce qui se passe = valeur pour le cerveau.</t>
  </si>
  <si>
    <t>Mockup obligatoire avant toute modif majeure dashboard</t>
  </si>
  <si>
    <t>S27</t>
  </si>
  <si>
    <t>JAMAIS modifier xlsx sans go explicite de Hey</t>
  </si>
  <si>
    <t>S21</t>
  </si>
  <si>
    <t>Dashboard = URL GitHub Pages permanente. Le fichier téléchargé = juste le moyen.</t>
  </si>
  <si>
    <t>Une étape à la fois dans CMD/GitHub. Jamais 5 étapes simultanées.</t>
  </si>
  <si>
    <t>Communication</t>
  </si>
  <si>
    <t>JAMAIS vendre T.TO ou MFC.TO TFSA — room perdue à jamais</t>
  </si>
  <si>
    <t>S16</t>
  </si>
  <si>
    <t>Ordre priorité dollar: FHSA → REER → TFSA → HISA</t>
  </si>
  <si>
    <t>S34</t>
  </si>
  <si>
    <t>Analyse marché présentée AVANT décision — bonne pratique proactive</t>
  </si>
  <si>
    <t>Hey a confirmé que faire l'analyse complète avant le plan = bonne approche</t>
  </si>
  <si>
    <t>Analyse macro + top titres avant toute décision allocation → standard S34+</t>
  </si>
  <si>
    <t>Liste top 15 actions + 15 ETFs créée pour la première fois dans HeyOS</t>
  </si>
  <si>
    <t>Hey a demandé comparaison avec le plan → démontrer que le plan tient face à la concurrence</t>
  </si>
  <si>
    <t>Quand Hey demande liste comparative → toujours conclure par verdict clair sur son plan</t>
  </si>
  <si>
    <t>Analyse séquentielle</t>
  </si>
  <si>
    <t>Hey préfère comprendre LE CONTEXTE COMPLET avant d'agir. Analyse marché → liste options → comparaison → décision = son process optimal.</t>
  </si>
  <si>
    <t>Rigueur comparative</t>
  </si>
  <si>
    <t>Hey ne se contente pas de la première recommandation. Il veut voir le top du marché et valider que son plan est optimal vs les alternatives.</t>
  </si>
  <si>
    <t>Analyse marché complète · Top 15 actions · Top 15 ETFs · Comparaison FHSA · Plan 50/50 VFV+XEQT validé</t>
  </si>
  <si>
    <t>Plan 50% VFV.TO + 50% XEQT.TO pour $4,015 FHSA confirmé après analyse exhaustive</t>
  </si>
  <si>
    <t>Plan FHSA en attente exécution · $12K analyse non faite · EQ Bank 🔴</t>
  </si>
  <si>
    <t>Exécution $4,015 FHSA · Analyse $12K rétroactivité</t>
  </si>
  <si>
    <t>Avant achat FHSA → analyse macro complète + top marché + comparaison avec plan → verdict final</t>
  </si>
  <si>
    <t>Top 15 actions + 15 ETFs = référence HeyOS mise à jour chaque trimestre</t>
  </si>
  <si>
    <t>Plan 50/50 VFV+XEQT proposé sans Research exhaustif d'abord</t>
  </si>
  <si>
    <t>Research confirme 100% XEQT &gt; 50/50 pour profil déjà 62% USD</t>
  </si>
  <si>
    <t>Avant décision FHSA → Research marché obligatoire, pas juste analyse interne</t>
  </si>
  <si>
    <t>S35</t>
  </si>
  <si>
    <t>Sources Research non documentées dans xlsx après analyse marché exhaustive</t>
  </si>
  <si>
    <t>Hey a rappelé: après analyse marché → MAJ sources xlsx obligatoire</t>
  </si>
  <si>
    <t>Analyse exhaustive marché → toujours documenter sources utilisées dans 📚 SOURCES</t>
  </si>
  <si>
    <t>Hey suit les données vs instinct — Research &gt; plan initial quand données divergent</t>
  </si>
  <si>
    <t>100% XEQT vs 50/50 initial — décision basée sur Research, pas sur biais de confirmaton</t>
  </si>
  <si>
    <t>S36</t>
  </si>
  <si>
    <t>Verdicts J+30 tous ⬜ depuis S16 — boucle apprentissage jamais fermée</t>
  </si>
  <si>
    <t>Audit S36 identifie faille structurelle : décision documentée mais résultat jamais mesuré</t>
  </si>
  <si>
    <t>Alarmes J+30 obligatoires dans JOURNAL · fermer la boucle = règle R-ANA-02</t>
  </si>
  <si>
    <t>Sources piliers 2-3-4 = zéro depuis S16 — indice 210 sources 95% finances</t>
  </si>
  <si>
    <t>Audit S36 : Corps/Culture/Projet de vie ont 0 source indexée → Research biaisé</t>
  </si>
  <si>
    <t>10 nouvelles sources piliers 2-3-4 ajoutées (211-220) · équilibrer indice chaque trimestre</t>
  </si>
  <si>
    <t>Hey a posé une question de vue d'ensemble sur le projet complet</t>
  </si>
  <si>
    <t>Réponse = audit 5 piliers + forces/lacunes + recherches prioritaires + système apprentissage</t>
  </si>
  <si>
    <t>Vue ensemble demandée → audit structuré pilier par pilier + diagnostic apprentissage Claude</t>
  </si>
  <si>
    <t>Vision système</t>
  </si>
  <si>
    <t>Hey pense en systèmes, pas en tâches isolées. Quand il demande vue ensemble → il veut diagnostic complet, pas liste de to-do.</t>
  </si>
  <si>
    <t>Boucle de feedback</t>
  </si>
  <si>
    <t>Lacune critique identifiée : Hey documente les décisions mais ne ferme pas les verdicts J+30. Pattern = action forte, suivi faible. À contrebalancer par rappels automatiques.</t>
  </si>
  <si>
    <t>Équilibre piliers</t>
  </si>
  <si>
    <t>Hey investit dans les outils (xlsx, dashboard) mais nourrit peu le contenu des piliers 2-3-4. Infrastructure &gt; contenu = pattern récurrent. Rappeler à chaque session de nourrir au moins 1 pilier non-financier.</t>
  </si>
  <si>
    <t>Verdict J+30 = OBLIGATOIRE. Chaque trade documenté → alarme téléphone → résultat mesuré → leçon écrite. Boucle non fermée = apprentissage bloqué.</t>
  </si>
  <si>
    <t>Chaque trimestre → vérifier équilibre sources (piliers 2-3-4 ≥ 20% de l'indice). Si déséquilibre → ajouter 5+ sources avant prochain Research corps/vie.</t>
  </si>
  <si>
    <t>R-SYS-07</t>
  </si>
  <si>
    <t>Chaque session → nourrir au moins 1 pilier non-financier (Corps, Culture, Projet de vie). Si tous les échanges = finances seulement → rappeler Hey d'alimenter les autres piliers.</t>
  </si>
  <si>
    <t>S35-S36</t>
  </si>
  <si>
    <t>Audit complet HeyOS · Sources 211-220 ajoutées piliers 2-3-4 · APPRENTISSAGE 3 nouvelles règles · CLAUDE CONTEXT sync · CLAUDE.md S36</t>
  </si>
  <si>
    <t>Faille boucle apprentissage nommée · équilibre sources indice · R-ANA-02/03 · R-SYS-07</t>
  </si>
  <si>
    <t>Analyse $12K rétroactivité · Research PPL+nutrition · EQ Bank 🔴</t>
  </si>
  <si>
    <t>S39</t>
  </si>
  <si>
    <t>Audit complet 5 piliers · Prices live Questrade · Mapping sectoriel 55/25/15/5 validé · Plan exécution ventes lundi</t>
  </si>
  <si>
    <t>Mapping 55/25/15/5 = axe SECTORIEL (≠ T1/T2/T3/T4) · T.TO+MFC.TO = existent, ne plus mentionner · ENB.TO classé Aubaines · ZRE+XIC+VDU = exécuter lundi sans attendre BdC</t>
  </si>
  <si>
    <t>Ventes lundi + EQ Bank + bénéficiaires Questrade</t>
  </si>
  <si>
    <t>EQ Bank + ventes ZRE/XIC/VDU TFSA + verdicts J+30 le 11 avril</t>
  </si>
  <si>
    <t>R-SYS-08</t>
  </si>
  <si>
    <t>55/25/15/5 = axe SECTORIEL. T1/T2/T3/T4 = axe CONVICTION. Deux axes indépendants. Ne jamais confondre.</t>
  </si>
  <si>
    <t>R-SYS-08,"Automatisme S39 : À chaque mention d'un ticker (ex: NVDA), lancer le protocole S39 sans demander. Structure : Screener → Fondamentaux → Technique → Sentiment → Verdict J+30. Toujours vérifier la zone 'No-Buy' dans 🚨 ALERTES.csv avant tout."</t>
  </si>
  <si>
    <t>📊  WATCHLIST HEYOS · S39 · 14 MARS 2026 · Sources: Morningstar · Seeking Alpha · Zacks · Motley Fool · US News CFRA</t>
  </si>
  <si>
    <t>Mise à jour trimestrielle (R-ANA-01) · Prochaine révision: Juin 2026 · ⚠️ Source de référence — toute décision = thèse + 5 sources (règle S38)</t>
  </si>
  <si>
    <t>① ACTIONS LONG TERME</t>
  </si>
  <si>
    <t>SECTEUR / TYPE</t>
  </si>
  <si>
    <t>CONSENSUS</t>
  </si>
  <si>
    <t>UPSIDE %</t>
  </si>
  <si>
    <t>THÈSE</t>
  </si>
  <si>
    <t>Semi/IA</t>
  </si>
  <si>
    <t>Strong Buy</t>
  </si>
  <si>
    <t>En portefeuille T1</t>
  </si>
  <si>
    <t>Custom AI chips + networking + VMware. Rev IA +106% YoY. FCF $8B. Guidance Q2 IA +140%.</t>
  </si>
  <si>
    <t>IA/Cloud/Search</t>
  </si>
  <si>
    <t>Search + Gemini + Google Cloud +28%. Valorisation discount vs pairs.</t>
  </si>
  <si>
    <t>Social/IA</t>
  </si>
  <si>
    <t>Ad revenue +24% YoY. Capex IA $115-135B. Llama open source.</t>
  </si>
  <si>
    <t>Cloud/Commerce/IA</t>
  </si>
  <si>
    <t>AWS + Cerebras IA deal. $36.9B bonds capex. Cible $280.</t>
  </si>
  <si>
    <t>GPU/IA</t>
  </si>
  <si>
    <t>En portefeuille T2</t>
  </si>
  <si>
    <t>Blackwell + Vera Rubin H2 2026. $3-4T IA infra spending. Rev +62% YoY.</t>
  </si>
  <si>
    <t>Cloud/IA/SaaS</t>
  </si>
  <si>
    <t>Azure +37-38%. Copilot IA partout. Cloud $50B+ Q2. Wide moat.</t>
  </si>
  <si>
    <t>Énergie/Grid/IA</t>
  </si>
  <si>
    <t>Buy</t>
  </si>
  <si>
    <t>Backlog $150B. FCF doublé $3.7B. Guide 2026 $44-45B.</t>
  </si>
  <si>
    <t>LLY</t>
  </si>
  <si>
    <t>Eli Lilly</t>
  </si>
  <si>
    <t>Pharma/GLP-1</t>
  </si>
  <si>
    <t>À CONSIDÉRER</t>
  </si>
  <si>
    <t>Mounjaro +110%, Zepbound +123%. GLP-1 TAM massif.</t>
  </si>
  <si>
    <t>Données Financières</t>
  </si>
  <si>
    <t>Duopole données financières. Wide moat. Revenue récurrent.</t>
  </si>
  <si>
    <t>V</t>
  </si>
  <si>
    <t>Visa</t>
  </si>
  <si>
    <t>Paiements</t>
  </si>
  <si>
    <t>Watchlist</t>
  </si>
  <si>
    <t>Wide moat absolu. Network effect $15T TAM.</t>
  </si>
  <si>
    <t>MA</t>
  </si>
  <si>
    <t>Mastercard</t>
  </si>
  <si>
    <t>Clone Visa, plus international. Croissance double-digit sustainable.</t>
  </si>
  <si>
    <t>TSM</t>
  </si>
  <si>
    <t>Taiwan Semiconductor</t>
  </si>
  <si>
    <t>Foundry</t>
  </si>
  <si>
    <t>Monopole fabrication puces avancées. Backbone IA mondiale.</t>
  </si>
  <si>
    <t>AAPL</t>
  </si>
  <si>
    <t>Apple</t>
  </si>
  <si>
    <t>Tech/Consommateur</t>
  </si>
  <si>
    <t>$300B cash. Services accélération. IA embarquée. Wide moat.</t>
  </si>
  <si>
    <t>MELI</t>
  </si>
  <si>
    <t>MercadoLibre</t>
  </si>
  <si>
    <t>E-comm/Fintech LatAm</t>
  </si>
  <si>
    <t>Amazon + PayPal LatAm. Rev +49% YoY. Région sous-pénétrée.</t>
  </si>
  <si>
    <t>NOW</t>
  </si>
  <si>
    <t>ServiceNow</t>
  </si>
  <si>
    <t>SaaS/IA Enterprise</t>
  </si>
  <si>
    <t>Platform IA enterprise. Rev +22% récurrent. Wide moat switching costs.</t>
  </si>
  <si>
    <t>COST</t>
  </si>
  <si>
    <t>Costco</t>
  </si>
  <si>
    <t>Retail/Défensif</t>
  </si>
  <si>
    <t>Aubaines potentiel</t>
  </si>
  <si>
    <t>Membership model = wide moat. Expansion internationale.</t>
  </si>
  <si>
    <t>BRK.B</t>
  </si>
  <si>
    <t>Berkshire B</t>
  </si>
  <si>
    <t>Conglomérat/Value</t>
  </si>
  <si>
    <t>$373B cash. Buffett. 60 subsidiaires. Portfolio Apple/BoA/Chevron.</t>
  </si>
  <si>
    <t>Énergie/Pipeline CAD</t>
  </si>
  <si>
    <t>Pipeline quasi-monopolistique Canada-US. Div yield 6%+.</t>
  </si>
  <si>
    <t>PLTR</t>
  </si>
  <si>
    <t>Palantir</t>
  </si>
  <si>
    <t>IA/Gov/Défense</t>
  </si>
  <si>
    <t>À CONSIDÉRER TFSA</t>
  </si>
  <si>
    <t>US Commercial +137%, Gov +66%. AIP platform IA enterprise.</t>
  </si>
  <si>
    <t>AXP</t>
  </si>
  <si>
    <t>American Express</t>
  </si>
  <si>
    <t>Fintech/Paiements</t>
  </si>
  <si>
    <t>Clientèle affluente. Refresh rewards. Attract younger clients.</t>
  </si>
  <si>
    <t>② ETF LONG TERME</t>
  </si>
  <si>
    <t>Vanguard S&amp;P 500 CAD</t>
  </si>
  <si>
    <t>Large Cap US · 0.09%</t>
  </si>
  <si>
    <t>Gold ⭐</t>
  </si>
  <si>
    <t>S&amp;P 500 en CAD. Core holding canadien. Pas de withholding tax FHSA/REER.</t>
  </si>
  <si>
    <t>iShares Core Equity</t>
  </si>
  <si>
    <t>Global All-Equity · 0.20%</t>
  </si>
  <si>
    <t>80% actions mondiales. Diversification géo automatique. Sharpe &gt; VFV.</t>
  </si>
  <si>
    <t>Schwab US Dividend</t>
  </si>
  <si>
    <t>Dividend Growth · 0.06%</t>
  </si>
  <si>
    <t>Dividend growers qualité. Yield 3.6%. Traité Canada-US = 0% retenue REER.</t>
  </si>
  <si>
    <t>VOO</t>
  </si>
  <si>
    <t>Vanguard S&amp;P 500 USD</t>
  </si>
  <si>
    <t>Large Cap US · 0.03%</t>
  </si>
  <si>
    <t>Alternative VFV</t>
  </si>
  <si>
    <t>Le moins cher S&amp;P 500. $1.5T AUM. Recommandé Buffett.</t>
  </si>
  <si>
    <t>QQQ</t>
  </si>
  <si>
    <t>Invesco QQQ Trust</t>
  </si>
  <si>
    <t>Nasdaq-100 · 0.20%</t>
  </si>
  <si>
    <t>Silver</t>
  </si>
  <si>
    <t>Top 100 NASDAQ. +541% 10 ans. Tech pure.</t>
  </si>
  <si>
    <t>Invesco Nasdaq-100</t>
  </si>
  <si>
    <t>Nasdaq-100 · 0.15%</t>
  </si>
  <si>
    <t>Version moins chère QQQ. Même exposition.</t>
  </si>
  <si>
    <t>VanEck Semiconductor</t>
  </si>
  <si>
    <t>Semi-conducteurs · 0.35%</t>
  </si>
  <si>
    <t>N/A</t>
  </si>
  <si>
    <t>Pure play semis. NVDA, TSM, AVGO top holdings. Backbone IA.</t>
  </si>
  <si>
    <t>VT</t>
  </si>
  <si>
    <t>Vanguard Total World</t>
  </si>
  <si>
    <t>Global All-Cap · 0.07%</t>
  </si>
  <si>
    <t>~10,000 actions mondiales. Diversification maximale.</t>
  </si>
  <si>
    <t>VGT</t>
  </si>
  <si>
    <t>Vanguard Info Tech</t>
  </si>
  <si>
    <t>Tech US · 0.10%</t>
  </si>
  <si>
    <t>Large-cap tech US. Outperform S&amp;P sur 10 ans.</t>
  </si>
  <si>
    <t>Covered Call · 0.35%</t>
  </si>
  <si>
    <t>S&amp;P 500 + covered calls. Yield ~7%. Revenu mensuel.</t>
  </si>
  <si>
    <t>IEFA</t>
  </si>
  <si>
    <t>iShares MSCI EAFE</t>
  </si>
  <si>
    <t>International Dev · 0.07%</t>
  </si>
  <si>
    <t>Europe/Australie/Asie sans US. Yield 2.9%.</t>
  </si>
  <si>
    <t>IWF</t>
  </si>
  <si>
    <t>iShares Russell 1000 Growth</t>
  </si>
  <si>
    <t>Large Cap Growth · 0.19%</t>
  </si>
  <si>
    <t>1000 plus grandes US croissance. Bon complément VFV.</t>
  </si>
  <si>
    <t>RSP</t>
  </si>
  <si>
    <t>Invesco S&amp;P 500 Equal Weight</t>
  </si>
  <si>
    <t>S&amp;P 500 Equal · 0.20%</t>
  </si>
  <si>
    <t>Réduit concentration NVDA/AAPL. Rebalance trimestriel.</t>
  </si>
  <si>
    <t>XEF.TO</t>
  </si>
  <si>
    <t>iShares MSCI EAFE CAD</t>
  </si>
  <si>
    <t>International Dev CAD · 0.22%</t>
  </si>
  <si>
    <t>Version CAD de IEFA. Bon pour TFSA.</t>
  </si>
  <si>
    <t>SOXX</t>
  </si>
  <si>
    <t>iShares Semiconductor</t>
  </si>
  <si>
    <t>Alternative SMH</t>
  </si>
  <si>
    <t>Alternative à SMH. 30 titres vs 25.</t>
  </si>
  <si>
    <t>VXUS</t>
  </si>
  <si>
    <t>Vanguard Total International</t>
  </si>
  <si>
    <t>International ex-US · 0.07%</t>
  </si>
  <si>
    <t>Tout sauf US. ~8,600 actions. Complément à VOO.</t>
  </si>
  <si>
    <t>iShares TSX Composite</t>
  </si>
  <si>
    <t>Canada Large Cap · 0.06%</t>
  </si>
  <si>
    <t>DILUER — T4</t>
  </si>
  <si>
    <t>Canada broad market. En portefeuille — diluer naturellement.</t>
  </si>
  <si>
    <t>TDVG</t>
  </si>
  <si>
    <t>T. Rowe Price Div Growth</t>
  </si>
  <si>
    <t>Dividend Actif · 0.50%</t>
  </si>
  <si>
    <t>Watchlist REER</t>
  </si>
  <si>
    <t>Actif géré. Morningstar Gold. Alternative SCHD active.</t>
  </si>
  <si>
    <t>XSP.TO</t>
  </si>
  <si>
    <t>iShares S&amp;P 500 Hedged</t>
  </si>
  <si>
    <t>S&amp;P 500 Hedged · 0.10%</t>
  </si>
  <si>
    <t>Situationnel</t>
  </si>
  <si>
    <t>S&amp;P 500 couvert USD/CAD. Si CAD attendu en hausse.</t>
  </si>
  <si>
    <t>VEQT.TO</t>
  </si>
  <si>
    <t>Vanguard All-Equity ETF</t>
  </si>
  <si>
    <t>Global All-Equity · 0.24%</t>
  </si>
  <si>
    <t>Alternative XEQT</t>
  </si>
  <si>
    <t>Concurrent XEQT. Légèrement plus Canada.</t>
  </si>
  <si>
    <t>③ ACTIONS MOMENTUM</t>
  </si>
  <si>
    <t>GTC 2026 ce weekend. Vera Rubin H2 2026. Earnings revisions +3.7%/7j.</t>
  </si>
  <si>
    <t>Q2 guidance IA +140%. Tomahawk 6 en production. Earnings avril.</t>
  </si>
  <si>
    <t>ACHETER</t>
  </si>
  <si>
    <t>Mounjaro/Zepbound demande &gt; offre. Rev +22% projeté 2026.</t>
  </si>
  <si>
    <t>CONSIDÉRER TFSA</t>
  </si>
  <si>
    <t>US Commercial +137%, Gov +66%. AIP platform IA.</t>
  </si>
  <si>
    <t>Énergie/Grid</t>
  </si>
  <si>
    <t>Backlog $150B. Earnings Apr 22. Redburn upgrade Sell→Buy.</t>
  </si>
  <si>
    <t>MACD croisé positif Mar 10. Ex-div Mar 16. Capex IA $115-135B.</t>
  </si>
  <si>
    <t>Taiwan Semi ADR</t>
  </si>
  <si>
    <t>Backbone IA mondiale. Fabs Arizona. Discount géopolitique.</t>
  </si>
  <si>
    <t>CLS</t>
  </si>
  <si>
    <t>Celestica</t>
  </si>
  <si>
    <t>Hardware IA</t>
  </si>
  <si>
    <t>CONSIDÉRER</t>
  </si>
  <si>
    <t>Hardware IA data centers. Rang 3/536 IT SA Quant. Rev +166% 1an.</t>
  </si>
  <si>
    <t>IA enterprise agents. Rev +22% récurrent. Earnings avril.</t>
  </si>
  <si>
    <t>ANET</t>
  </si>
  <si>
    <t>Arista Networks</t>
  </si>
  <si>
    <t>Networking IA</t>
  </si>
  <si>
    <t>Networking IA data centers. Hyperscaler spending = tailwind.</t>
  </si>
  <si>
    <t>AWS + Cerebras. Prime Day juin avancé. $200B capex 2026.</t>
  </si>
  <si>
    <t>Cloud/IA</t>
  </si>
  <si>
    <t>Azure +37-38%. Copilot enterprise. 54 analysts Strong Buy.</t>
  </si>
  <si>
    <t>PANW</t>
  </si>
  <si>
    <t>Palo Alto Networks</t>
  </si>
  <si>
    <t>Cybersecurity IA</t>
  </si>
  <si>
    <t>Cybersecurity IA = mega trend. Consolidation plateforme.</t>
  </si>
  <si>
    <t>APP</t>
  </si>
  <si>
    <t>AppLovin</t>
  </si>
  <si>
    <t>IA Advertising</t>
  </si>
  <si>
    <t>IA advertising mobile. +500% en 2025. Rev exponentiel.</t>
  </si>
  <si>
    <t>FIX</t>
  </si>
  <si>
    <t>Comfort Systems USA</t>
  </si>
  <si>
    <t>HVAC/IA Infra</t>
  </si>
  <si>
    <t>HVAC data centers IA = demande explosive. Zacks #1 Mars 2026.</t>
  </si>
  <si>
    <t>Rev +49%. Charter bancaire Mexico + US. Régions sous-pénétrées.</t>
  </si>
  <si>
    <t>Search IA défendu. Google Cloud +28%. 60 analysts Strong Buy.</t>
  </si>
  <si>
    <t>RIO</t>
  </si>
  <si>
    <t>Rio Tinto</t>
  </si>
  <si>
    <t>Matériaux/Cuivre</t>
  </si>
  <si>
    <t>Cuivre = métal de l'IA. Zacks momentum Mars 2026. Div 5%+.</t>
  </si>
  <si>
    <t>WMT</t>
  </si>
  <si>
    <t>Walmart</t>
  </si>
  <si>
    <t>Retail king récession. E-commerce accélération.</t>
  </si>
  <si>
    <t>SOFI</t>
  </si>
  <si>
    <t>SoFi Technologies</t>
  </si>
  <si>
    <t>Digital Bank</t>
  </si>
  <si>
    <t>SPÉCULATIF</t>
  </si>
  <si>
    <t>Digital bank. Rev +38% YoY. Charter bancaire.</t>
  </si>
</sst>
</file>

<file path=xl/styles.xml><?xml version="1.0" encoding="utf-8"?>
<styleSheet xmlns="http://schemas.openxmlformats.org/spreadsheetml/2006/main" xmlns:x14ac="http://schemas.microsoft.com/office/spreadsheetml/2009/9/ac" xmlns:mc="http://schemas.openxmlformats.org/markup-compatibility/2006">
  <numFmts count="21">
    <numFmt numFmtId="164" formatCode="\$#,##0"/>
    <numFmt numFmtId="165" formatCode="0.0%"/>
    <numFmt numFmtId="166" formatCode="&quot;+$&quot;#,##0;&quot;-$&quot;#,##0"/>
    <numFmt numFmtId="167" formatCode="\$#,##0.00"/>
    <numFmt numFmtId="168" formatCode="\+0.0%;[Red]\-0.0%"/>
    <numFmt numFmtId="169" formatCode="#,##0.0000"/>
    <numFmt numFmtId="170" formatCode="\+#,##0;\-#,##0"/>
    <numFmt numFmtId="171" formatCode="\+0.0%;\-0.0%"/>
    <numFmt numFmtId="172" formatCode="#,##0&quot; CAD&quot;"/>
    <numFmt numFmtId="173" formatCode="\+0.00%;\-0.00%"/>
    <numFmt numFmtId="174" formatCode="0.00\×"/>
    <numFmt numFmtId="175" formatCode="0.0"/>
    <numFmt numFmtId="176" formatCode="0.0000"/>
    <numFmt numFmtId="177" formatCode="\$#,##0.0000"/>
    <numFmt numFmtId="178" formatCode="&quot;+$&quot;#,##0;&quot;-$&quot;#,##0;\-"/>
    <numFmt numFmtId="179" formatCode="\+0.0%;\-0.0%;&quot;0%&quot;"/>
    <numFmt numFmtId="180" formatCode="#,##0.####"/>
    <numFmt numFmtId="181" formatCode="#,##0.##"/>
    <numFmt numFmtId="182" formatCode="&quot;+$&quot;#,##0;&quot;-$&quot;#,##0;\—"/>
    <numFmt numFmtId="183" formatCode="\+0.0%;\-0.0%;\—"/>
    <numFmt numFmtId="184" formatCode="#,##0.0%"/>
  </numFmts>
  <fonts count="314">
    <font>
      <sz val="11.0"/>
      <color theme="1"/>
      <name val="Calibri"/>
      <scheme val="minor"/>
    </font>
    <font>
      <b/>
      <sz val="13.0"/>
      <color rgb="FFFFFFFF"/>
      <name val="Arial"/>
    </font>
    <font/>
    <font>
      <i/>
      <sz val="9.0"/>
      <color rgb="FF9CA3AF"/>
      <name val="Arial"/>
    </font>
    <font>
      <b/>
      <sz val="11.0"/>
      <color rgb="FFFFFFFF"/>
      <name val="Arial"/>
    </font>
    <font>
      <b/>
      <sz val="9.0"/>
      <color rgb="FF6B7280"/>
      <name val="Arial"/>
    </font>
    <font>
      <sz val="10.0"/>
      <color rgb="FF111827"/>
      <name val="Arial"/>
    </font>
    <font>
      <b/>
      <sz val="11.0"/>
      <color rgb="FF00B374"/>
      <name val="Arial"/>
    </font>
    <font>
      <sz val="10.0"/>
      <color rgb="FF00B374"/>
      <name val="Arial"/>
    </font>
    <font>
      <sz val="10.0"/>
      <color rgb="FFE8453C"/>
      <name val="Arial"/>
    </font>
    <font>
      <sz val="10.0"/>
      <color rgb="FFF59E0B"/>
      <name val="Arial"/>
    </font>
    <font>
      <sz val="10.0"/>
      <color rgb="FF1D6AE8"/>
      <name val="Arial"/>
    </font>
    <font>
      <b/>
      <sz val="11.0"/>
      <color theme="1"/>
      <name val="Calibri"/>
    </font>
    <font>
      <color theme="1"/>
      <name val="Calibri"/>
    </font>
    <font>
      <color theme="1"/>
      <name val="Google Sans"/>
    </font>
    <font>
      <u/>
      <color rgb="FF0000FF"/>
      <name val="Google Sans"/>
    </font>
    <font>
      <color theme="1"/>
      <name val="Calibri"/>
      <scheme val="minor"/>
    </font>
    <font>
      <sz val="10.0"/>
      <color rgb="FF000000"/>
      <name val="Cambria"/>
    </font>
    <font>
      <b/>
      <sz val="12.0"/>
      <color rgb="FFFFFFFF"/>
      <name val="Cambria"/>
    </font>
    <font>
      <sz val="10.0"/>
      <color rgb="FFAAAACC"/>
      <name val="Arial"/>
    </font>
    <font>
      <b/>
      <sz val="10.0"/>
      <color rgb="FFFFFFFF"/>
      <name val="Arial"/>
    </font>
    <font>
      <b/>
      <sz val="9.0"/>
      <color rgb="FFFFFFFF"/>
      <name val="Arial"/>
    </font>
    <font>
      <sz val="11.0"/>
      <color rgb="FFFFFFFF"/>
      <name val="Arial"/>
    </font>
    <font>
      <sz val="11.0"/>
      <color rgb="FF000000"/>
      <name val="Arial"/>
    </font>
    <font>
      <b/>
      <sz val="8.0"/>
      <color rgb="FF0D47A1"/>
      <name val="Arial"/>
    </font>
    <font>
      <b/>
      <sz val="9.0"/>
      <color rgb="FF0D47A1"/>
      <name val="Arial"/>
    </font>
    <font>
      <b/>
      <sz val="9.0"/>
      <color rgb="FFB71C1C"/>
      <name val="Arial"/>
    </font>
    <font>
      <b/>
      <sz val="9.0"/>
      <color rgb="FF555555"/>
      <name val="Arial"/>
    </font>
    <font>
      <b/>
      <sz val="8.0"/>
      <color rgb="FF2E7D32"/>
      <name val="Arial"/>
    </font>
    <font>
      <b/>
      <sz val="9.0"/>
      <color rgb="FF000000"/>
      <name val="Arial"/>
    </font>
    <font>
      <sz val="9.0"/>
      <color rgb="FF000000"/>
      <name val="Arial"/>
    </font>
    <font>
      <sz val="9.0"/>
      <color rgb="FF555555"/>
      <name val="Arial"/>
    </font>
    <font>
      <b/>
      <sz val="9.0"/>
      <color rgb="FFC62828"/>
      <name val="Arial"/>
    </font>
    <font>
      <b/>
      <sz val="9.0"/>
      <color rgb="FF7A5800"/>
      <name val="Arial"/>
    </font>
    <font>
      <b/>
      <sz val="9.0"/>
      <color rgb="FF111111"/>
      <name val="Arial"/>
    </font>
    <font>
      <i/>
      <sz val="8.0"/>
      <color rgb="FF555555"/>
      <name val="Arial"/>
    </font>
    <font>
      <b/>
      <sz val="9.0"/>
      <color rgb="FF1A1F3A"/>
      <name val="Arial"/>
    </font>
    <font>
      <b/>
      <sz val="8.0"/>
      <color rgb="FF111111"/>
      <name val="Arial"/>
    </font>
    <font>
      <sz val="8.0"/>
      <color rgb="FF111111"/>
      <name val="Arial"/>
    </font>
    <font>
      <sz val="11.0"/>
      <color theme="1"/>
      <name val="Calibri"/>
    </font>
    <font>
      <b/>
      <sz val="11.0"/>
      <color theme="1"/>
      <name val="Cambria"/>
    </font>
    <font>
      <b/>
      <sz val="10.0"/>
      <color rgb="FF1E3A5F"/>
      <name val="Calibri"/>
    </font>
    <font>
      <sz val="9.0"/>
      <color rgb="FF0D1B2A"/>
      <name val="Calibri"/>
    </font>
    <font>
      <b/>
      <sz val="11.0"/>
      <color rgb="FFFFFFFF"/>
      <name val="Calibri"/>
    </font>
    <font>
      <b/>
      <sz val="10.0"/>
      <color rgb="FF1A4731"/>
      <name val="Calibri"/>
    </font>
    <font>
      <b/>
      <sz val="10.0"/>
      <color rgb="FF0D1B2A"/>
      <name val="Calibri"/>
    </font>
    <font>
      <sz val="9.0"/>
      <color rgb="FF374151"/>
      <name val="Calibri"/>
    </font>
    <font>
      <sz val="8.0"/>
      <color rgb="FF555555"/>
      <name val="Arial"/>
    </font>
    <font>
      <b/>
      <sz val="9.0"/>
      <color rgb="FFAAAAAA"/>
      <name val="Arial"/>
    </font>
    <font>
      <i/>
      <sz val="8.0"/>
      <color rgb="FFAAAAAA"/>
      <name val="Arial"/>
    </font>
    <font>
      <i/>
      <sz val="8.0"/>
      <color rgb="FF777777"/>
      <name val="Arial"/>
    </font>
    <font>
      <b/>
      <sz val="8.0"/>
      <color rgb="FFFFFFFF"/>
      <name val="Arial"/>
    </font>
    <font>
      <b/>
      <sz val="11.0"/>
      <color rgb="FF1B5E20"/>
      <name val="Arial"/>
    </font>
    <font>
      <i/>
      <sz val="8.0"/>
      <color rgb="FFB71C1C"/>
      <name val="Arial"/>
    </font>
    <font>
      <sz val="8.0"/>
      <color rgb="FF1A1F3A"/>
      <name val="Arial"/>
    </font>
    <font>
      <sz val="8.0"/>
      <color rgb="FF333333"/>
      <name val="Arial"/>
    </font>
    <font>
      <b/>
      <sz val="8.0"/>
      <color rgb="FF1B5E20"/>
      <name val="Arial"/>
    </font>
    <font>
      <i/>
      <sz val="11.0"/>
      <color rgb="FF1A1A2E"/>
      <name val="Cambria"/>
    </font>
    <font>
      <b/>
      <sz val="13.0"/>
      <color rgb="FFFFFFFF"/>
      <name val="Calibri"/>
    </font>
    <font>
      <sz val="12.0"/>
      <color rgb="FF000000"/>
      <name val="Calibri"/>
    </font>
    <font>
      <b/>
      <sz val="11.0"/>
      <color rgb="FF90EE90"/>
      <name val="Calibri"/>
    </font>
    <font>
      <i/>
      <sz val="11.0"/>
      <color rgb="FFAAAAAA"/>
      <name val="Calibri"/>
    </font>
    <font>
      <b/>
      <sz val="12.0"/>
      <color rgb="FFFFFFFF"/>
      <name val="Calibri"/>
    </font>
    <font>
      <b/>
      <sz val="11.0"/>
      <color rgb="FFFF6666"/>
      <name val="Calibri"/>
    </font>
    <font>
      <i/>
      <sz val="11.0"/>
      <color rgb="FFBBBBBB"/>
      <name val="Calibri"/>
    </font>
    <font>
      <b/>
      <sz val="11.0"/>
      <color rgb="FFFFFF88"/>
      <name val="Calibri"/>
    </font>
    <font>
      <b/>
      <sz val="11.0"/>
      <color rgb="FF87CEEB"/>
      <name val="Calibri"/>
    </font>
    <font>
      <i/>
      <sz val="11.0"/>
      <color rgb="FFCCCCCC"/>
      <name val="Calibri"/>
    </font>
    <font>
      <i/>
      <sz val="11.0"/>
      <color rgb="FFFFFF88"/>
      <name val="Calibri"/>
    </font>
    <font>
      <sz val="9.0"/>
      <color rgb="FFAAAAAA"/>
      <name val="Arial"/>
    </font>
    <font>
      <sz val="8.0"/>
      <color rgb="FFCCCCCC"/>
      <name val="Arial"/>
    </font>
    <font>
      <b/>
      <sz val="8.0"/>
      <color rgb="FFE65100"/>
      <name val="Arial"/>
    </font>
    <font>
      <b/>
      <sz val="8.0"/>
      <color rgb="FFC62828"/>
      <name val="Arial"/>
    </font>
    <font>
      <b/>
      <sz val="8.0"/>
      <color rgb="FF1A1F3A"/>
      <name val="Arial"/>
    </font>
    <font>
      <b/>
      <sz val="11.0"/>
      <color rgb="FFFFFFFF"/>
      <name val="Cambria"/>
    </font>
    <font>
      <b/>
      <sz val="10.0"/>
      <color rgb="FF000000"/>
      <name val="Arial"/>
    </font>
    <font>
      <sz val="10.0"/>
      <color rgb="FF000000"/>
      <name val="Arial"/>
    </font>
    <font>
      <b/>
      <i/>
      <sz val="9.0"/>
      <color rgb="FFFFFFFF"/>
      <name val="Arial"/>
    </font>
    <font>
      <b/>
      <sz val="10.0"/>
      <color rgb="FFFFFFFF"/>
      <name val="Cambria"/>
    </font>
    <font>
      <b/>
      <sz val="9.0"/>
      <color theme="1"/>
      <name val="Cambria"/>
    </font>
    <font>
      <sz val="9.0"/>
      <color theme="1"/>
      <name val="Cambria"/>
    </font>
    <font>
      <sz val="9.0"/>
      <color rgb="FF595959"/>
      <name val="Cambria"/>
    </font>
    <font>
      <b/>
      <sz val="10.0"/>
      <color rgb="FF1F3864"/>
      <name val="Cambria"/>
    </font>
    <font>
      <sz val="9.0"/>
      <color rgb="FF000000"/>
      <name val="Cambria"/>
    </font>
    <font>
      <b/>
      <sz val="12.0"/>
      <color rgb="FFFFD700"/>
      <name val="Cambria"/>
    </font>
    <font>
      <b/>
      <sz val="10.0"/>
      <color rgb="FFFFD700"/>
      <name val="Cambria"/>
    </font>
    <font>
      <b/>
      <sz val="11.0"/>
      <color rgb="FF00FF87"/>
      <name val="Cambria"/>
    </font>
    <font>
      <b/>
      <sz val="9.0"/>
      <color rgb="FFFFB800"/>
      <name val="Cambria"/>
    </font>
    <font>
      <b/>
      <sz val="11.0"/>
      <color rgb="FF0D3B66"/>
      <name val="Calibri"/>
    </font>
    <font>
      <b/>
      <sz val="10.0"/>
      <color rgb="FFFFFFFF"/>
      <name val="Calibri"/>
    </font>
    <font>
      <sz val="10.0"/>
      <color rgb="FF000000"/>
      <name val="Calibri"/>
    </font>
    <font>
      <b/>
      <sz val="10.0"/>
      <color rgb="FFCC0000"/>
      <name val="Calibri"/>
    </font>
    <font>
      <b/>
      <sz val="11.0"/>
      <color rgb="FF006600"/>
      <name val="Calibri"/>
    </font>
    <font>
      <i/>
      <sz val="11.0"/>
      <color rgb="FF666666"/>
      <name val="Cambria"/>
    </font>
    <font>
      <b/>
      <sz val="11.0"/>
      <color rgb="FF000000"/>
      <name val="Cambria"/>
    </font>
    <font>
      <b/>
      <sz val="11.0"/>
      <color rgb="FF006600"/>
      <name val="Cambria"/>
    </font>
    <font>
      <i/>
      <sz val="11.0"/>
      <color rgb="FF888888"/>
      <name val="Cambria"/>
    </font>
    <font>
      <sz val="11.0"/>
      <color rgb="FF444444"/>
      <name val="Cambria"/>
    </font>
    <font>
      <b/>
      <sz val="11.0"/>
      <color rgb="FF0000FF"/>
      <name val="Cambria"/>
    </font>
    <font>
      <b/>
      <sz val="11.0"/>
      <color rgb="FF7D3C98"/>
      <name val="Cambria"/>
    </font>
    <font>
      <sz val="11.0"/>
      <color rgb="FF000000"/>
      <name val="Cambria"/>
    </font>
    <font>
      <sz val="11.0"/>
      <color rgb="FF888888"/>
      <name val="Cambria"/>
    </font>
    <font>
      <b/>
      <sz val="11.0"/>
      <color rgb="FFCC0000"/>
      <name val="Cambria"/>
    </font>
    <font>
      <sz val="11.0"/>
      <color rgb="FFFFFFFF"/>
      <name val="Cambria"/>
    </font>
    <font>
      <sz val="11.0"/>
      <color rgb="FF006600"/>
      <name val="Cambria"/>
    </font>
    <font>
      <sz val="11.0"/>
      <color rgb="FF333333"/>
      <name val="Cambria"/>
    </font>
    <font>
      <i/>
      <sz val="11.0"/>
      <color rgb="FFCC0000"/>
      <name val="Cambria"/>
    </font>
    <font>
      <b/>
      <sz val="11.0"/>
      <color rgb="FF1A3A2E"/>
      <name val="Cambria"/>
    </font>
    <font>
      <i/>
      <sz val="11.0"/>
      <color rgb="FF555555"/>
      <name val="Cambria"/>
    </font>
    <font>
      <b/>
      <sz val="12.0"/>
      <color rgb="FFFFFFFF"/>
      <name val="Arial"/>
    </font>
    <font>
      <sz val="9.0"/>
      <color rgb="FF1B5E20"/>
      <name val="Arial"/>
    </font>
    <font>
      <sz val="9.0"/>
      <color rgb="FFC62828"/>
      <name val="Arial"/>
    </font>
    <font>
      <b/>
      <i/>
      <sz val="9.0"/>
      <color rgb="FF888888"/>
      <name val="Arial"/>
    </font>
    <font>
      <sz val="9.0"/>
      <color rgb="FF111111"/>
      <name val="Arial"/>
    </font>
    <font>
      <i/>
      <sz val="8.0"/>
      <color rgb="FF888888"/>
      <name val="Arial"/>
    </font>
    <font>
      <sz val="8.0"/>
      <color rgb="FF999999"/>
      <name val="Arial"/>
    </font>
    <font>
      <sz val="11.0"/>
      <color rgb="FFCC6600"/>
      <name val="Cambria"/>
    </font>
    <font>
      <sz val="11.0"/>
      <color rgb="FFCCCCCC"/>
      <name val="Cambria"/>
    </font>
    <font>
      <i/>
      <sz val="8.0"/>
      <color rgb="FF000000"/>
      <name val="Arial"/>
    </font>
    <font>
      <sz val="9.0"/>
      <color rgb="FF6B7280"/>
      <name val="Calibri"/>
    </font>
    <font>
      <b/>
      <sz val="10.0"/>
      <color rgb="FF1A1A1A"/>
      <name val="Calibri"/>
    </font>
    <font>
      <sz val="10.0"/>
      <color rgb="FF1A1A1A"/>
      <name val="Calibri"/>
    </font>
    <font>
      <sz val="9.0"/>
      <color rgb="FF000000"/>
      <name val="Calibri"/>
    </font>
    <font>
      <sz val="10.0"/>
      <color rgb="FF6B7280"/>
      <name val="Calibri"/>
    </font>
    <font>
      <b/>
      <sz val="10.0"/>
      <color rgb="FF92400E"/>
      <name val="Calibri"/>
    </font>
    <font>
      <i/>
      <sz val="10.0"/>
      <color rgb="FF1E40AF"/>
      <name val="Calibri"/>
    </font>
    <font>
      <b/>
      <sz val="9.0"/>
      <color rgb="FFFFFFFF"/>
      <name val="Calibri"/>
    </font>
    <font>
      <i/>
      <sz val="10.0"/>
      <color rgb="FF6B7280"/>
      <name val="Calibri"/>
    </font>
    <font>
      <b/>
      <sz val="10.0"/>
      <color rgb="FF7B1A1A"/>
      <name val="Calibri"/>
    </font>
    <font>
      <i/>
      <sz val="10.0"/>
      <color rgb="FF92400E"/>
      <name val="Calibri"/>
    </font>
    <font>
      <b/>
      <sz val="10.0"/>
      <color rgb="FF4C1D95"/>
      <name val="Calibri"/>
    </font>
    <font>
      <sz val="10.0"/>
      <color theme="1"/>
      <name val="Arial"/>
    </font>
    <font>
      <b/>
      <sz val="9.0"/>
      <color rgb="FFFFFFFF"/>
      <name val="Cambria"/>
    </font>
    <font>
      <b/>
      <sz val="9.0"/>
      <color rgb="FF375623"/>
      <name val="Cambria"/>
    </font>
    <font>
      <b/>
      <sz val="9.0"/>
      <color rgb="FF7F6000"/>
      <name val="Cambria"/>
    </font>
    <font>
      <b/>
      <sz val="9.0"/>
      <color rgb="FFC55A11"/>
      <name val="Cambria"/>
    </font>
    <font>
      <b/>
      <sz val="9.0"/>
      <color rgb="FF595959"/>
      <name val="Cambria"/>
    </font>
    <font>
      <b/>
      <u/>
      <sz val="10.0"/>
      <color rgb="FF375623"/>
      <name val="Cambria"/>
    </font>
    <font>
      <b/>
      <sz val="10.0"/>
      <color rgb="FF375623"/>
      <name val="Cambria"/>
    </font>
    <font>
      <b/>
      <sz val="10.0"/>
      <color rgb="FF1F4E79"/>
      <name val="Cambria"/>
    </font>
    <font>
      <sz val="10.0"/>
      <color rgb="FF375623"/>
      <name val="Cambria"/>
    </font>
    <font>
      <b/>
      <sz val="10.0"/>
      <color rgb="FF000000"/>
      <name val="Cambria"/>
    </font>
    <font>
      <b/>
      <u/>
      <sz val="10.0"/>
      <color rgb="FFC55A11"/>
      <name val="Cambria"/>
    </font>
    <font>
      <b/>
      <sz val="10.0"/>
      <color rgb="FFC55A11"/>
      <name val="Cambria"/>
    </font>
    <font>
      <sz val="10.0"/>
      <color rgb="FF0070C0"/>
      <name val="Cambria"/>
    </font>
    <font>
      <b/>
      <sz val="10.0"/>
      <color rgb="FFC00000"/>
      <name val="Cambria"/>
    </font>
    <font>
      <b/>
      <u/>
      <sz val="10.0"/>
      <color rgb="FF595959"/>
      <name val="Cambria"/>
    </font>
    <font>
      <b/>
      <sz val="10.0"/>
      <color rgb="FF595959"/>
      <name val="Cambria"/>
    </font>
    <font>
      <b/>
      <sz val="10.0"/>
      <color rgb="FF7F6000"/>
      <name val="Cambria"/>
    </font>
    <font>
      <b/>
      <u/>
      <sz val="10.0"/>
      <color rgb="FF7F6000"/>
      <name val="Cambria"/>
    </font>
    <font>
      <sz val="10.0"/>
      <color rgb="FFFFFFFF"/>
      <name val="Cambria"/>
    </font>
    <font>
      <sz val="9.0"/>
      <color rgb="FF375623"/>
      <name val="Cambria"/>
    </font>
    <font>
      <sz val="9.0"/>
      <color rgb="FF7F6000"/>
      <name val="Cambria"/>
    </font>
    <font>
      <sz val="9.0"/>
      <color rgb="FFC55A11"/>
      <name val="Cambria"/>
    </font>
    <font>
      <i/>
      <sz val="9.0"/>
      <color rgb="FFFFFFFF"/>
      <name val="Calibri"/>
    </font>
    <font>
      <b/>
      <sz val="8.0"/>
      <color rgb="FFFFFFFF"/>
      <name val="Calibri"/>
    </font>
    <font>
      <b/>
      <sz val="9.0"/>
      <color rgb="FF666666"/>
      <name val="Calibri"/>
    </font>
    <font>
      <sz val="9.0"/>
      <color rgb="FF1A1A1A"/>
      <name val="Calibri"/>
    </font>
    <font>
      <b/>
      <sz val="9.0"/>
      <color rgb="FF1A1A1A"/>
      <name val="Calibri"/>
    </font>
    <font>
      <sz val="9.0"/>
      <color rgb="FF1F3864"/>
      <name val="Calibri"/>
    </font>
    <font>
      <b/>
      <sz val="9.0"/>
      <color rgb="FF1E7145"/>
      <name val="Calibri"/>
    </font>
    <font>
      <sz val="9.0"/>
      <color rgb="FF666666"/>
      <name val="Calibri"/>
    </font>
    <font>
      <b/>
      <sz val="9.0"/>
      <color rgb="FFBF5700"/>
      <name val="Calibri"/>
    </font>
    <font>
      <sz val="9.0"/>
      <color rgb="FF1E7145"/>
      <name val="Calibri"/>
    </font>
    <font>
      <b/>
      <sz val="9.0"/>
      <color rgb="FFC00000"/>
      <name val="Calibri"/>
    </font>
    <font>
      <sz val="9.0"/>
      <color rgb="FFC00000"/>
      <name val="Calibri"/>
    </font>
    <font>
      <i/>
      <sz val="9.0"/>
      <color rgb="FF1A1A1A"/>
      <name val="Calibri"/>
    </font>
    <font>
      <b/>
      <sz val="13.0"/>
      <color rgb="FFFFFFFF"/>
      <name val="Cambria"/>
    </font>
    <font>
      <i/>
      <sz val="9.0"/>
      <color rgb="FF595959"/>
      <name val="Cambria"/>
    </font>
    <font>
      <sz val="10.0"/>
      <color theme="1"/>
      <name val="Cambria"/>
    </font>
    <font>
      <b/>
      <sz val="10.0"/>
      <color theme="1"/>
      <name val="Cambria"/>
    </font>
    <font>
      <sz val="10.0"/>
      <color rgb="FF595959"/>
      <name val="Cambria"/>
    </font>
    <font>
      <b/>
      <sz val="10.0"/>
      <color rgb="FF00B050"/>
      <name val="Cambria"/>
    </font>
    <font>
      <b/>
      <sz val="10.0"/>
      <color rgb="FFFF8C00"/>
      <name val="Cambria"/>
    </font>
    <font>
      <b/>
      <sz val="10.0"/>
      <color rgb="FFFF0000"/>
      <name val="Cambria"/>
    </font>
    <font>
      <b/>
      <sz val="10.0"/>
      <color rgb="FF7030A0"/>
      <name val="Cambria"/>
    </font>
    <font>
      <b/>
      <sz val="9.0"/>
      <color rgb="FF000000"/>
      <name val="Cambria"/>
    </font>
    <font>
      <sz val="11.0"/>
      <color rgb="FF000000"/>
      <name val="Calibri"/>
    </font>
    <font>
      <i/>
      <sz val="8.0"/>
      <color rgb="FF7A8AA0"/>
      <name val="Arial"/>
    </font>
    <font>
      <b/>
      <sz val="10.0"/>
      <color rgb="FF7A5800"/>
      <name val="Arial"/>
    </font>
    <font>
      <sz val="9.0"/>
      <color rgb="FF0D47A1"/>
      <name val="Arial"/>
    </font>
    <font>
      <sz val="9.0"/>
      <color rgb="FFE65100"/>
      <name val="Arial"/>
    </font>
    <font>
      <sz val="9.0"/>
      <color rgb="FFB71C1C"/>
      <name val="Arial"/>
    </font>
    <font>
      <b/>
      <sz val="9.0"/>
      <color rgb="FF1A1A2E"/>
      <name val="Arial"/>
    </font>
    <font>
      <sz val="9.0"/>
      <color rgb="FF1A1A2E"/>
      <name val="Arial"/>
    </font>
    <font>
      <sz val="9.0"/>
      <color rgb="FFFFFFFF"/>
      <name val="Arial"/>
    </font>
    <font>
      <b/>
      <sz val="10.0"/>
      <color rgb="FF1565C0"/>
      <name val="Arial"/>
    </font>
    <font>
      <sz val="8.0"/>
      <color rgb="FF1A1A2E"/>
      <name val="Arial"/>
    </font>
    <font>
      <b/>
      <sz val="7.0"/>
      <color rgb="FFFFFFFF"/>
      <name val="Arial"/>
    </font>
    <font>
      <b/>
      <sz val="9.0"/>
      <color rgb="FF1B5E20"/>
      <name val="Arial"/>
    </font>
    <font>
      <sz val="9.0"/>
      <color rgb="FF1565C0"/>
      <name val="Arial"/>
    </font>
    <font>
      <sz val="8.0"/>
      <color rgb="FF1B5E20"/>
      <name val="Arial"/>
    </font>
    <font>
      <b/>
      <sz val="8.0"/>
      <color rgb="FF064E3B"/>
      <name val="Arial"/>
    </font>
    <font>
      <sz val="7.0"/>
      <color rgb="FF666666"/>
      <name val="Arial"/>
    </font>
    <font>
      <b/>
      <sz val="8.0"/>
      <color rgb="FF888888"/>
      <name val="Arial"/>
    </font>
    <font>
      <b/>
      <sz val="10.0"/>
      <color rgb="FF2E75B6"/>
      <name val="Arial"/>
    </font>
    <font>
      <sz val="9.0"/>
      <color rgb="FF0000FF"/>
      <name val="Arial"/>
    </font>
    <font>
      <b/>
      <sz val="8.0"/>
      <color rgb="FF1E3A5F"/>
      <name val="Arial"/>
    </font>
    <font>
      <b/>
      <sz val="10.0"/>
      <color rgb="FF7030A0"/>
      <name val="Arial"/>
    </font>
    <font>
      <b/>
      <sz val="8.0"/>
      <color rgb="FF92400E"/>
      <name val="Arial"/>
    </font>
    <font>
      <b/>
      <sz val="10.0"/>
      <color rgb="FF595959"/>
      <name val="Arial"/>
    </font>
    <font>
      <b/>
      <sz val="8.0"/>
      <color rgb="FF4C1D95"/>
      <name val="Arial"/>
    </font>
    <font>
      <sz val="8.0"/>
      <color rgb="FF0D47A1"/>
      <name val="Arial"/>
    </font>
    <font>
      <b/>
      <sz val="8.0"/>
      <color rgb="FF713F12"/>
      <name val="Arial"/>
    </font>
    <font>
      <b/>
      <sz val="9.0"/>
      <color rgb="FFE65100"/>
      <name val="Arial"/>
    </font>
    <font>
      <sz val="8.0"/>
      <color rgb="FFE65100"/>
      <name val="Arial"/>
    </font>
    <font>
      <b/>
      <sz val="8.0"/>
      <color rgb="FF7F1D1D"/>
      <name val="Arial"/>
    </font>
    <font>
      <b/>
      <sz val="8.0"/>
      <color rgb="FF9A3412"/>
      <name val="Arial"/>
    </font>
    <font>
      <sz val="8.0"/>
      <color rgb="FFBF360C"/>
      <name val="Arial"/>
    </font>
    <font>
      <b/>
      <sz val="8.0"/>
      <color rgb="FF14532D"/>
      <name val="Arial"/>
    </font>
    <font>
      <b/>
      <sz val="8.0"/>
      <color rgb="FF0F766E"/>
      <name val="Arial"/>
    </font>
    <font>
      <sz val="10.0"/>
      <color rgb="FF888888"/>
      <name val="Arial"/>
    </font>
    <font>
      <i/>
      <sz val="8.0"/>
      <color rgb="FF444444"/>
      <name val="Arial"/>
    </font>
    <font>
      <b/>
      <sz val="10.0"/>
      <color rgb="FF0D47A1"/>
      <name val="Arial"/>
    </font>
    <font>
      <b/>
      <sz val="10.0"/>
      <color rgb="FF333333"/>
      <name val="Arial"/>
    </font>
    <font>
      <sz val="10.0"/>
      <color rgb="FF555555"/>
      <name val="Arial"/>
    </font>
    <font>
      <sz val="10.0"/>
      <color rgb="FF333333"/>
      <name val="Arial"/>
    </font>
    <font>
      <sz val="10.0"/>
      <color rgb="FF666666"/>
      <name val="Arial"/>
    </font>
    <font>
      <b/>
      <sz val="10.0"/>
      <color rgb="FF1A237E"/>
      <name val="Arial"/>
    </font>
    <font>
      <sz val="10.0"/>
      <color rgb="FF7B1FA2"/>
      <name val="Arial"/>
    </font>
    <font>
      <b/>
      <sz val="10.0"/>
      <color rgb="FF4A148C"/>
      <name val="Arial"/>
    </font>
    <font>
      <b/>
      <sz val="10.0"/>
      <color rgb="FF666666"/>
      <name val="Arial"/>
    </font>
    <font>
      <b/>
      <sz val="10.0"/>
      <color rgb="FFF9A825"/>
      <name val="Arial"/>
    </font>
    <font>
      <b/>
      <sz val="13.0"/>
      <color rgb="FFFFD700"/>
      <name val="Arial"/>
    </font>
    <font>
      <i/>
      <sz val="9.0"/>
      <color rgb="FFAAAAAA"/>
      <name val="Arial"/>
    </font>
    <font>
      <b/>
      <sz val="9.0"/>
      <color rgb="FF1F3864"/>
      <name val="Arial"/>
    </font>
    <font>
      <b/>
      <sz val="12.0"/>
      <color rgb="FFFFD700"/>
      <name val="Arial"/>
    </font>
    <font>
      <b/>
      <sz val="10.0"/>
      <color rgb="FF0D1B2A"/>
      <name val="Arial"/>
    </font>
    <font>
      <b/>
      <sz val="12.0"/>
      <color rgb="FF1A4731"/>
      <name val="Calibri"/>
    </font>
    <font>
      <sz val="9.0"/>
      <color rgb="FF1A4731"/>
      <name val="Calibri"/>
    </font>
    <font>
      <b/>
      <sz val="12.0"/>
      <color rgb="FF92400E"/>
      <name val="Calibri"/>
    </font>
    <font>
      <i/>
      <sz val="8.0"/>
      <color rgb="FF999999"/>
      <name val="Arial"/>
    </font>
    <font>
      <sz val="9.0"/>
      <color rgb="FF7A5800"/>
      <name val="Arial"/>
    </font>
    <font>
      <b/>
      <sz val="11.0"/>
      <color rgb="FFBBDEFB"/>
      <name val="Arial"/>
    </font>
    <font>
      <b/>
      <sz val="11.0"/>
      <color rgb="FFCCFFCC"/>
      <name val="Arial"/>
    </font>
    <font>
      <b/>
      <sz val="9.0"/>
      <color rgb="FFCC0000"/>
      <name val="Arial"/>
    </font>
    <font>
      <sz val="8.0"/>
      <color rgb="FF000000"/>
      <name val="Arial"/>
    </font>
    <font>
      <b/>
      <sz val="9.0"/>
      <color rgb="FF276221"/>
      <name val="Arial"/>
    </font>
    <font>
      <i/>
      <sz val="10.0"/>
      <color rgb="FF999999"/>
      <name val="Arial"/>
    </font>
    <font>
      <b/>
      <i/>
      <sz val="11.0"/>
      <color rgb="FF1A5276"/>
      <name val="Cambria"/>
    </font>
    <font>
      <sz val="9.0"/>
      <color rgb="FF888888"/>
      <name val="Arial"/>
    </font>
    <font>
      <b/>
      <sz val="10.0"/>
      <color rgb="FFE8D5B7"/>
      <name val="Arial"/>
    </font>
    <font>
      <i/>
      <sz val="8.0"/>
      <color rgb="FF666666"/>
      <name val="Arial"/>
    </font>
    <font>
      <sz val="9.0"/>
      <color rgb="FF1F3864"/>
      <name val="Arial"/>
    </font>
    <font>
      <b/>
      <sz val="11.0"/>
      <color rgb="FF000000"/>
      <name val="Arial"/>
    </font>
    <font>
      <sz val="11.0"/>
      <color rgb="FF0000FF"/>
      <name val="Arial"/>
    </font>
    <font>
      <sz val="11.0"/>
      <color rgb="FF006400"/>
      <name val="Arial"/>
    </font>
    <font>
      <sz val="9.0"/>
      <color rgb="FF444444"/>
      <name val="Arial"/>
    </font>
    <font>
      <b/>
      <sz val="11.0"/>
      <color rgb="FF006400"/>
      <name val="Arial"/>
    </font>
    <font>
      <b/>
      <sz val="10.0"/>
      <color rgb="FF276221"/>
      <name val="Arial"/>
    </font>
    <font>
      <sz val="7.0"/>
      <color rgb="FF888888"/>
      <name val="Arial"/>
    </font>
    <font>
      <b/>
      <sz val="9.0"/>
      <color rgb="FF1565C0"/>
      <name val="Arial"/>
    </font>
    <font>
      <b/>
      <sz val="11.0"/>
      <color rgb="FF1565C0"/>
      <name val="Arial"/>
    </font>
    <font>
      <sz val="8.0"/>
      <color rgb="FF1565C0"/>
      <name val="Arial"/>
    </font>
    <font>
      <b/>
      <sz val="11.0"/>
      <color rgb="FFE65100"/>
      <name val="Arial"/>
    </font>
    <font>
      <sz val="8.0"/>
      <color rgb="FFAABBCC"/>
      <name val="Arial"/>
    </font>
    <font>
      <b/>
      <sz val="11.0"/>
      <color rgb="FFFFDD88"/>
      <name val="Arial"/>
    </font>
    <font>
      <sz val="8.0"/>
      <color rgb="FFFFFFFF"/>
      <name val="Arial"/>
    </font>
    <font>
      <sz val="9.0"/>
      <color rgb="FFBF360C"/>
      <name val="Arial"/>
    </font>
    <font>
      <b/>
      <i/>
      <sz val="11.0"/>
      <color rgb="FF1A3A2E"/>
      <name val="Cambria"/>
    </font>
    <font>
      <sz val="11.0"/>
      <color rgb="FF7D3C98"/>
      <name val="Cambria"/>
    </font>
    <font>
      <sz val="11.0"/>
      <color rgb="FFAAAAAA"/>
      <name val="Cambria"/>
    </font>
    <font>
      <sz val="11.0"/>
      <color rgb="FF1A5276"/>
      <name val="Cambria"/>
    </font>
    <font>
      <b/>
      <sz val="11.0"/>
      <color rgb="FF1A5276"/>
      <name val="Cambria"/>
    </font>
    <font>
      <b/>
      <sz val="11.0"/>
      <color rgb="FF003366"/>
      <name val="Cambria"/>
    </font>
    <font>
      <sz val="8.0"/>
      <color rgb="FFAAAAAA"/>
      <name val="Arial"/>
    </font>
    <font>
      <b/>
      <sz val="10.0"/>
      <color rgb="FFB71C1C"/>
      <name val="Arial"/>
    </font>
    <font>
      <b/>
      <sz val="10.0"/>
      <color rgb="FF1A1F3A"/>
      <name val="Arial"/>
    </font>
    <font>
      <b/>
      <sz val="10.0"/>
      <color rgb="FF555555"/>
      <name val="Arial"/>
    </font>
    <font>
      <sz val="11.0"/>
      <color rgb="FF0000FF"/>
      <name val="Cambria"/>
    </font>
    <font>
      <sz val="9.0"/>
      <color rgb="FFAAAACC"/>
      <name val="Arial"/>
    </font>
    <font>
      <b/>
      <sz val="10.0"/>
      <color rgb="FFB45309"/>
      <name val="Arial"/>
    </font>
    <font>
      <b/>
      <sz val="9.0"/>
      <color rgb="FF999999"/>
      <name val="Arial"/>
    </font>
    <font>
      <sz val="9.0"/>
      <color rgb="FF999999"/>
      <name val="Arial"/>
    </font>
    <font>
      <b/>
      <sz val="10.0"/>
      <color rgb="FF1B5E20"/>
      <name val="Arial"/>
    </font>
    <font>
      <b/>
      <sz val="10.0"/>
      <color rgb="FF1A3A5C"/>
      <name val="Arial"/>
    </font>
    <font>
      <b/>
      <sz val="10.0"/>
      <color rgb="FF1D4ED8"/>
      <name val="Arial"/>
    </font>
    <font>
      <i/>
      <sz val="8.0"/>
      <color rgb="FF1B5E20"/>
      <name val="Arial"/>
    </font>
    <font>
      <b/>
      <sz val="10.0"/>
      <color rgb="FF065F46"/>
      <name val="Arial"/>
    </font>
    <font>
      <sz val="9.0"/>
      <color rgb="FF843C0C"/>
      <name val="Arial"/>
    </font>
    <font>
      <b/>
      <sz val="12.0"/>
      <color rgb="FF0000FF"/>
      <name val="Arial"/>
    </font>
    <font>
      <b/>
      <sz val="12.0"/>
      <color rgb="FF006400"/>
      <name val="Arial"/>
    </font>
    <font>
      <sz val="9.0"/>
      <color rgb="FF006400"/>
      <name val="Arial"/>
    </font>
    <font>
      <b/>
      <sz val="12.0"/>
      <color rgb="FFC00000"/>
      <name val="Arial"/>
    </font>
    <font>
      <b/>
      <sz val="9.0"/>
      <color rgb="FFC00000"/>
      <name val="Arial"/>
    </font>
    <font>
      <b/>
      <sz val="8.0"/>
      <color rgb="FF374151"/>
      <name val="Arial"/>
    </font>
    <font>
      <b/>
      <sz val="11.0"/>
      <color rgb="FF1A1F3A"/>
      <name val="Arial"/>
    </font>
    <font>
      <sz val="8.0"/>
      <color rgb="FFC62828"/>
      <name val="Arial"/>
    </font>
    <font>
      <i/>
      <sz val="8.0"/>
      <color rgb="FF1565C0"/>
      <name val="Arial"/>
    </font>
    <font>
      <b/>
      <sz val="8.0"/>
      <color rgb="FFCCCCCC"/>
      <name val="Arial"/>
    </font>
    <font>
      <b/>
      <sz val="8.0"/>
      <color rgb="FFB71C1C"/>
      <name val="Arial"/>
    </font>
    <font>
      <sz val="11.0"/>
      <color rgb="FF555555"/>
      <name val="Cambria"/>
    </font>
    <font>
      <b/>
      <sz val="11.0"/>
      <color rgb="FF333333"/>
      <name val="Cambria"/>
    </font>
    <font>
      <b/>
      <sz val="9.0"/>
      <color rgb="FF1F1F1F"/>
      <name val="Cambria"/>
    </font>
    <font>
      <sz val="9.0"/>
      <color rgb="FF1F1F1F"/>
      <name val="Courier New"/>
    </font>
    <font>
      <b/>
      <sz val="14.0"/>
      <color rgb="FFFFFFFF"/>
      <name val="Calibri"/>
    </font>
    <font>
      <sz val="10.0"/>
      <color rgb="FFFFFFFF"/>
      <name val="Calibri"/>
    </font>
    <font>
      <i/>
      <sz val="9.0"/>
      <color rgb="FF000000"/>
      <name val="Calibri"/>
    </font>
    <font>
      <b/>
      <sz val="10.0"/>
      <color rgb="FF1F4E79"/>
      <name val="Calibri"/>
    </font>
    <font>
      <sz val="9.0"/>
      <color rgb="FF888888"/>
      <name val="Calibri"/>
    </font>
    <font>
      <b/>
      <sz val="9.0"/>
      <color rgb="FF1F4E79"/>
      <name val="Calibri"/>
    </font>
    <font>
      <b/>
      <sz val="10.0"/>
      <color rgb="FF1E7145"/>
      <name val="Calibri"/>
    </font>
    <font>
      <i/>
      <sz val="9.0"/>
      <color rgb="FF795548"/>
      <name val="Calibri"/>
    </font>
    <font>
      <sz val="9.0"/>
      <color rgb="FFC55A11"/>
      <name val="Calibri"/>
    </font>
    <font>
      <b/>
      <sz val="10.0"/>
      <color rgb="FF1565C0"/>
      <name val="Calibri"/>
    </font>
    <font>
      <b/>
      <sz val="9.0"/>
      <color rgb="FF1565C0"/>
      <name val="Calibri"/>
    </font>
    <font>
      <b/>
      <sz val="10.0"/>
      <color rgb="FFBF8F00"/>
      <name val="Calibri"/>
    </font>
    <font>
      <b/>
      <sz val="9.0"/>
      <color rgb="FFBF8F00"/>
      <name val="Calibri"/>
    </font>
    <font>
      <sz val="10.0"/>
      <color rgb="FFC55A11"/>
      <name val="Calibri"/>
    </font>
    <font>
      <sz val="10.0"/>
      <color rgb="FF999999"/>
      <name val="Calibri"/>
    </font>
    <font>
      <sz val="10.0"/>
      <color rgb="FF1A1A2E"/>
      <name val="Arial"/>
    </font>
    <font>
      <b/>
      <sz val="10.0"/>
      <color rgb="FF1A1A2E"/>
      <name val="Arial"/>
    </font>
    <font>
      <i/>
      <sz val="9.0"/>
      <color rgb="FF888888"/>
      <name val="Calibri"/>
    </font>
    <font>
      <b/>
      <sz val="10.0"/>
      <color theme="1"/>
      <name val="Courier New"/>
    </font>
  </fonts>
  <fills count="73">
    <fill>
      <patternFill patternType="none"/>
    </fill>
    <fill>
      <patternFill patternType="lightGray"/>
    </fill>
    <fill>
      <patternFill patternType="solid">
        <fgColor rgb="FF0B0F0C"/>
        <bgColor rgb="FF0B0F0C"/>
      </patternFill>
    </fill>
    <fill>
      <patternFill patternType="solid">
        <fgColor rgb="FF0949B0"/>
        <bgColor rgb="FF0949B0"/>
      </patternFill>
    </fill>
    <fill>
      <patternFill patternType="solid">
        <fgColor rgb="FFF7F8FA"/>
        <bgColor rgb="FFF7F8FA"/>
      </patternFill>
    </fill>
    <fill>
      <patternFill patternType="solid">
        <fgColor rgb="FFED5F03"/>
        <bgColor rgb="FFED5F03"/>
      </patternFill>
    </fill>
    <fill>
      <patternFill patternType="solid">
        <fgColor rgb="FFFFEEEF"/>
        <bgColor rgb="FFFFEEEF"/>
      </patternFill>
    </fill>
    <fill>
      <patternFill patternType="solid">
        <fgColor rgb="FFFFFDEC"/>
        <bgColor rgb="FFFFFDEC"/>
      </patternFill>
    </fill>
    <fill>
      <patternFill patternType="solid">
        <fgColor rgb="FFEFF4FF"/>
        <bgColor rgb="FFEFF4FF"/>
      </patternFill>
    </fill>
    <fill>
      <patternFill patternType="solid">
        <fgColor rgb="FF0C83C4"/>
        <bgColor rgb="FF0C83C4"/>
      </patternFill>
    </fill>
    <fill>
      <patternFill patternType="solid">
        <fgColor rgb="FF5F5F60"/>
        <bgColor rgb="FF5F5F60"/>
      </patternFill>
    </fill>
    <fill>
      <patternFill patternType="solid">
        <fgColor rgb="FF899187"/>
        <bgColor rgb="FF899187"/>
      </patternFill>
    </fill>
    <fill>
      <patternFill patternType="solid">
        <fgColor rgb="FF343E28"/>
        <bgColor rgb="FF343E28"/>
      </patternFill>
    </fill>
    <fill>
      <patternFill patternType="solid">
        <fgColor rgb="FF1B4E7D"/>
        <bgColor rgb="FF1B4E7D"/>
      </patternFill>
    </fill>
    <fill>
      <patternFill patternType="solid">
        <fgColor rgb="FF191F34"/>
        <bgColor rgb="FF191F34"/>
      </patternFill>
    </fill>
    <fill>
      <patternFill patternType="solid">
        <fgColor rgb="FFF8F9FF"/>
        <bgColor rgb="FFF8F9FF"/>
      </patternFill>
    </fill>
    <fill>
      <patternFill patternType="solid">
        <fgColor rgb="FFEEEEFF"/>
        <bgColor rgb="FFEEEEFF"/>
      </patternFill>
    </fill>
    <fill>
      <patternFill patternType="solid">
        <fgColor rgb="FFFFECEF"/>
        <bgColor rgb="FFFFECEF"/>
      </patternFill>
    </fill>
    <fill>
      <patternFill patternType="solid">
        <fgColor rgb="FFF1EEFF"/>
        <bgColor rgb="FFF1EEFF"/>
      </patternFill>
    </fill>
    <fill>
      <patternFill patternType="solid">
        <fgColor rgb="FFE8F7E9"/>
        <bgColor rgb="FFE8F7E9"/>
      </patternFill>
    </fill>
    <fill>
      <patternFill patternType="solid">
        <fgColor rgb="FFFFFBB1"/>
        <bgColor rgb="FFFFFBB1"/>
      </patternFill>
    </fill>
    <fill>
      <patternFill patternType="solid">
        <fgColor rgb="FFFFFCF3"/>
        <bgColor rgb="FFFFFCF3"/>
      </patternFill>
    </fill>
    <fill>
      <patternFill patternType="solid">
        <fgColor rgb="FFF9FAFD"/>
        <bgColor rgb="FFF9FAFD"/>
      </patternFill>
    </fill>
    <fill>
      <patternFill patternType="solid">
        <fgColor rgb="FFEEF2FF"/>
        <bgColor rgb="FFEEF2FF"/>
      </patternFill>
    </fill>
    <fill>
      <patternFill patternType="solid">
        <fgColor rgb="FFC40402"/>
        <bgColor rgb="FFC40402"/>
      </patternFill>
    </fill>
    <fill>
      <patternFill patternType="solid">
        <fgColor rgb="FFFFF3E0"/>
        <bgColor rgb="FFFFF3E0"/>
      </patternFill>
    </fill>
    <fill>
      <patternFill patternType="solid">
        <fgColor rgb="FFECF5FE"/>
        <bgColor rgb="FFECF5FE"/>
      </patternFill>
    </fill>
    <fill>
      <patternFill patternType="solid">
        <fgColor rgb="FFFFFFFF"/>
        <bgColor rgb="FFFFFFFF"/>
      </patternFill>
    </fill>
    <fill>
      <patternFill patternType="solid">
        <fgColor rgb="FFF7F9FE"/>
        <bgColor rgb="FFF7F9FE"/>
      </patternFill>
    </fill>
    <fill>
      <patternFill patternType="solid">
        <fgColor rgb="FFEAF7EB"/>
        <bgColor rgb="FFEAF7EB"/>
      </patternFill>
    </fill>
    <fill>
      <patternFill patternType="solid">
        <fgColor rgb="FF1C3B2A"/>
        <bgColor rgb="FF1C3B2A"/>
      </patternFill>
    </fill>
    <fill>
      <patternFill patternType="solid">
        <fgColor rgb="FFD6F7E3"/>
        <bgColor rgb="FFD6F7E3"/>
      </patternFill>
    </fill>
    <fill>
      <patternFill patternType="solid">
        <fgColor rgb="FF121B22"/>
        <bgColor rgb="FF121B22"/>
      </patternFill>
    </fill>
    <fill>
      <patternFill patternType="solid">
        <fgColor rgb="FF651FA2"/>
        <bgColor rgb="FF651FA2"/>
      </patternFill>
    </fill>
    <fill>
      <patternFill patternType="solid">
        <fgColor rgb="FF1C3564"/>
        <bgColor rgb="FF1C3564"/>
      </patternFill>
    </fill>
    <fill>
      <patternFill patternType="solid">
        <fgColor rgb="FFE5EEEC"/>
        <bgColor rgb="FFE5EEEC"/>
      </patternFill>
    </fill>
    <fill>
      <patternFill patternType="solid">
        <fgColor rgb="FF003266"/>
        <bgColor rgb="FF003266"/>
      </patternFill>
    </fill>
    <fill>
      <patternFill patternType="solid">
        <fgColor rgb="FF0D3B66"/>
        <bgColor rgb="FF0D3B66"/>
      </patternFill>
    </fill>
    <fill>
      <patternFill patternType="solid">
        <fgColor rgb="FF2C3E50"/>
        <bgColor rgb="FF2C3E50"/>
      </patternFill>
    </fill>
    <fill>
      <patternFill patternType="solid">
        <fgColor rgb="FF2D2D44"/>
        <bgColor rgb="FF2D2D44"/>
      </patternFill>
    </fill>
    <fill>
      <patternFill patternType="solid">
        <fgColor rgb="FF1A5276"/>
        <bgColor rgb="FF1A5276"/>
      </patternFill>
    </fill>
    <fill>
      <patternFill patternType="solid">
        <fgColor rgb="FF7B241C"/>
        <bgColor rgb="FF7B241C"/>
      </patternFill>
    </fill>
    <fill>
      <patternFill patternType="solid">
        <fgColor rgb="FFFFE5E5"/>
        <bgColor rgb="FFFFE5E5"/>
      </patternFill>
    </fill>
    <fill>
      <patternFill patternType="solid">
        <fgColor rgb="FF1E8449"/>
        <bgColor rgb="FF1E8449"/>
      </patternFill>
    </fill>
    <fill>
      <patternFill patternType="solid">
        <fgColor rgb="FF4A235A"/>
        <bgColor rgb="FF4A235A"/>
      </patternFill>
    </fill>
    <fill>
      <patternFill patternType="solid">
        <fgColor rgb="FF17202A"/>
        <bgColor rgb="FF17202A"/>
      </patternFill>
    </fill>
    <fill>
      <patternFill patternType="solid">
        <fgColor rgb="FF333333"/>
        <bgColor rgb="FF333333"/>
      </patternFill>
    </fill>
    <fill>
      <patternFill patternType="solid">
        <fgColor rgb="FF1A3A5C"/>
        <bgColor rgb="FF1A3A5C"/>
      </patternFill>
    </fill>
    <fill>
      <patternFill patternType="solid">
        <fgColor rgb="FF212F3D"/>
        <bgColor rgb="FF212F3D"/>
      </patternFill>
    </fill>
    <fill>
      <patternFill patternType="solid">
        <fgColor rgb="FF154360"/>
        <bgColor rgb="FF154360"/>
      </patternFill>
    </fill>
    <fill>
      <patternFill patternType="solid">
        <fgColor rgb="FF2E4057"/>
        <bgColor rgb="FF2E4057"/>
      </patternFill>
    </fill>
    <fill>
      <patternFill patternType="solid">
        <fgColor rgb="FFE5FFE5"/>
        <bgColor rgb="FFE5FFE5"/>
      </patternFill>
    </fill>
    <fill>
      <patternFill patternType="solid">
        <fgColor rgb="FFD6FCEE"/>
        <bgColor rgb="FFD6FCEE"/>
      </patternFill>
    </fill>
    <fill>
      <patternFill patternType="solid">
        <fgColor rgb="FFF1E3ED"/>
        <bgColor rgb="FFF1E3ED"/>
      </patternFill>
    </fill>
    <fill>
      <patternFill patternType="solid">
        <fgColor rgb="FF026306"/>
        <bgColor rgb="FF026306"/>
      </patternFill>
    </fill>
    <fill>
      <patternFill patternType="solid">
        <fgColor rgb="FFFF0000"/>
        <bgColor rgb="FFFF0000"/>
      </patternFill>
    </fill>
    <fill>
      <patternFill patternType="solid">
        <fgColor rgb="FFF2F2F3"/>
        <bgColor rgb="FFF2F2F3"/>
      </patternFill>
    </fill>
    <fill>
      <patternFill patternType="solid">
        <fgColor rgb="FF834007"/>
        <bgColor rgb="FF834007"/>
      </patternFill>
    </fill>
    <fill>
      <patternFill patternType="solid">
        <fgColor rgb="FFFFF5CB"/>
        <bgColor rgb="FFFFF5CB"/>
      </patternFill>
    </fill>
    <fill>
      <patternFill patternType="solid">
        <fgColor rgb="FF1F3864"/>
        <bgColor rgb="FF1F3864"/>
      </patternFill>
    </fill>
    <fill>
      <patternFill patternType="solid">
        <fgColor rgb="FFE1EFE5"/>
        <bgColor rgb="FFE1EFE5"/>
      </patternFill>
    </fill>
    <fill>
      <patternFill patternType="solid">
        <fgColor rgb="FFFFF4D1"/>
        <bgColor rgb="FFFFF4D1"/>
      </patternFill>
    </fill>
    <fill>
      <patternFill patternType="solid">
        <fgColor rgb="FFFEE4D2"/>
        <bgColor rgb="FFFEE4D2"/>
      </patternFill>
    </fill>
    <fill>
      <patternFill patternType="solid">
        <fgColor rgb="FFBCDDF5"/>
        <bgColor rgb="FFBCDDF5"/>
      </patternFill>
    </fill>
    <fill>
      <patternFill patternType="solid">
        <fgColor rgb="FFFFFF00"/>
        <bgColor rgb="FFFFFF00"/>
      </patternFill>
    </fill>
    <fill>
      <patternFill patternType="solid">
        <fgColor rgb="FFFFF3E3"/>
        <bgColor rgb="FFFFF3E3"/>
      </patternFill>
    </fill>
    <fill>
      <patternFill patternType="solid">
        <fgColor rgb="FFEED0C5"/>
        <bgColor rgb="FFEED0C5"/>
      </patternFill>
    </fill>
    <fill>
      <patternFill patternType="solid">
        <fgColor rgb="FFF0FBEF"/>
        <bgColor rgb="FFF0FBEF"/>
      </patternFill>
    </fill>
    <fill>
      <patternFill patternType="solid">
        <fgColor rgb="FFF8F9FA"/>
        <bgColor rgb="FFF8F9FA"/>
      </patternFill>
    </fill>
    <fill>
      <patternFill patternType="solid">
        <fgColor rgb="FFD2E0DC"/>
        <bgColor rgb="FFD2E0DC"/>
      </patternFill>
    </fill>
    <fill>
      <patternFill patternType="solid">
        <fgColor rgb="FF111111"/>
        <bgColor rgb="FF111111"/>
      </patternFill>
    </fill>
    <fill>
      <patternFill patternType="solid">
        <fgColor rgb="FFE8F5EE"/>
        <bgColor rgb="FFE8F5EE"/>
      </patternFill>
    </fill>
    <fill>
      <patternFill patternType="solid">
        <fgColor rgb="FFEFF6FF"/>
        <bgColor rgb="FFEFF6FF"/>
      </patternFill>
    </fill>
  </fills>
  <borders count="40">
    <border/>
    <border>
      <left/>
      <top/>
      <bottom/>
    </border>
    <border>
      <top/>
      <bottom/>
    </border>
    <border>
      <left/>
      <right/>
      <top/>
      <bottom/>
    </border>
    <border>
      <left style="thin">
        <color rgb="FFCCCCCC"/>
      </left>
      <right style="thin">
        <color rgb="FFCCCCCC"/>
      </right>
      <top style="thin">
        <color rgb="FFCCCCCC"/>
      </top>
      <bottom style="thin">
        <color rgb="FFCCCCCC"/>
      </bottom>
    </border>
    <border>
      <left style="thin">
        <color rgb="FFEED0C5"/>
      </left>
      <right style="thin">
        <color rgb="FFEED0C5"/>
      </right>
      <top style="thin">
        <color rgb="FFEED0C5"/>
      </top>
      <bottom style="thin">
        <color rgb="FFEED0C5"/>
      </bottom>
    </border>
    <border>
      <left style="medium">
        <color rgb="FF899187"/>
      </left>
      <right style="thin">
        <color rgb="FFF1E3ED"/>
      </right>
      <top style="medium">
        <color rgb="FF899187"/>
      </top>
      <bottom style="thin">
        <color rgb="FFF1E3ED"/>
      </bottom>
    </border>
    <border>
      <left style="thin">
        <color rgb="FFF1E3ED"/>
      </left>
      <right style="thin">
        <color rgb="FFF1E3ED"/>
      </right>
      <top style="medium">
        <color rgb="FF899187"/>
      </top>
      <bottom style="thin">
        <color rgb="FFF1E3ED"/>
      </bottom>
    </border>
    <border>
      <left style="thin">
        <color rgb="FFF1E3ED"/>
      </left>
      <right style="medium">
        <color rgb="FF899187"/>
      </right>
      <top style="medium">
        <color rgb="FF899187"/>
      </top>
      <bottom style="thin">
        <color rgb="FFF1E3ED"/>
      </bottom>
    </border>
    <border>
      <left style="medium">
        <color rgb="FF899187"/>
      </left>
      <right style="thin">
        <color rgb="FFF1E3ED"/>
      </right>
      <top style="thin">
        <color rgb="FFF1E3ED"/>
      </top>
      <bottom style="thin">
        <color rgb="FFF1E3ED"/>
      </bottom>
    </border>
    <border>
      <left style="thin">
        <color rgb="FFF1E3ED"/>
      </left>
      <right style="thin">
        <color rgb="FFF1E3ED"/>
      </right>
      <top style="thin">
        <color rgb="FFF1E3ED"/>
      </top>
      <bottom style="thin">
        <color rgb="FFF1E3ED"/>
      </bottom>
    </border>
    <border>
      <left style="thin">
        <color rgb="FFF1E3ED"/>
      </left>
      <right style="medium">
        <color rgb="FF899187"/>
      </right>
      <top style="thin">
        <color rgb="FFF1E3ED"/>
      </top>
      <bottom style="thin">
        <color rgb="FFF1E3ED"/>
      </bottom>
    </border>
    <border>
      <left/>
      <top/>
      <bottom style="thin">
        <color rgb="FFF1E3ED"/>
      </bottom>
    </border>
    <border>
      <top/>
      <bottom style="thin">
        <color rgb="FFF1E3ED"/>
      </bottom>
    </border>
    <border>
      <right style="thin">
        <color rgb="FFF1E3ED"/>
      </right>
      <top/>
      <bottom style="thin">
        <color rgb="FFF1E3ED"/>
      </bottom>
    </border>
    <border>
      <left style="medium">
        <color rgb="FF899187"/>
      </left>
      <top style="thin">
        <color rgb="FFF1E3ED"/>
      </top>
      <bottom style="thin">
        <color rgb="FFF1E3ED"/>
      </bottom>
    </border>
    <border>
      <top style="thin">
        <color rgb="FFF1E3ED"/>
      </top>
      <bottom style="thin">
        <color rgb="FFF1E3ED"/>
      </bottom>
    </border>
    <border>
      <right style="thin">
        <color rgb="FFF1E3ED"/>
      </right>
      <top style="thin">
        <color rgb="FFF1E3ED"/>
      </top>
      <bottom style="thin">
        <color rgb="FFF1E3ED"/>
      </bottom>
    </border>
    <border>
      <bottom style="thin">
        <color rgb="FFF1E3ED"/>
      </bottom>
    </border>
    <border>
      <right style="thin">
        <color rgb="FFF1E3ED"/>
      </right>
      <bottom style="thin">
        <color rgb="FFF1E3ED"/>
      </bottom>
    </border>
    <border>
      <left style="thin">
        <color rgb="FFF1E3ED"/>
      </left>
      <top style="thin">
        <color rgb="FFF1E3ED"/>
      </top>
      <bottom style="thin">
        <color rgb="FFF1E3ED"/>
      </bottom>
    </border>
    <border>
      <left style="medium">
        <color rgb="FF899187"/>
      </left>
      <top style="thin">
        <color rgb="FFF1E3ED"/>
      </top>
      <bottom style="medium">
        <color rgb="FF899187"/>
      </bottom>
    </border>
    <border>
      <top style="thin">
        <color rgb="FFF1E3ED"/>
      </top>
      <bottom style="medium">
        <color rgb="FF899187"/>
      </bottom>
    </border>
    <border>
      <right style="thin">
        <color rgb="FFF1E3ED"/>
      </right>
      <top style="thin">
        <color rgb="FFF1E3ED"/>
      </top>
      <bottom style="medium">
        <color rgb="FF899187"/>
      </bottom>
    </border>
    <border>
      <left style="thin">
        <color rgb="FFF1E3ED"/>
      </left>
      <right style="medium">
        <color rgb="FF899187"/>
      </right>
      <top style="thin">
        <color rgb="FFF1E3ED"/>
      </top>
      <bottom style="medium">
        <color rgb="FF899187"/>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0B2B5"/>
      </left>
      <top style="thin">
        <color rgb="FFC0B2B5"/>
      </top>
      <bottom style="thin">
        <color rgb="FFC0B2B5"/>
      </bottom>
    </border>
    <border>
      <top style="thin">
        <color rgb="FFC0B2B5"/>
      </top>
      <bottom style="thin">
        <color rgb="FFC0B2B5"/>
      </bottom>
    </border>
    <border>
      <right style="thin">
        <color rgb="FFC0B2B5"/>
      </right>
      <top style="thin">
        <color rgb="FFC0B2B5"/>
      </top>
      <bottom style="thin">
        <color rgb="FFC0B2B5"/>
      </bottom>
    </border>
    <border>
      <left style="thin">
        <color rgb="FFC0B2B5"/>
      </left>
      <right style="thin">
        <color rgb="FFC0B2B5"/>
      </right>
      <top style="thin">
        <color rgb="FFC0B2B5"/>
      </top>
      <bottom style="thin">
        <color rgb="FFC0B2B5"/>
      </bottom>
    </border>
    <border>
      <left style="thin">
        <color rgb="FFD2E0DC"/>
      </left>
      <right style="thin">
        <color rgb="FFD2E0DC"/>
      </right>
      <top style="thin">
        <color rgb="FFD2E0DC"/>
      </top>
      <bottom style="thin">
        <color rgb="FFD2E0DC"/>
      </bottom>
    </border>
    <border>
      <left style="thin">
        <color rgb="FFD2E0DC"/>
      </left>
      <top style="thin">
        <color rgb="FFD2E0DC"/>
      </top>
      <bottom style="thin">
        <color rgb="FFD2E0DC"/>
      </bottom>
    </border>
    <border>
      <top style="thin">
        <color rgb="FFD2E0DC"/>
      </top>
      <bottom style="thin">
        <color rgb="FFD2E0DC"/>
      </bottom>
    </border>
    <border>
      <right style="thin">
        <color rgb="FFD2E0DC"/>
      </right>
      <top style="thin">
        <color rgb="FFD2E0DC"/>
      </top>
      <bottom style="thin">
        <color rgb="FFD2E0DC"/>
      </bottom>
    </border>
    <border>
      <left style="thin">
        <color rgb="FFBCDDF5"/>
      </left>
      <right style="thin">
        <color rgb="FFBCDDF5"/>
      </right>
      <top style="thin">
        <color rgb="FFBCDDF5"/>
      </top>
      <bottom style="thin">
        <color rgb="FFBCDDF5"/>
      </bottom>
    </border>
    <border>
      <left style="medium">
        <color rgb="FF899187"/>
      </left>
      <right style="thin">
        <color rgb="FFF1E3ED"/>
      </right>
      <top style="thin">
        <color rgb="FFF1E3ED"/>
      </top>
      <bottom style="medium">
        <color rgb="FF899187"/>
      </bottom>
    </border>
    <border>
      <left style="thin">
        <color rgb="FFF1E3ED"/>
      </left>
      <right style="thin">
        <color rgb="FFF1E3ED"/>
      </right>
      <top style="thin">
        <color rgb="FFF1E3ED"/>
      </top>
      <bottom style="medium">
        <color rgb="FF899187"/>
      </bottom>
    </border>
    <border>
      <left style="thin">
        <color rgb="FFCCCCCC"/>
      </left>
      <right style="thin">
        <color rgb="FFCCCCCC"/>
      </right>
      <top style="thin">
        <color rgb="FFCCCCCC"/>
      </top>
      <bottom style="medium">
        <color rgb="FF1B4E7D"/>
      </bottom>
    </border>
  </borders>
  <cellStyleXfs count="1">
    <xf borderId="0" fillId="0" fontId="0" numFmtId="0" applyAlignment="1" applyFont="1"/>
  </cellStyleXfs>
  <cellXfs count="1723">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1" fillId="2" fontId="3" numFmtId="0" xfId="0" applyAlignment="1" applyBorder="1" applyFont="1">
      <alignment horizontal="left" vertical="center"/>
    </xf>
    <xf borderId="1" fillId="3" fontId="4" numFmtId="0" xfId="0" applyAlignment="1" applyBorder="1" applyFill="1" applyFont="1">
      <alignment horizontal="left" vertical="center"/>
    </xf>
    <xf borderId="3" fillId="4" fontId="5" numFmtId="0" xfId="0" applyAlignment="1" applyBorder="1" applyFill="1" applyFont="1">
      <alignment horizontal="left" vertical="center"/>
    </xf>
    <xf borderId="0" fillId="0" fontId="6" numFmtId="0" xfId="0" applyAlignment="1" applyFont="1">
      <alignment horizontal="left" shrinkToFit="0" vertical="center" wrapText="1"/>
    </xf>
    <xf borderId="0" fillId="0" fontId="3" numFmtId="0" xfId="0" applyAlignment="1" applyFont="1">
      <alignment horizontal="left" vertical="center"/>
    </xf>
    <xf borderId="1" fillId="2" fontId="7" numFmtId="0" xfId="0" applyAlignment="1" applyBorder="1" applyFont="1">
      <alignment horizontal="left" vertical="center"/>
    </xf>
    <xf borderId="0" fillId="0" fontId="8" numFmtId="0" xfId="0" applyAlignment="1" applyFont="1">
      <alignment horizontal="left" shrinkToFit="0" vertical="center" wrapText="1"/>
    </xf>
    <xf borderId="1" fillId="5" fontId="4" numFmtId="0" xfId="0" applyAlignment="1" applyBorder="1" applyFill="1" applyFont="1">
      <alignment horizontal="left" vertical="center"/>
    </xf>
    <xf borderId="3" fillId="6" fontId="5" numFmtId="0" xfId="0" applyAlignment="1" applyBorder="1" applyFill="1" applyFont="1">
      <alignment horizontal="left" vertical="center"/>
    </xf>
    <xf borderId="0" fillId="0" fontId="9" numFmtId="0" xfId="0" applyAlignment="1" applyFont="1">
      <alignment horizontal="left" shrinkToFit="0" vertical="center" wrapText="1"/>
    </xf>
    <xf borderId="3" fillId="7" fontId="5" numFmtId="0" xfId="0" applyAlignment="1" applyBorder="1" applyFill="1" applyFont="1">
      <alignment horizontal="left" vertical="center"/>
    </xf>
    <xf borderId="0" fillId="0" fontId="10" numFmtId="0" xfId="0" applyAlignment="1" applyFont="1">
      <alignment horizontal="left" shrinkToFit="0" vertical="center" wrapText="1"/>
    </xf>
    <xf borderId="3" fillId="8" fontId="5" numFmtId="0" xfId="0" applyAlignment="1" applyBorder="1" applyFill="1" applyFont="1">
      <alignment horizontal="left" vertical="center"/>
    </xf>
    <xf borderId="0" fillId="0" fontId="11" numFmtId="0" xfId="0" applyAlignment="1" applyFont="1">
      <alignment horizontal="left" shrinkToFit="0" vertical="center" wrapText="1"/>
    </xf>
    <xf borderId="1" fillId="9" fontId="4" numFmtId="0" xfId="0" applyAlignment="1" applyBorder="1" applyFill="1" applyFont="1">
      <alignment horizontal="left" vertical="center"/>
    </xf>
    <xf borderId="1" fillId="10" fontId="4" numFmtId="0" xfId="0" applyAlignment="1" applyBorder="1" applyFill="1" applyFont="1">
      <alignment horizontal="left" vertical="center"/>
    </xf>
    <xf borderId="1" fillId="11" fontId="4" numFmtId="0" xfId="0" applyAlignment="1" applyBorder="1" applyFill="1" applyFont="1">
      <alignment horizontal="left" vertical="center"/>
    </xf>
    <xf borderId="1" fillId="12" fontId="4" numFmtId="0" xfId="0" applyAlignment="1" applyBorder="1" applyFill="1" applyFont="1">
      <alignment horizontal="left" vertical="center"/>
    </xf>
    <xf borderId="0" fillId="0" fontId="12" numFmtId="0" xfId="0" applyFont="1"/>
    <xf borderId="0" fillId="0" fontId="13" numFmtId="0" xfId="0" applyFont="1"/>
    <xf borderId="0" fillId="0" fontId="14" numFmtId="0" xfId="0" applyFont="1"/>
    <xf borderId="0" fillId="0" fontId="15" numFmtId="0" xfId="0" applyFont="1"/>
    <xf borderId="0" fillId="0" fontId="16" numFmtId="0" xfId="0" applyAlignment="1" applyFont="1">
      <alignment readingOrder="0"/>
    </xf>
    <xf borderId="0" fillId="0" fontId="17" numFmtId="0" xfId="0" applyAlignment="1" applyFont="1">
      <alignment horizontal="left" shrinkToFit="0" vertical="center" wrapText="1"/>
    </xf>
    <xf borderId="3" fillId="13" fontId="18" numFmtId="0" xfId="0" applyAlignment="1" applyBorder="1" applyFill="1" applyFont="1">
      <alignment horizontal="left" vertical="center"/>
    </xf>
    <xf borderId="3" fillId="14" fontId="19" numFmtId="0" xfId="0" applyAlignment="1" applyBorder="1" applyFill="1" applyFont="1">
      <alignment horizontal="center" shrinkToFit="0" vertical="center" wrapText="1"/>
    </xf>
    <xf borderId="3" fillId="14" fontId="20" numFmtId="0" xfId="0" applyAlignment="1" applyBorder="1" applyFont="1">
      <alignment horizontal="left" vertical="center"/>
    </xf>
    <xf borderId="3" fillId="14" fontId="21" numFmtId="0" xfId="0" applyAlignment="1" applyBorder="1" applyFont="1">
      <alignment horizontal="center" vertical="center"/>
    </xf>
    <xf borderId="0" fillId="0" fontId="22" numFmtId="0" xfId="0" applyAlignment="1" applyFont="1">
      <alignment horizontal="left" vertical="center"/>
    </xf>
    <xf borderId="3" fillId="15" fontId="23" numFmtId="164" xfId="0" applyAlignment="1" applyBorder="1" applyFill="1" applyFont="1" applyNumberFormat="1">
      <alignment horizontal="center" vertical="center"/>
    </xf>
    <xf borderId="3" fillId="15" fontId="23" numFmtId="10" xfId="0" applyAlignment="1" applyBorder="1" applyFont="1" applyNumberFormat="1">
      <alignment horizontal="center" vertical="center"/>
    </xf>
    <xf borderId="3" fillId="15" fontId="23" numFmtId="0" xfId="0" applyAlignment="1" applyBorder="1" applyFont="1">
      <alignment horizontal="left" shrinkToFit="0" vertical="center" wrapText="1"/>
    </xf>
    <xf borderId="3" fillId="16" fontId="23" numFmtId="164" xfId="0" applyAlignment="1" applyBorder="1" applyFill="1" applyFont="1" applyNumberFormat="1">
      <alignment horizontal="center" vertical="center"/>
    </xf>
    <xf borderId="3" fillId="16" fontId="23" numFmtId="10" xfId="0" applyAlignment="1" applyBorder="1" applyFont="1" applyNumberFormat="1">
      <alignment horizontal="center" vertical="center"/>
    </xf>
    <xf borderId="3" fillId="16" fontId="23" numFmtId="0" xfId="0" applyAlignment="1" applyBorder="1" applyFont="1">
      <alignment horizontal="left" shrinkToFit="0" vertical="center" wrapText="1"/>
    </xf>
    <xf borderId="3" fillId="17" fontId="23" numFmtId="164" xfId="0" applyAlignment="1" applyBorder="1" applyFill="1" applyFont="1" applyNumberFormat="1">
      <alignment horizontal="center" vertical="center"/>
    </xf>
    <xf borderId="3" fillId="17" fontId="23" numFmtId="10" xfId="0" applyAlignment="1" applyBorder="1" applyFont="1" applyNumberFormat="1">
      <alignment horizontal="center" vertical="center"/>
    </xf>
    <xf borderId="3" fillId="17" fontId="23" numFmtId="0" xfId="0" applyAlignment="1" applyBorder="1" applyFont="1">
      <alignment horizontal="left" shrinkToFit="0" vertical="center" wrapText="1"/>
    </xf>
    <xf borderId="3" fillId="18" fontId="24" numFmtId="0" xfId="0" applyAlignment="1" applyBorder="1" applyFill="1" applyFont="1">
      <alignment horizontal="center" vertical="center"/>
    </xf>
    <xf borderId="3" fillId="18" fontId="25" numFmtId="0" xfId="0" applyAlignment="1" applyBorder="1" applyFont="1">
      <alignment horizontal="left" vertical="center"/>
    </xf>
    <xf borderId="3" fillId="17" fontId="26" numFmtId="0" xfId="0" applyAlignment="1" applyBorder="1" applyFont="1">
      <alignment horizontal="center" vertical="center"/>
    </xf>
    <xf borderId="3" fillId="15" fontId="27" numFmtId="0" xfId="0" applyAlignment="1" applyBorder="1" applyFont="1">
      <alignment horizontal="center" vertical="center"/>
    </xf>
    <xf borderId="3" fillId="19" fontId="28" numFmtId="0" xfId="0" applyAlignment="1" applyBorder="1" applyFill="1" applyFont="1">
      <alignment horizontal="center" vertical="center"/>
    </xf>
    <xf borderId="3" fillId="17" fontId="29" numFmtId="0" xfId="0" applyAlignment="1" applyBorder="1" applyFont="1">
      <alignment horizontal="center" vertical="center"/>
    </xf>
    <xf borderId="3" fillId="17" fontId="30" numFmtId="0" xfId="0" applyAlignment="1" applyBorder="1" applyFont="1">
      <alignment horizontal="left" shrinkToFit="0" vertical="center" wrapText="1"/>
    </xf>
    <xf borderId="3" fillId="17" fontId="31" numFmtId="0" xfId="0" applyAlignment="1" applyBorder="1" applyFont="1">
      <alignment horizontal="center" vertical="center"/>
    </xf>
    <xf borderId="3" fillId="17" fontId="32" numFmtId="0" xfId="0" applyAlignment="1" applyBorder="1" applyFont="1">
      <alignment horizontal="center" vertical="center"/>
    </xf>
    <xf borderId="3" fillId="20" fontId="29" numFmtId="0" xfId="0" applyAlignment="1" applyBorder="1" applyFill="1" applyFont="1">
      <alignment horizontal="center" vertical="center"/>
    </xf>
    <xf borderId="3" fillId="20" fontId="30" numFmtId="0" xfId="0" applyAlignment="1" applyBorder="1" applyFont="1">
      <alignment horizontal="left" shrinkToFit="0" vertical="center" wrapText="1"/>
    </xf>
    <xf borderId="3" fillId="20" fontId="31" numFmtId="0" xfId="0" applyAlignment="1" applyBorder="1" applyFont="1">
      <alignment horizontal="center" vertical="center"/>
    </xf>
    <xf borderId="3" fillId="20" fontId="33" numFmtId="0" xfId="0" applyAlignment="1" applyBorder="1" applyFont="1">
      <alignment horizontal="center" vertical="center"/>
    </xf>
    <xf borderId="3" fillId="15" fontId="29" numFmtId="0" xfId="0" applyAlignment="1" applyBorder="1" applyFont="1">
      <alignment horizontal="center" vertical="center"/>
    </xf>
    <xf borderId="3" fillId="15" fontId="30" numFmtId="0" xfId="0" applyAlignment="1" applyBorder="1" applyFont="1">
      <alignment horizontal="left" shrinkToFit="0" vertical="center" wrapText="1"/>
    </xf>
    <xf borderId="3" fillId="3" fontId="21" numFmtId="0" xfId="0" applyAlignment="1" applyBorder="1" applyFont="1">
      <alignment horizontal="left" vertical="center"/>
    </xf>
    <xf borderId="3" fillId="17" fontId="34" numFmtId="0" xfId="0" applyAlignment="1" applyBorder="1" applyFont="1">
      <alignment horizontal="center" vertical="center"/>
    </xf>
    <xf borderId="3" fillId="21" fontId="26" numFmtId="0" xfId="0" applyAlignment="1" applyBorder="1" applyFill="1" applyFont="1">
      <alignment horizontal="left" vertical="center"/>
    </xf>
    <xf borderId="3" fillId="22" fontId="35" numFmtId="0" xfId="0" applyAlignment="1" applyBorder="1" applyFill="1" applyFont="1">
      <alignment horizontal="left" vertical="center"/>
    </xf>
    <xf borderId="3" fillId="23" fontId="34" numFmtId="0" xfId="0" applyAlignment="1" applyBorder="1" applyFill="1" applyFont="1">
      <alignment horizontal="center" vertical="center"/>
    </xf>
    <xf borderId="3" fillId="23" fontId="36" numFmtId="0" xfId="0" applyAlignment="1" applyBorder="1" applyFont="1">
      <alignment horizontal="left" vertical="center"/>
    </xf>
    <xf borderId="3" fillId="24" fontId="20" numFmtId="0" xfId="0" applyAlignment="1" applyBorder="1" applyFill="1" applyFont="1">
      <alignment horizontal="left" vertical="center"/>
    </xf>
    <xf borderId="3" fillId="24" fontId="21" numFmtId="0" xfId="0" applyAlignment="1" applyBorder="1" applyFont="1">
      <alignment horizontal="left" vertical="center"/>
    </xf>
    <xf borderId="3" fillId="17" fontId="37" numFmtId="0" xfId="0" applyAlignment="1" applyBorder="1" applyFont="1">
      <alignment horizontal="center" vertical="center"/>
    </xf>
    <xf borderId="3" fillId="21" fontId="38" numFmtId="0" xfId="0" applyAlignment="1" applyBorder="1" applyFont="1">
      <alignment horizontal="left" vertical="center"/>
    </xf>
    <xf borderId="3" fillId="5" fontId="21" numFmtId="0" xfId="0" applyAlignment="1" applyBorder="1" applyFont="1">
      <alignment horizontal="left" vertical="center"/>
    </xf>
    <xf borderId="3" fillId="25" fontId="37" numFmtId="0" xfId="0" applyAlignment="1" applyBorder="1" applyFill="1" applyFont="1">
      <alignment horizontal="center" vertical="center"/>
    </xf>
    <xf borderId="3" fillId="7" fontId="38" numFmtId="0" xfId="0" applyAlignment="1" applyBorder="1" applyFont="1">
      <alignment horizontal="left" vertical="center"/>
    </xf>
    <xf borderId="3" fillId="26" fontId="37" numFmtId="0" xfId="0" applyAlignment="1" applyBorder="1" applyFill="1" applyFont="1">
      <alignment horizontal="center" vertical="center"/>
    </xf>
    <xf borderId="3" fillId="15" fontId="38" numFmtId="0" xfId="0" applyAlignment="1" applyBorder="1" applyFont="1">
      <alignment horizontal="left" vertical="center"/>
    </xf>
    <xf borderId="3" fillId="15" fontId="29" numFmtId="0" xfId="0" applyAlignment="1" applyBorder="1" applyFont="1">
      <alignment horizontal="left" vertical="center"/>
    </xf>
    <xf borderId="3" fillId="16" fontId="29" numFmtId="0" xfId="0" applyAlignment="1" applyBorder="1" applyFont="1">
      <alignment horizontal="left" vertical="center"/>
    </xf>
    <xf borderId="3" fillId="16" fontId="30" numFmtId="0" xfId="0" applyAlignment="1" applyBorder="1" applyFont="1">
      <alignment horizontal="left" shrinkToFit="0" vertical="center" wrapText="1"/>
    </xf>
    <xf borderId="3" fillId="16" fontId="29" numFmtId="0" xfId="0" applyAlignment="1" applyBorder="1" applyFont="1">
      <alignment horizontal="center" vertical="center"/>
    </xf>
    <xf borderId="3" fillId="15" fontId="39" numFmtId="0" xfId="0" applyAlignment="1" applyBorder="1" applyFont="1">
      <alignment horizontal="left" vertical="center"/>
    </xf>
    <xf borderId="3" fillId="16" fontId="39" numFmtId="0" xfId="0" applyAlignment="1" applyBorder="1" applyFont="1">
      <alignment horizontal="left" vertical="center"/>
    </xf>
    <xf borderId="3" fillId="15" fontId="40" numFmtId="0" xfId="0" applyAlignment="1" applyBorder="1" applyFont="1">
      <alignment horizontal="left" vertical="center"/>
    </xf>
    <xf borderId="4" fillId="27" fontId="41" numFmtId="0" xfId="0" applyAlignment="1" applyBorder="1" applyFill="1" applyFont="1">
      <alignment horizontal="left" vertical="center"/>
    </xf>
    <xf borderId="1" fillId="27" fontId="42" numFmtId="0" xfId="0" applyAlignment="1" applyBorder="1" applyFont="1">
      <alignment horizontal="left" shrinkToFit="0" vertical="center" wrapText="1"/>
    </xf>
    <xf borderId="4" fillId="28" fontId="41" numFmtId="0" xfId="0" applyAlignment="1" applyBorder="1" applyFill="1" applyFont="1">
      <alignment horizontal="left" vertical="center"/>
    </xf>
    <xf borderId="1" fillId="28" fontId="42" numFmtId="0" xfId="0" applyAlignment="1" applyBorder="1" applyFont="1">
      <alignment horizontal="left" shrinkToFit="0" vertical="center" wrapText="1"/>
    </xf>
    <xf borderId="3" fillId="29" fontId="29" numFmtId="0" xfId="0" applyAlignment="1" applyBorder="1" applyFill="1" applyFont="1">
      <alignment horizontal="left" vertical="center"/>
    </xf>
    <xf borderId="1" fillId="30" fontId="43" numFmtId="0" xfId="0" applyAlignment="1" applyBorder="1" applyFill="1" applyFont="1">
      <alignment horizontal="left" vertical="center"/>
    </xf>
    <xf borderId="4" fillId="31" fontId="44" numFmtId="0" xfId="0" applyAlignment="1" applyBorder="1" applyFill="1" applyFont="1">
      <alignment horizontal="center" vertical="center"/>
    </xf>
    <xf borderId="4" fillId="31" fontId="45" numFmtId="0" xfId="0" applyAlignment="1" applyBorder="1" applyFont="1">
      <alignment horizontal="left" vertical="center"/>
    </xf>
    <xf borderId="1" fillId="31" fontId="46" numFmtId="0" xfId="0" applyAlignment="1" applyBorder="1" applyFont="1">
      <alignment horizontal="left" shrinkToFit="0" vertical="center" wrapText="1"/>
    </xf>
    <xf borderId="4" fillId="27" fontId="44" numFmtId="0" xfId="0" applyAlignment="1" applyBorder="1" applyFont="1">
      <alignment horizontal="center" vertical="center"/>
    </xf>
    <xf borderId="4" fillId="27" fontId="45" numFmtId="0" xfId="0" applyAlignment="1" applyBorder="1" applyFont="1">
      <alignment horizontal="left" vertical="center"/>
    </xf>
    <xf borderId="1" fillId="27" fontId="46" numFmtId="0" xfId="0" applyAlignment="1" applyBorder="1" applyFont="1">
      <alignment horizontal="left" shrinkToFit="0" vertical="center" wrapText="1"/>
    </xf>
    <xf borderId="3" fillId="14" fontId="21" numFmtId="0" xfId="0" applyBorder="1" applyFont="1"/>
    <xf borderId="0" fillId="0" fontId="47" numFmtId="0" xfId="0" applyFont="1"/>
    <xf borderId="3" fillId="15" fontId="38" numFmtId="0" xfId="0" applyBorder="1" applyFont="1"/>
    <xf borderId="3" fillId="3" fontId="21" numFmtId="0" xfId="0" applyBorder="1" applyFont="1"/>
    <xf borderId="3" fillId="19" fontId="38" numFmtId="0" xfId="0" applyBorder="1" applyFont="1"/>
    <xf borderId="3" fillId="20" fontId="48" numFmtId="0" xfId="0" applyBorder="1" applyFont="1"/>
    <xf borderId="0" fillId="0" fontId="49" numFmtId="0" xfId="0" applyFont="1"/>
    <xf borderId="3" fillId="7" fontId="50" numFmtId="0" xfId="0" applyBorder="1" applyFont="1"/>
    <xf borderId="3" fillId="3" fontId="20" numFmtId="0" xfId="0" applyAlignment="1" applyBorder="1" applyFont="1">
      <alignment horizontal="left" vertical="center"/>
    </xf>
    <xf borderId="3" fillId="3" fontId="51" numFmtId="0" xfId="0" applyAlignment="1" applyBorder="1" applyFont="1">
      <alignment horizontal="center" vertical="center"/>
    </xf>
    <xf borderId="3" fillId="24" fontId="21" numFmtId="0" xfId="0" applyAlignment="1" applyBorder="1" applyFont="1">
      <alignment horizontal="center" vertical="center"/>
    </xf>
    <xf borderId="3" fillId="19" fontId="52" numFmtId="0" xfId="0" applyAlignment="1" applyBorder="1" applyFont="1">
      <alignment horizontal="center" vertical="center"/>
    </xf>
    <xf borderId="3" fillId="24" fontId="51" numFmtId="0" xfId="0" applyAlignment="1" applyBorder="1" applyFont="1">
      <alignment horizontal="center" vertical="center"/>
    </xf>
    <xf borderId="3" fillId="3" fontId="36" numFmtId="0" xfId="0" applyAlignment="1" applyBorder="1" applyFont="1">
      <alignment horizontal="center" vertical="center"/>
    </xf>
    <xf borderId="3" fillId="15" fontId="36" numFmtId="0" xfId="0" applyAlignment="1" applyBorder="1" applyFont="1">
      <alignment horizontal="left" vertical="center"/>
    </xf>
    <xf borderId="3" fillId="11" fontId="51" numFmtId="0" xfId="0" applyAlignment="1" applyBorder="1" applyFont="1">
      <alignment horizontal="center" vertical="center"/>
    </xf>
    <xf borderId="3" fillId="27" fontId="36" numFmtId="0" xfId="0" applyAlignment="1" applyBorder="1" applyFont="1">
      <alignment horizontal="left" vertical="center"/>
    </xf>
    <xf borderId="3" fillId="27" fontId="38" numFmtId="0" xfId="0" applyAlignment="1" applyBorder="1" applyFont="1">
      <alignment horizontal="left" vertical="center"/>
    </xf>
    <xf borderId="3" fillId="22" fontId="53" numFmtId="0" xfId="0" applyAlignment="1" applyBorder="1" applyFont="1">
      <alignment horizontal="left" vertical="center"/>
    </xf>
    <xf borderId="3" fillId="14" fontId="51" numFmtId="0" xfId="0" applyAlignment="1" applyBorder="1" applyFont="1">
      <alignment horizontal="left" shrinkToFit="0" vertical="center" wrapText="1"/>
    </xf>
    <xf borderId="3" fillId="12" fontId="21" numFmtId="0" xfId="0" applyAlignment="1" applyBorder="1" applyFont="1">
      <alignment horizontal="left" vertical="center"/>
    </xf>
    <xf borderId="3" fillId="23" fontId="54" numFmtId="0" xfId="0" applyAlignment="1" applyBorder="1" applyFont="1">
      <alignment horizontal="left" shrinkToFit="0" vertical="center" wrapText="1"/>
    </xf>
    <xf borderId="3" fillId="23" fontId="36" numFmtId="0" xfId="0" applyBorder="1" applyFont="1"/>
    <xf borderId="3" fillId="27" fontId="55" numFmtId="0" xfId="0" applyBorder="1" applyFont="1"/>
    <xf borderId="3" fillId="19" fontId="56" numFmtId="0" xfId="0" applyBorder="1" applyFont="1"/>
    <xf borderId="3" fillId="14" fontId="18" numFmtId="0" xfId="0" applyAlignment="1" applyBorder="1" applyFont="1">
      <alignment horizontal="left" shrinkToFit="0" vertical="center" wrapText="1"/>
    </xf>
    <xf borderId="3" fillId="14" fontId="39" numFmtId="0" xfId="0" applyBorder="1" applyFont="1"/>
    <xf borderId="0" fillId="0" fontId="57" numFmtId="0" xfId="0" applyAlignment="1" applyFont="1">
      <alignment horizontal="left" shrinkToFit="0" vertical="center" wrapText="1"/>
    </xf>
    <xf borderId="4" fillId="2" fontId="58" numFmtId="0" xfId="0" applyAlignment="1" applyBorder="1" applyFont="1">
      <alignment horizontal="left" shrinkToFit="0" vertical="center" wrapText="1"/>
    </xf>
    <xf borderId="4" fillId="2" fontId="39" numFmtId="0" xfId="0" applyBorder="1" applyFont="1"/>
    <xf borderId="4" fillId="14" fontId="43" numFmtId="0" xfId="0" applyAlignment="1" applyBorder="1" applyFont="1">
      <alignment horizontal="left" shrinkToFit="0" vertical="center" wrapText="1"/>
    </xf>
    <xf borderId="4" fillId="14" fontId="39" numFmtId="0" xfId="0" applyBorder="1" applyFont="1"/>
    <xf borderId="4" fillId="32" fontId="59" numFmtId="0" xfId="0" applyAlignment="1" applyBorder="1" applyFill="1" applyFont="1">
      <alignment horizontal="center" shrinkToFit="0" vertical="center" wrapText="1"/>
    </xf>
    <xf borderId="4" fillId="32" fontId="60" numFmtId="0" xfId="0" applyAlignment="1" applyBorder="1" applyFont="1">
      <alignment horizontal="left" shrinkToFit="0" vertical="center" wrapText="1"/>
    </xf>
    <xf borderId="4" fillId="32" fontId="61" numFmtId="0" xfId="0" applyAlignment="1" applyBorder="1" applyFont="1">
      <alignment horizontal="left" shrinkToFit="0" vertical="center" wrapText="1"/>
    </xf>
    <xf borderId="4" fillId="2" fontId="62" numFmtId="0" xfId="0" applyAlignment="1" applyBorder="1" applyFont="1">
      <alignment horizontal="left" shrinkToFit="0" vertical="center" wrapText="1"/>
    </xf>
    <xf borderId="4" fillId="2" fontId="63" numFmtId="0" xfId="0" applyAlignment="1" applyBorder="1" applyFont="1">
      <alignment horizontal="center" shrinkToFit="0" vertical="center" wrapText="1"/>
    </xf>
    <xf borderId="4" fillId="2" fontId="43" numFmtId="0" xfId="0" applyAlignment="1" applyBorder="1" applyFont="1">
      <alignment horizontal="center" shrinkToFit="0" vertical="center" wrapText="1"/>
    </xf>
    <xf borderId="4" fillId="2" fontId="43" numFmtId="0" xfId="0" applyAlignment="1" applyBorder="1" applyFont="1">
      <alignment horizontal="left" shrinkToFit="0" vertical="center" wrapText="1"/>
    </xf>
    <xf borderId="4" fillId="2" fontId="64" numFmtId="0" xfId="0" applyAlignment="1" applyBorder="1" applyFont="1">
      <alignment horizontal="left" shrinkToFit="0" vertical="center" wrapText="1"/>
    </xf>
    <xf borderId="4" fillId="30" fontId="65" numFmtId="0" xfId="0" applyAlignment="1" applyBorder="1" applyFont="1">
      <alignment horizontal="center" shrinkToFit="0" vertical="center" wrapText="1"/>
    </xf>
    <xf borderId="4" fillId="30" fontId="43" numFmtId="0" xfId="0" applyAlignment="1" applyBorder="1" applyFont="1">
      <alignment horizontal="center" shrinkToFit="0" vertical="center" wrapText="1"/>
    </xf>
    <xf borderId="4" fillId="30" fontId="43" numFmtId="0" xfId="0" applyAlignment="1" applyBorder="1" applyFont="1">
      <alignment horizontal="left" shrinkToFit="0" vertical="center" wrapText="1"/>
    </xf>
    <xf borderId="4" fillId="30" fontId="64" numFmtId="0" xfId="0" applyAlignment="1" applyBorder="1" applyFont="1">
      <alignment horizontal="left" shrinkToFit="0" vertical="center" wrapText="1"/>
    </xf>
    <xf borderId="4" fillId="32" fontId="65" numFmtId="0" xfId="0" applyAlignment="1" applyBorder="1" applyFont="1">
      <alignment horizontal="center" shrinkToFit="0" vertical="center" wrapText="1"/>
    </xf>
    <xf borderId="4" fillId="32" fontId="43" numFmtId="0" xfId="0" applyAlignment="1" applyBorder="1" applyFont="1">
      <alignment horizontal="center" shrinkToFit="0" vertical="center" wrapText="1"/>
    </xf>
    <xf borderId="4" fillId="32" fontId="43" numFmtId="0" xfId="0" applyAlignment="1" applyBorder="1" applyFont="1">
      <alignment horizontal="left" shrinkToFit="0" vertical="center" wrapText="1"/>
    </xf>
    <xf borderId="4" fillId="32" fontId="64" numFmtId="0" xfId="0" applyAlignment="1" applyBorder="1" applyFont="1">
      <alignment horizontal="left" shrinkToFit="0" vertical="center" wrapText="1"/>
    </xf>
    <xf borderId="4" fillId="32" fontId="39" numFmtId="0" xfId="0" applyBorder="1" applyFont="1"/>
    <xf borderId="4" fillId="32" fontId="66" numFmtId="0" xfId="0" applyAlignment="1" applyBorder="1" applyFont="1">
      <alignment horizontal="left" shrinkToFit="0" vertical="center" wrapText="1"/>
    </xf>
    <xf borderId="4" fillId="30" fontId="39" numFmtId="0" xfId="0" applyBorder="1" applyFont="1"/>
    <xf borderId="4" fillId="32" fontId="67" numFmtId="0" xfId="0" applyAlignment="1" applyBorder="1" applyFont="1">
      <alignment horizontal="left" shrinkToFit="0" vertical="center" wrapText="1"/>
    </xf>
    <xf borderId="4" fillId="32" fontId="21" numFmtId="0" xfId="0" applyAlignment="1" applyBorder="1" applyFont="1">
      <alignment horizontal="center" vertical="center"/>
    </xf>
    <xf borderId="4" fillId="32" fontId="29" numFmtId="0" xfId="0" applyAlignment="1" applyBorder="1" applyFont="1">
      <alignment horizontal="center" vertical="center"/>
    </xf>
    <xf borderId="4" fillId="2" fontId="65" numFmtId="0" xfId="0" applyAlignment="1" applyBorder="1" applyFont="1">
      <alignment horizontal="left" shrinkToFit="0" vertical="center" wrapText="1"/>
    </xf>
    <xf borderId="4" fillId="2" fontId="68" numFmtId="0" xfId="0" applyAlignment="1" applyBorder="1" applyFont="1">
      <alignment horizontal="left" shrinkToFit="0" vertical="center" wrapText="1"/>
    </xf>
    <xf borderId="4" fillId="2" fontId="29" numFmtId="0" xfId="0" applyAlignment="1" applyBorder="1" applyFont="1">
      <alignment horizontal="center" vertical="center"/>
    </xf>
    <xf borderId="4" fillId="2" fontId="30" numFmtId="0" xfId="0" applyAlignment="1" applyBorder="1" applyFont="1">
      <alignment horizontal="left" shrinkToFit="0" vertical="center" wrapText="1"/>
    </xf>
    <xf borderId="4" fillId="2" fontId="61" numFmtId="0" xfId="0" applyAlignment="1" applyBorder="1" applyFont="1">
      <alignment horizontal="left" shrinkToFit="0" vertical="center" wrapText="1"/>
    </xf>
    <xf borderId="4" fillId="2" fontId="21" numFmtId="0" xfId="0" applyAlignment="1" applyBorder="1" applyFont="1">
      <alignment horizontal="left" vertical="center"/>
    </xf>
    <xf borderId="3" fillId="12" fontId="51" numFmtId="0" xfId="0" applyAlignment="1" applyBorder="1" applyFont="1">
      <alignment horizontal="center" vertical="center"/>
    </xf>
    <xf borderId="3" fillId="3" fontId="51" numFmtId="0" xfId="0" applyBorder="1" applyFont="1"/>
    <xf borderId="3" fillId="12" fontId="51" numFmtId="0" xfId="0" applyBorder="1" applyFont="1"/>
    <xf borderId="3" fillId="19" fontId="56" numFmtId="0" xfId="0" applyAlignment="1" applyBorder="1" applyFont="1">
      <alignment horizontal="center" vertical="center"/>
    </xf>
    <xf borderId="3" fillId="7" fontId="69" numFmtId="0" xfId="0" applyBorder="1" applyFont="1"/>
    <xf borderId="3" fillId="15" fontId="70" numFmtId="0" xfId="0" applyBorder="1" applyFont="1"/>
    <xf borderId="3" fillId="27" fontId="47" numFmtId="0" xfId="0" applyAlignment="1" applyBorder="1" applyFont="1">
      <alignment horizontal="center" vertical="center"/>
    </xf>
    <xf borderId="3" fillId="27" fontId="50" numFmtId="0" xfId="0" applyAlignment="1" applyBorder="1" applyFont="1">
      <alignment horizontal="left" vertical="center"/>
    </xf>
    <xf borderId="3" fillId="27" fontId="70" numFmtId="0" xfId="0" applyBorder="1" applyFont="1"/>
    <xf borderId="3" fillId="15" fontId="47" numFmtId="0" xfId="0" applyAlignment="1" applyBorder="1" applyFont="1">
      <alignment horizontal="center" vertical="center"/>
    </xf>
    <xf borderId="3" fillId="15" fontId="37" numFmtId="0" xfId="0" applyAlignment="1" applyBorder="1" applyFont="1">
      <alignment horizontal="center" vertical="center"/>
    </xf>
    <xf borderId="3" fillId="15" fontId="71" numFmtId="0" xfId="0" applyAlignment="1" applyBorder="1" applyFont="1">
      <alignment horizontal="center" vertical="center"/>
    </xf>
    <xf borderId="3" fillId="27" fontId="37" numFmtId="0" xfId="0" applyAlignment="1" applyBorder="1" applyFont="1">
      <alignment horizontal="center" vertical="center"/>
    </xf>
    <xf borderId="3" fillId="18" fontId="54" numFmtId="0" xfId="0" applyAlignment="1" applyBorder="1" applyFont="1">
      <alignment horizontal="left" shrinkToFit="0" vertical="center" wrapText="1"/>
    </xf>
    <xf borderId="3" fillId="14" fontId="21" numFmtId="0" xfId="0" applyAlignment="1" applyBorder="1" applyFont="1">
      <alignment horizontal="left" vertical="center"/>
    </xf>
    <xf borderId="3" fillId="29" fontId="30" numFmtId="0" xfId="0" applyAlignment="1" applyBorder="1" applyFont="1">
      <alignment horizontal="left" shrinkToFit="0" vertical="center" wrapText="1"/>
    </xf>
    <xf borderId="3" fillId="20" fontId="29" numFmtId="0" xfId="0" applyAlignment="1" applyBorder="1" applyFont="1">
      <alignment horizontal="left" vertical="center"/>
    </xf>
    <xf borderId="3" fillId="21" fontId="26" numFmtId="0" xfId="0" applyAlignment="1" applyBorder="1" applyFont="1">
      <alignment horizontal="left" shrinkToFit="0" vertical="center" wrapText="1"/>
    </xf>
    <xf borderId="3" fillId="15" fontId="38" numFmtId="0" xfId="0" applyAlignment="1" applyBorder="1" applyFont="1">
      <alignment horizontal="left" shrinkToFit="0" vertical="center" wrapText="1"/>
    </xf>
    <xf borderId="3" fillId="17" fontId="72" numFmtId="0" xfId="0" applyAlignment="1" applyBorder="1" applyFont="1">
      <alignment horizontal="center" shrinkToFit="0" vertical="center" wrapText="1"/>
    </xf>
    <xf borderId="3" fillId="15" fontId="47" numFmtId="0" xfId="0" applyAlignment="1" applyBorder="1" applyFont="1">
      <alignment horizontal="center" shrinkToFit="0" vertical="center" wrapText="1"/>
    </xf>
    <xf borderId="3" fillId="21" fontId="53" numFmtId="0" xfId="0" applyAlignment="1" applyBorder="1" applyFont="1">
      <alignment horizontal="left" shrinkToFit="0" vertical="center" wrapText="1"/>
    </xf>
    <xf borderId="3" fillId="27" fontId="38" numFmtId="0" xfId="0" applyAlignment="1" applyBorder="1" applyFont="1">
      <alignment horizontal="left" shrinkToFit="0" vertical="center" wrapText="1"/>
    </xf>
    <xf borderId="3" fillId="27" fontId="47" numFmtId="0" xfId="0" applyAlignment="1" applyBorder="1" applyFont="1">
      <alignment horizontal="center" shrinkToFit="0" vertical="center" wrapText="1"/>
    </xf>
    <xf borderId="3" fillId="15" fontId="36" numFmtId="0" xfId="0" applyAlignment="1" applyBorder="1" applyFont="1">
      <alignment horizontal="left" shrinkToFit="0" vertical="center" wrapText="1"/>
    </xf>
    <xf borderId="3" fillId="15" fontId="73" numFmtId="0" xfId="0" applyAlignment="1" applyBorder="1" applyFont="1">
      <alignment horizontal="center" shrinkToFit="0" vertical="center" wrapText="1"/>
    </xf>
    <xf borderId="3" fillId="27" fontId="36" numFmtId="0" xfId="0" applyAlignment="1" applyBorder="1" applyFont="1">
      <alignment horizontal="left" shrinkToFit="0" vertical="center" wrapText="1"/>
    </xf>
    <xf borderId="3" fillId="23" fontId="73" numFmtId="0" xfId="0" applyAlignment="1" applyBorder="1" applyFont="1">
      <alignment shrinkToFit="0" wrapText="1"/>
    </xf>
    <xf borderId="3" fillId="23" fontId="38" numFmtId="0" xfId="0" applyBorder="1" applyFont="1"/>
    <xf borderId="3" fillId="26" fontId="24" numFmtId="0" xfId="0" applyBorder="1" applyFont="1"/>
    <xf borderId="3" fillId="23" fontId="35" numFmtId="0" xfId="0" applyBorder="1" applyFont="1"/>
    <xf borderId="3" fillId="15" fontId="73" numFmtId="0" xfId="0" applyAlignment="1" applyBorder="1" applyFont="1">
      <alignment shrinkToFit="0" wrapText="1"/>
    </xf>
    <xf borderId="3" fillId="15" fontId="35" numFmtId="0" xfId="0" applyBorder="1" applyFont="1"/>
    <xf borderId="3" fillId="20" fontId="54" numFmtId="0" xfId="0" applyBorder="1" applyFont="1"/>
    <xf borderId="3" fillId="13" fontId="74" numFmtId="0" xfId="0" applyBorder="1" applyFont="1"/>
    <xf borderId="3" fillId="3" fontId="74" numFmtId="0" xfId="0" applyBorder="1" applyFont="1"/>
    <xf borderId="0" fillId="0" fontId="40" numFmtId="0" xfId="0" applyFont="1"/>
    <xf borderId="3" fillId="5" fontId="74" numFmtId="0" xfId="0" applyBorder="1" applyFont="1"/>
    <xf borderId="3" fillId="33" fontId="74" numFmtId="0" xfId="0" applyBorder="1" applyFill="1" applyFont="1"/>
    <xf borderId="3" fillId="12" fontId="74" numFmtId="0" xfId="0" applyBorder="1" applyFont="1"/>
    <xf borderId="3" fillId="14" fontId="40" numFmtId="0" xfId="0" applyAlignment="1" applyBorder="1" applyFont="1">
      <alignment horizontal="left" vertical="center"/>
    </xf>
    <xf borderId="3" fillId="15" fontId="30" numFmtId="0" xfId="0" applyAlignment="1" applyBorder="1" applyFont="1">
      <alignment horizontal="left" vertical="center"/>
    </xf>
    <xf borderId="3" fillId="16" fontId="30" numFmtId="0" xfId="0" applyAlignment="1" applyBorder="1" applyFont="1">
      <alignment horizontal="left" vertical="center"/>
    </xf>
    <xf borderId="3" fillId="3" fontId="40" numFmtId="0" xfId="0" applyAlignment="1" applyBorder="1" applyFont="1">
      <alignment horizontal="center" vertical="center"/>
    </xf>
    <xf borderId="3" fillId="18" fontId="36" numFmtId="0" xfId="0" applyAlignment="1" applyBorder="1" applyFont="1">
      <alignment horizontal="left" vertical="center"/>
    </xf>
    <xf borderId="3" fillId="15" fontId="35" numFmtId="0" xfId="0" applyAlignment="1" applyBorder="1" applyFont="1">
      <alignment horizontal="left" vertical="center"/>
    </xf>
    <xf borderId="3" fillId="3" fontId="21" numFmtId="0" xfId="0" applyAlignment="1" applyBorder="1" applyFont="1">
      <alignment horizontal="center" vertical="center"/>
    </xf>
    <xf borderId="3" fillId="26" fontId="36" numFmtId="0" xfId="0" applyBorder="1" applyFont="1"/>
    <xf borderId="3" fillId="26" fontId="38" numFmtId="0" xfId="0" applyBorder="1" applyFont="1"/>
    <xf borderId="3" fillId="26" fontId="35" numFmtId="0" xfId="0" applyBorder="1" applyFont="1"/>
    <xf borderId="3" fillId="15" fontId="54" numFmtId="0" xfId="0" applyAlignment="1" applyBorder="1" applyFont="1">
      <alignment horizontal="left" vertical="center"/>
    </xf>
    <xf borderId="3" fillId="14" fontId="49" numFmtId="0" xfId="0" applyAlignment="1" applyBorder="1" applyFont="1">
      <alignment horizontal="center" vertical="center"/>
    </xf>
    <xf borderId="3" fillId="17" fontId="75" numFmtId="0" xfId="0" applyAlignment="1" applyBorder="1" applyFont="1">
      <alignment horizontal="center" vertical="center"/>
    </xf>
    <xf borderId="3" fillId="17" fontId="76" numFmtId="0" xfId="0" applyAlignment="1" applyBorder="1" applyFont="1">
      <alignment horizontal="left" shrinkToFit="0" vertical="center" wrapText="1"/>
    </xf>
    <xf borderId="3" fillId="29" fontId="39" numFmtId="0" xfId="0" applyAlignment="1" applyBorder="1" applyFont="1">
      <alignment horizontal="left" vertical="center"/>
    </xf>
    <xf borderId="3" fillId="14" fontId="77" numFmtId="0" xfId="0" applyAlignment="1" applyBorder="1" applyFont="1">
      <alignment horizontal="left" shrinkToFit="0" vertical="center" wrapText="1"/>
    </xf>
    <xf borderId="3" fillId="13" fontId="78" numFmtId="0" xfId="0" applyAlignment="1" applyBorder="1" applyFont="1">
      <alignment shrinkToFit="0" vertical="center" wrapText="1"/>
    </xf>
    <xf borderId="0" fillId="0" fontId="79" numFmtId="0" xfId="0" applyFont="1"/>
    <xf borderId="0" fillId="0" fontId="80" numFmtId="0" xfId="0" applyFont="1"/>
    <xf borderId="0" fillId="0" fontId="81" numFmtId="0" xfId="0" applyFont="1"/>
    <xf borderId="3" fillId="5" fontId="78" numFmtId="0" xfId="0" applyAlignment="1" applyBorder="1" applyFont="1">
      <alignment shrinkToFit="0" vertical="center" wrapText="1"/>
    </xf>
    <xf borderId="1" fillId="34" fontId="74" numFmtId="0" xfId="0" applyAlignment="1" applyBorder="1" applyFill="1" applyFont="1">
      <alignment horizontal="left" shrinkToFit="0" vertical="center" wrapText="1"/>
    </xf>
    <xf borderId="3" fillId="35" fontId="82" numFmtId="0" xfId="0" applyAlignment="1" applyBorder="1" applyFill="1" applyFont="1">
      <alignment horizontal="left" shrinkToFit="0" vertical="center" wrapText="1"/>
    </xf>
    <xf borderId="0" fillId="0" fontId="83" numFmtId="0" xfId="0" applyAlignment="1" applyFont="1">
      <alignment horizontal="left" shrinkToFit="0" vertical="center" wrapText="1"/>
    </xf>
    <xf borderId="1" fillId="14" fontId="84" numFmtId="0" xfId="0" applyAlignment="1" applyBorder="1" applyFont="1">
      <alignment horizontal="left" shrinkToFit="0" vertical="center" wrapText="1"/>
    </xf>
    <xf borderId="1" fillId="14" fontId="78" numFmtId="0" xfId="0" applyAlignment="1" applyBorder="1" applyFont="1">
      <alignment horizontal="left" shrinkToFit="0" vertical="center" wrapText="1"/>
    </xf>
    <xf borderId="1" fillId="36" fontId="85" numFmtId="0" xfId="0" applyAlignment="1" applyBorder="1" applyFill="1" applyFont="1">
      <alignment horizontal="left" shrinkToFit="0" vertical="center" wrapText="1"/>
    </xf>
    <xf borderId="1" fillId="26" fontId="83" numFmtId="0" xfId="0" applyAlignment="1" applyBorder="1" applyFont="1">
      <alignment horizontal="left" shrinkToFit="0" vertical="center" wrapText="1"/>
    </xf>
    <xf borderId="1" fillId="14" fontId="85" numFmtId="0" xfId="0" applyAlignment="1" applyBorder="1" applyFont="1">
      <alignment horizontal="left" shrinkToFit="0" vertical="center" wrapText="1"/>
    </xf>
    <xf borderId="3" fillId="30" fontId="86" numFmtId="0" xfId="0" applyBorder="1" applyFont="1"/>
    <xf borderId="0" fillId="0" fontId="87" numFmtId="0" xfId="0" applyFont="1"/>
    <xf borderId="1" fillId="37" fontId="62" numFmtId="0" xfId="0" applyAlignment="1" applyBorder="1" applyFill="1" applyFont="1">
      <alignment shrinkToFit="0" vertical="center" wrapText="1"/>
    </xf>
    <xf borderId="0" fillId="0" fontId="88" numFmtId="0" xfId="0" applyAlignment="1" applyFont="1">
      <alignment shrinkToFit="0" vertical="center" wrapText="1"/>
    </xf>
    <xf borderId="1" fillId="38" fontId="43" numFmtId="0" xfId="0" applyAlignment="1" applyBorder="1" applyFill="1" applyFont="1">
      <alignment shrinkToFit="0" vertical="center" wrapText="1"/>
    </xf>
    <xf borderId="3" fillId="39" fontId="89" numFmtId="0" xfId="0" applyAlignment="1" applyBorder="1" applyFill="1" applyFont="1">
      <alignment shrinkToFit="0" vertical="center" wrapText="1"/>
    </xf>
    <xf borderId="0" fillId="0" fontId="90" numFmtId="0" xfId="0" applyAlignment="1" applyFont="1">
      <alignment shrinkToFit="0" vertical="center" wrapText="1"/>
    </xf>
    <xf borderId="1" fillId="40" fontId="43" numFmtId="0" xfId="0" applyAlignment="1" applyBorder="1" applyFill="1" applyFont="1">
      <alignment shrinkToFit="0" vertical="center" wrapText="1"/>
    </xf>
    <xf borderId="3" fillId="40" fontId="89" numFmtId="0" xfId="0" applyAlignment="1" applyBorder="1" applyFont="1">
      <alignment shrinkToFit="0" vertical="center" wrapText="1"/>
    </xf>
    <xf borderId="1" fillId="41" fontId="43" numFmtId="0" xfId="0" applyAlignment="1" applyBorder="1" applyFill="1" applyFont="1">
      <alignment shrinkToFit="0" vertical="center" wrapText="1"/>
    </xf>
    <xf borderId="3" fillId="42" fontId="91" numFmtId="0" xfId="0" applyAlignment="1" applyBorder="1" applyFill="1" applyFont="1">
      <alignment shrinkToFit="0" vertical="center" wrapText="1"/>
    </xf>
    <xf borderId="1" fillId="43" fontId="43" numFmtId="0" xfId="0" applyAlignment="1" applyBorder="1" applyFill="1" applyFont="1">
      <alignment shrinkToFit="0" vertical="center" wrapText="1"/>
    </xf>
    <xf borderId="3" fillId="43" fontId="89" numFmtId="0" xfId="0" applyAlignment="1" applyBorder="1" applyFont="1">
      <alignment shrinkToFit="0" vertical="center" wrapText="1"/>
    </xf>
    <xf borderId="1" fillId="44" fontId="43" numFmtId="0" xfId="0" applyAlignment="1" applyBorder="1" applyFill="1" applyFont="1">
      <alignment shrinkToFit="0" vertical="center" wrapText="1"/>
    </xf>
    <xf borderId="3" fillId="44" fontId="89" numFmtId="0" xfId="0" applyAlignment="1" applyBorder="1" applyFont="1">
      <alignment shrinkToFit="0" vertical="center" wrapText="1"/>
    </xf>
    <xf borderId="1" fillId="45" fontId="43" numFmtId="0" xfId="0" applyAlignment="1" applyBorder="1" applyFill="1" applyFont="1">
      <alignment shrinkToFit="0" vertical="center" wrapText="1"/>
    </xf>
    <xf borderId="3" fillId="45" fontId="89" numFmtId="0" xfId="0" applyAlignment="1" applyBorder="1" applyFont="1">
      <alignment shrinkToFit="0" vertical="center" wrapText="1"/>
    </xf>
    <xf borderId="1" fillId="46" fontId="43" numFmtId="0" xfId="0" applyAlignment="1" applyBorder="1" applyFill="1" applyFont="1">
      <alignment shrinkToFit="0" vertical="center" wrapText="1"/>
    </xf>
    <xf borderId="3" fillId="46" fontId="89" numFmtId="0" xfId="0" applyAlignment="1" applyBorder="1" applyFont="1">
      <alignment shrinkToFit="0" vertical="center" wrapText="1"/>
    </xf>
    <xf borderId="3" fillId="47" fontId="89" numFmtId="0" xfId="0" applyAlignment="1" applyBorder="1" applyFill="1" applyFont="1">
      <alignment shrinkToFit="0" vertical="center" wrapText="1"/>
    </xf>
    <xf borderId="1" fillId="48" fontId="43" numFmtId="0" xfId="0" applyAlignment="1" applyBorder="1" applyFill="1" applyFont="1">
      <alignment shrinkToFit="0" vertical="center" wrapText="1"/>
    </xf>
    <xf borderId="3" fillId="48" fontId="89" numFmtId="0" xfId="0" applyAlignment="1" applyBorder="1" applyFont="1">
      <alignment shrinkToFit="0" vertical="center" wrapText="1"/>
    </xf>
    <xf borderId="1" fillId="49" fontId="43" numFmtId="0" xfId="0" applyAlignment="1" applyBorder="1" applyFill="1" applyFont="1">
      <alignment shrinkToFit="0" vertical="center" wrapText="1"/>
    </xf>
    <xf borderId="3" fillId="49" fontId="89" numFmtId="0" xfId="0" applyAlignment="1" applyBorder="1" applyFont="1">
      <alignment shrinkToFit="0" vertical="center" wrapText="1"/>
    </xf>
    <xf borderId="1" fillId="50" fontId="43" numFmtId="0" xfId="0" applyAlignment="1" applyBorder="1" applyFill="1" applyFont="1">
      <alignment shrinkToFit="0" vertical="center" wrapText="1"/>
    </xf>
    <xf borderId="3" fillId="50" fontId="89" numFmtId="0" xfId="0" applyAlignment="1" applyBorder="1" applyFont="1">
      <alignment shrinkToFit="0" vertical="center" wrapText="1"/>
    </xf>
    <xf borderId="1" fillId="51" fontId="92" numFmtId="0" xfId="0" applyAlignment="1" applyBorder="1" applyFill="1" applyFont="1">
      <alignment shrinkToFit="0" vertical="center" wrapText="1"/>
    </xf>
    <xf borderId="0" fillId="0" fontId="93" numFmtId="0" xfId="0" applyFont="1"/>
    <xf borderId="3" fillId="36" fontId="18" numFmtId="0" xfId="0" applyAlignment="1" applyBorder="1" applyFont="1">
      <alignment horizontal="left" shrinkToFit="0" vertical="center" wrapText="1"/>
    </xf>
    <xf borderId="3" fillId="36" fontId="39" numFmtId="0" xfId="0" applyBorder="1" applyFont="1"/>
    <xf borderId="5" fillId="4" fontId="94" numFmtId="0" xfId="0" applyAlignment="1" applyBorder="1" applyFont="1">
      <alignment horizontal="left" shrinkToFit="0" vertical="center" wrapText="1"/>
    </xf>
    <xf borderId="5" fillId="52" fontId="95" numFmtId="0" xfId="0" applyAlignment="1" applyBorder="1" applyFill="1" applyFont="1">
      <alignment horizontal="right" vertical="center"/>
    </xf>
    <xf borderId="5" fillId="27" fontId="96" numFmtId="0" xfId="0" applyAlignment="1" applyBorder="1" applyFont="1">
      <alignment horizontal="left" shrinkToFit="0" vertical="center" wrapText="1"/>
    </xf>
    <xf borderId="5" fillId="4" fontId="97" numFmtId="0" xfId="0" applyAlignment="1" applyBorder="1" applyFont="1">
      <alignment horizontal="center" shrinkToFit="0" vertical="center" wrapText="1"/>
    </xf>
    <xf borderId="5" fillId="7" fontId="98" numFmtId="164" xfId="0" applyAlignment="1" applyBorder="1" applyFont="1" applyNumberFormat="1">
      <alignment horizontal="right" vertical="center"/>
    </xf>
    <xf borderId="5" fillId="52" fontId="95" numFmtId="164" xfId="0" applyAlignment="1" applyBorder="1" applyFont="1" applyNumberFormat="1">
      <alignment horizontal="right" vertical="center"/>
    </xf>
    <xf borderId="5" fillId="52" fontId="95" numFmtId="165" xfId="0" applyAlignment="1" applyBorder="1" applyFont="1" applyNumberFormat="1">
      <alignment horizontal="right" vertical="center"/>
    </xf>
    <xf borderId="3" fillId="33" fontId="18" numFmtId="0" xfId="0" applyAlignment="1" applyBorder="1" applyFont="1">
      <alignment horizontal="left" shrinkToFit="0" vertical="center" wrapText="1"/>
    </xf>
    <xf borderId="3" fillId="33" fontId="39" numFmtId="0" xfId="0" applyBorder="1" applyFont="1"/>
    <xf borderId="5" fillId="18" fontId="94" numFmtId="0" xfId="0" applyAlignment="1" applyBorder="1" applyFont="1">
      <alignment horizontal="left" shrinkToFit="0" vertical="center" wrapText="1"/>
    </xf>
    <xf borderId="5" fillId="27" fontId="99" numFmtId="0" xfId="0" applyAlignment="1" applyBorder="1" applyFont="1">
      <alignment horizontal="left" shrinkToFit="0" vertical="center" wrapText="1"/>
    </xf>
    <xf borderId="5" fillId="27" fontId="93" numFmtId="0" xfId="0" applyAlignment="1" applyBorder="1" applyFont="1">
      <alignment horizontal="left" shrinkToFit="0" vertical="center" wrapText="1"/>
    </xf>
    <xf borderId="5" fillId="18" fontId="94" numFmtId="0" xfId="0" applyAlignment="1" applyBorder="1" applyFont="1">
      <alignment horizontal="center" shrinkToFit="0" vertical="center" wrapText="1"/>
    </xf>
    <xf borderId="3" fillId="24" fontId="18" numFmtId="0" xfId="0" applyAlignment="1" applyBorder="1" applyFont="1">
      <alignment horizontal="left" shrinkToFit="0" vertical="center" wrapText="1"/>
    </xf>
    <xf borderId="3" fillId="24" fontId="39" numFmtId="0" xfId="0" applyBorder="1" applyFont="1"/>
    <xf borderId="5" fillId="24" fontId="74" numFmtId="0" xfId="0" applyAlignment="1" applyBorder="1" applyFont="1">
      <alignment horizontal="left" shrinkToFit="0" vertical="center" wrapText="1"/>
    </xf>
    <xf borderId="5" fillId="53" fontId="94" numFmtId="0" xfId="0" applyAlignment="1" applyBorder="1" applyFill="1" applyFont="1">
      <alignment horizontal="left" shrinkToFit="0" vertical="center" wrapText="1"/>
    </xf>
    <xf borderId="5" fillId="27" fontId="100" numFmtId="0" xfId="0" applyAlignment="1" applyBorder="1" applyFont="1">
      <alignment horizontal="left" shrinkToFit="0" vertical="center" wrapText="1"/>
    </xf>
    <xf borderId="3" fillId="3" fontId="18" numFmtId="0" xfId="0" applyAlignment="1" applyBorder="1" applyFont="1">
      <alignment horizontal="left" shrinkToFit="0" vertical="center" wrapText="1"/>
    </xf>
    <xf borderId="3" fillId="3" fontId="39" numFmtId="0" xfId="0" applyBorder="1" applyFont="1"/>
    <xf borderId="5" fillId="7" fontId="98" numFmtId="165" xfId="0" applyAlignment="1" applyBorder="1" applyFont="1" applyNumberFormat="1">
      <alignment horizontal="center" shrinkToFit="0" vertical="center" wrapText="1"/>
    </xf>
    <xf borderId="5" fillId="7" fontId="98" numFmtId="1" xfId="0" applyAlignment="1" applyBorder="1" applyFont="1" applyNumberFormat="1">
      <alignment horizontal="center" shrinkToFit="0" vertical="center" wrapText="1"/>
    </xf>
    <xf borderId="5" fillId="27" fontId="101" numFmtId="0" xfId="0" applyAlignment="1" applyBorder="1" applyFont="1">
      <alignment horizontal="left" shrinkToFit="0" vertical="center" wrapText="1"/>
    </xf>
    <xf borderId="5" fillId="53" fontId="102" numFmtId="0" xfId="0" applyAlignment="1" applyBorder="1" applyFont="1">
      <alignment horizontal="left" shrinkToFit="0" vertical="center" wrapText="1"/>
    </xf>
    <xf borderId="5" fillId="53" fontId="102" numFmtId="164" xfId="0" applyAlignment="1" applyBorder="1" applyFont="1" applyNumberFormat="1">
      <alignment horizontal="right" vertical="center"/>
    </xf>
    <xf borderId="5" fillId="53" fontId="102" numFmtId="166" xfId="0" applyAlignment="1" applyBorder="1" applyFont="1" applyNumberFormat="1">
      <alignment horizontal="right" vertical="center"/>
    </xf>
    <xf borderId="3" fillId="54" fontId="18" numFmtId="0" xfId="0" applyAlignment="1" applyBorder="1" applyFill="1" applyFont="1">
      <alignment horizontal="left" shrinkToFit="0" vertical="center" wrapText="1"/>
    </xf>
    <xf borderId="3" fillId="54" fontId="39" numFmtId="0" xfId="0" applyBorder="1" applyFont="1"/>
    <xf borderId="5" fillId="36" fontId="74" numFmtId="0" xfId="0" applyAlignment="1" applyBorder="1" applyFont="1">
      <alignment horizontal="left" shrinkToFit="0" vertical="center" wrapText="1"/>
    </xf>
    <xf borderId="5" fillId="36" fontId="74" numFmtId="0" xfId="0" applyAlignment="1" applyBorder="1" applyFont="1">
      <alignment horizontal="right" vertical="center"/>
    </xf>
    <xf borderId="5" fillId="36" fontId="103" numFmtId="0" xfId="0" applyAlignment="1" applyBorder="1" applyFont="1">
      <alignment horizontal="left" shrinkToFit="0" vertical="center" wrapText="1"/>
    </xf>
    <xf borderId="5" fillId="27" fontId="100" numFmtId="0" xfId="0" applyAlignment="1" applyBorder="1" applyFont="1">
      <alignment horizontal="center" shrinkToFit="0" vertical="center" wrapText="1"/>
    </xf>
    <xf borderId="5" fillId="7" fontId="104" numFmtId="164" xfId="0" applyAlignment="1" applyBorder="1" applyFont="1" applyNumberFormat="1">
      <alignment horizontal="right" vertical="center"/>
    </xf>
    <xf borderId="5" fillId="52" fontId="95" numFmtId="0" xfId="0" applyAlignment="1" applyBorder="1" applyFont="1">
      <alignment horizontal="left" shrinkToFit="0" vertical="center" wrapText="1"/>
    </xf>
    <xf borderId="5" fillId="27" fontId="94" numFmtId="0" xfId="0" applyAlignment="1" applyBorder="1" applyFont="1">
      <alignment horizontal="center" shrinkToFit="0" vertical="center" wrapText="1"/>
    </xf>
    <xf borderId="3" fillId="30" fontId="18" numFmtId="0" xfId="0" applyAlignment="1" applyBorder="1" applyFont="1">
      <alignment horizontal="left" shrinkToFit="0" vertical="center" wrapText="1"/>
    </xf>
    <xf borderId="3" fillId="30" fontId="39" numFmtId="0" xfId="0" applyBorder="1" applyFont="1"/>
    <xf borderId="5" fillId="52" fontId="95" numFmtId="9" xfId="0" applyAlignment="1" applyBorder="1" applyFont="1" applyNumberFormat="1">
      <alignment horizontal="center" shrinkToFit="0" vertical="center" wrapText="1"/>
    </xf>
    <xf borderId="5" fillId="52" fontId="94" numFmtId="0" xfId="0" applyAlignment="1" applyBorder="1" applyFont="1">
      <alignment horizontal="left" shrinkToFit="0" vertical="center" wrapText="1"/>
    </xf>
    <xf borderId="5" fillId="27" fontId="105" numFmtId="0" xfId="0" applyAlignment="1" applyBorder="1" applyFont="1">
      <alignment horizontal="left" shrinkToFit="0" vertical="center" wrapText="1"/>
    </xf>
    <xf borderId="5" fillId="53" fontId="106" numFmtId="0" xfId="0" applyAlignment="1" applyBorder="1" applyFont="1">
      <alignment horizontal="left" shrinkToFit="0" vertical="center" wrapText="1"/>
    </xf>
    <xf borderId="5" fillId="52" fontId="107" numFmtId="0" xfId="0" applyAlignment="1" applyBorder="1" applyFont="1">
      <alignment horizontal="left" shrinkToFit="0" vertical="center" wrapText="1"/>
    </xf>
    <xf borderId="5" fillId="27" fontId="108" numFmtId="0" xfId="0" applyAlignment="1" applyBorder="1" applyFont="1">
      <alignment horizontal="left" shrinkToFit="0" vertical="center" wrapText="1"/>
    </xf>
    <xf borderId="1" fillId="3" fontId="109" numFmtId="0" xfId="0" applyAlignment="1" applyBorder="1" applyFont="1">
      <alignment horizontal="left" vertical="center"/>
    </xf>
    <xf borderId="1" fillId="14" fontId="19" numFmtId="0" xfId="0" applyAlignment="1" applyBorder="1" applyFont="1">
      <alignment horizontal="center" shrinkToFit="0" vertical="center" wrapText="1"/>
    </xf>
    <xf borderId="1" fillId="14" fontId="20" numFmtId="0" xfId="0" applyAlignment="1" applyBorder="1" applyFont="1">
      <alignment horizontal="left" vertical="center"/>
    </xf>
    <xf borderId="6" fillId="34" fontId="51" numFmtId="0" xfId="0" applyAlignment="1" applyBorder="1" applyFont="1">
      <alignment horizontal="center" shrinkToFit="0" vertical="center" wrapText="1"/>
    </xf>
    <xf borderId="7" fillId="34" fontId="51" numFmtId="0" xfId="0" applyAlignment="1" applyBorder="1" applyFont="1">
      <alignment horizontal="center" shrinkToFit="0" vertical="center" wrapText="1"/>
    </xf>
    <xf borderId="8" fillId="34" fontId="51" numFmtId="0" xfId="0" applyAlignment="1" applyBorder="1" applyFont="1">
      <alignment horizontal="center" shrinkToFit="0" vertical="center" wrapText="1"/>
    </xf>
    <xf borderId="9" fillId="27" fontId="110" numFmtId="0" xfId="0" applyAlignment="1" applyBorder="1" applyFont="1">
      <alignment horizontal="left" shrinkToFit="0" vertical="center" wrapText="1"/>
    </xf>
    <xf borderId="10" fillId="27" fontId="110" numFmtId="0" xfId="0" applyAlignment="1" applyBorder="1" applyFont="1">
      <alignment horizontal="left" shrinkToFit="0" vertical="center" wrapText="1"/>
    </xf>
    <xf borderId="10" fillId="27" fontId="110" numFmtId="164" xfId="0" applyAlignment="1" applyBorder="1" applyFont="1" applyNumberFormat="1">
      <alignment horizontal="left" shrinkToFit="0" vertical="center" wrapText="1"/>
    </xf>
    <xf borderId="10" fillId="27" fontId="110" numFmtId="167" xfId="0" applyAlignment="1" applyBorder="1" applyFont="1" applyNumberFormat="1">
      <alignment horizontal="left" shrinkToFit="0" vertical="center" wrapText="1"/>
    </xf>
    <xf borderId="10" fillId="27" fontId="110" numFmtId="168" xfId="0" applyAlignment="1" applyBorder="1" applyFont="1" applyNumberFormat="1">
      <alignment horizontal="left" shrinkToFit="0" vertical="center" wrapText="1"/>
    </xf>
    <xf borderId="10" fillId="27" fontId="39" numFmtId="0" xfId="0" applyAlignment="1" applyBorder="1" applyFont="1">
      <alignment horizontal="left" shrinkToFit="0" vertical="center" wrapText="1"/>
    </xf>
    <xf borderId="11" fillId="27" fontId="39" numFmtId="0" xfId="0" applyAlignment="1" applyBorder="1" applyFont="1">
      <alignment horizontal="left" shrinkToFit="0" vertical="center" wrapText="1"/>
    </xf>
    <xf borderId="9" fillId="8" fontId="110" numFmtId="0" xfId="0" applyAlignment="1" applyBorder="1" applyFont="1">
      <alignment horizontal="left" shrinkToFit="0" vertical="center" wrapText="1"/>
    </xf>
    <xf borderId="10" fillId="8" fontId="110" numFmtId="0" xfId="0" applyAlignment="1" applyBorder="1" applyFont="1">
      <alignment horizontal="left" shrinkToFit="0" vertical="center" wrapText="1"/>
    </xf>
    <xf borderId="10" fillId="8" fontId="110" numFmtId="164" xfId="0" applyAlignment="1" applyBorder="1" applyFont="1" applyNumberFormat="1">
      <alignment horizontal="left" shrinkToFit="0" vertical="center" wrapText="1"/>
    </xf>
    <xf borderId="10" fillId="8" fontId="110" numFmtId="167" xfId="0" applyAlignment="1" applyBorder="1" applyFont="1" applyNumberFormat="1">
      <alignment horizontal="left" shrinkToFit="0" vertical="center" wrapText="1"/>
    </xf>
    <xf borderId="10" fillId="8" fontId="110" numFmtId="168" xfId="0" applyAlignment="1" applyBorder="1" applyFont="1" applyNumberFormat="1">
      <alignment horizontal="left" shrinkToFit="0" vertical="center" wrapText="1"/>
    </xf>
    <xf borderId="10" fillId="8" fontId="39" numFmtId="0" xfId="0" applyAlignment="1" applyBorder="1" applyFont="1">
      <alignment horizontal="left" shrinkToFit="0" vertical="center" wrapText="1"/>
    </xf>
    <xf borderId="11" fillId="8" fontId="39" numFmtId="0" xfId="0" applyAlignment="1" applyBorder="1" applyFont="1">
      <alignment horizontal="left" shrinkToFit="0" vertical="center" wrapText="1"/>
    </xf>
    <xf borderId="9" fillId="8" fontId="111" numFmtId="0" xfId="0" applyAlignment="1" applyBorder="1" applyFont="1">
      <alignment horizontal="left" shrinkToFit="0" vertical="center" wrapText="1"/>
    </xf>
    <xf borderId="10" fillId="8" fontId="111" numFmtId="0" xfId="0" applyAlignment="1" applyBorder="1" applyFont="1">
      <alignment horizontal="left" shrinkToFit="0" vertical="center" wrapText="1"/>
    </xf>
    <xf borderId="10" fillId="8" fontId="111" numFmtId="164" xfId="0" applyAlignment="1" applyBorder="1" applyFont="1" applyNumberFormat="1">
      <alignment horizontal="left" shrinkToFit="0" vertical="center" wrapText="1"/>
    </xf>
    <xf borderId="10" fillId="8" fontId="111" numFmtId="167" xfId="0" applyAlignment="1" applyBorder="1" applyFont="1" applyNumberFormat="1">
      <alignment horizontal="left" shrinkToFit="0" vertical="center" wrapText="1"/>
    </xf>
    <xf borderId="10" fillId="8" fontId="111" numFmtId="168" xfId="0" applyAlignment="1" applyBorder="1" applyFont="1" applyNumberFormat="1">
      <alignment horizontal="left" shrinkToFit="0" vertical="center" wrapText="1"/>
    </xf>
    <xf borderId="9" fillId="27" fontId="111" numFmtId="0" xfId="0" applyAlignment="1" applyBorder="1" applyFont="1">
      <alignment horizontal="left" shrinkToFit="0" vertical="center" wrapText="1"/>
    </xf>
    <xf borderId="10" fillId="27" fontId="111" numFmtId="0" xfId="0" applyAlignment="1" applyBorder="1" applyFont="1">
      <alignment horizontal="left" shrinkToFit="0" vertical="center" wrapText="1"/>
    </xf>
    <xf borderId="10" fillId="27" fontId="111" numFmtId="164" xfId="0" applyAlignment="1" applyBorder="1" applyFont="1" applyNumberFormat="1">
      <alignment horizontal="left" shrinkToFit="0" vertical="center" wrapText="1"/>
    </xf>
    <xf borderId="10" fillId="27" fontId="111" numFmtId="167" xfId="0" applyAlignment="1" applyBorder="1" applyFont="1" applyNumberFormat="1">
      <alignment horizontal="left" shrinkToFit="0" vertical="center" wrapText="1"/>
    </xf>
    <xf borderId="10" fillId="27" fontId="111" numFmtId="168" xfId="0" applyAlignment="1" applyBorder="1" applyFont="1" applyNumberFormat="1">
      <alignment horizontal="left" shrinkToFit="0" vertical="center" wrapText="1"/>
    </xf>
    <xf borderId="9" fillId="8" fontId="39" numFmtId="0" xfId="0" applyAlignment="1" applyBorder="1" applyFont="1">
      <alignment horizontal="left" shrinkToFit="0" vertical="center" wrapText="1"/>
    </xf>
    <xf borderId="10" fillId="8" fontId="39" numFmtId="164" xfId="0" applyAlignment="1" applyBorder="1" applyFont="1" applyNumberFormat="1">
      <alignment horizontal="left" shrinkToFit="0" vertical="center" wrapText="1"/>
    </xf>
    <xf borderId="10" fillId="8" fontId="39" numFmtId="167" xfId="0" applyAlignment="1" applyBorder="1" applyFont="1" applyNumberFormat="1">
      <alignment horizontal="left" shrinkToFit="0" vertical="center" wrapText="1"/>
    </xf>
    <xf borderId="10" fillId="8" fontId="39" numFmtId="168" xfId="0" applyAlignment="1" applyBorder="1" applyFont="1" applyNumberFormat="1">
      <alignment horizontal="left" shrinkToFit="0" vertical="center" wrapText="1"/>
    </xf>
    <xf borderId="12" fillId="8" fontId="112" numFmtId="0" xfId="0" applyAlignment="1" applyBorder="1" applyFont="1">
      <alignment horizontal="center" vertical="center"/>
    </xf>
    <xf borderId="13" fillId="0" fontId="2" numFmtId="0" xfId="0" applyBorder="1" applyFont="1"/>
    <xf borderId="14" fillId="0" fontId="2" numFmtId="0" xfId="0" applyBorder="1" applyFont="1"/>
    <xf borderId="9" fillId="8" fontId="113" numFmtId="0" xfId="0" applyAlignment="1" applyBorder="1" applyFont="1">
      <alignment horizontal="left" shrinkToFit="0" vertical="center" wrapText="1"/>
    </xf>
    <xf borderId="10" fillId="8" fontId="34" numFmtId="0" xfId="0" applyAlignment="1" applyBorder="1" applyFont="1">
      <alignment horizontal="left" shrinkToFit="0" vertical="center" wrapText="1"/>
    </xf>
    <xf borderId="10" fillId="8" fontId="113" numFmtId="0" xfId="0" applyAlignment="1" applyBorder="1" applyFont="1">
      <alignment horizontal="left" shrinkToFit="0" vertical="center" wrapText="1"/>
    </xf>
    <xf borderId="10" fillId="8" fontId="113" numFmtId="164" xfId="0" applyAlignment="1" applyBorder="1" applyFont="1" applyNumberFormat="1">
      <alignment horizontal="left" shrinkToFit="0" vertical="center" wrapText="1"/>
    </xf>
    <xf borderId="10" fillId="8" fontId="113" numFmtId="167" xfId="0" applyAlignment="1" applyBorder="1" applyFont="1" applyNumberFormat="1">
      <alignment horizontal="left" shrinkToFit="0" vertical="center" wrapText="1"/>
    </xf>
    <xf borderId="10" fillId="8" fontId="113" numFmtId="168" xfId="0" applyAlignment="1" applyBorder="1" applyFont="1" applyNumberFormat="1">
      <alignment horizontal="left" shrinkToFit="0" vertical="center" wrapText="1"/>
    </xf>
    <xf borderId="11" fillId="8" fontId="113" numFmtId="0" xfId="0" applyAlignment="1" applyBorder="1" applyFont="1">
      <alignment horizontal="left" shrinkToFit="0" vertical="center" wrapText="1"/>
    </xf>
    <xf borderId="9" fillId="27" fontId="113" numFmtId="0" xfId="0" applyAlignment="1" applyBorder="1" applyFont="1">
      <alignment horizontal="left" shrinkToFit="0" vertical="center" wrapText="1"/>
    </xf>
    <xf borderId="10" fillId="27" fontId="34" numFmtId="0" xfId="0" applyAlignment="1" applyBorder="1" applyFont="1">
      <alignment horizontal="left" shrinkToFit="0" vertical="center" wrapText="1"/>
    </xf>
    <xf borderId="10" fillId="27" fontId="113" numFmtId="0" xfId="0" applyAlignment="1" applyBorder="1" applyFont="1">
      <alignment horizontal="left" shrinkToFit="0" vertical="center" wrapText="1"/>
    </xf>
    <xf borderId="10" fillId="27" fontId="113" numFmtId="164" xfId="0" applyAlignment="1" applyBorder="1" applyFont="1" applyNumberFormat="1">
      <alignment horizontal="left" shrinkToFit="0" vertical="center" wrapText="1"/>
    </xf>
    <xf borderId="10" fillId="27" fontId="113" numFmtId="167" xfId="0" applyAlignment="1" applyBorder="1" applyFont="1" applyNumberFormat="1">
      <alignment horizontal="left" shrinkToFit="0" vertical="center" wrapText="1"/>
    </xf>
    <xf borderId="10" fillId="27" fontId="113" numFmtId="168" xfId="0" applyAlignment="1" applyBorder="1" applyFont="1" applyNumberFormat="1">
      <alignment horizontal="left" shrinkToFit="0" vertical="center" wrapText="1"/>
    </xf>
    <xf borderId="11" fillId="27" fontId="113" numFmtId="0" xfId="0" applyAlignment="1" applyBorder="1" applyFont="1">
      <alignment horizontal="left" shrinkToFit="0" vertical="center" wrapText="1"/>
    </xf>
    <xf borderId="15" fillId="8" fontId="113" numFmtId="0" xfId="0" applyAlignment="1" applyBorder="1" applyFont="1">
      <alignment horizontal="left" shrinkToFit="0" vertical="center" wrapText="1"/>
    </xf>
    <xf borderId="16" fillId="0" fontId="2" numFmtId="0" xfId="0" applyBorder="1" applyFont="1"/>
    <xf borderId="17" fillId="0" fontId="2" numFmtId="0" xfId="0" applyBorder="1" applyFont="1"/>
    <xf borderId="9" fillId="8" fontId="114" numFmtId="0" xfId="0" applyAlignment="1" applyBorder="1" applyFont="1">
      <alignment horizontal="left" shrinkToFit="0" vertical="center" wrapText="1"/>
    </xf>
    <xf borderId="10" fillId="8" fontId="114" numFmtId="0" xfId="0" applyAlignment="1" applyBorder="1" applyFont="1">
      <alignment horizontal="left" shrinkToFit="0" vertical="center" wrapText="1"/>
    </xf>
    <xf borderId="10" fillId="8" fontId="114" numFmtId="164" xfId="0" applyAlignment="1" applyBorder="1" applyFont="1" applyNumberFormat="1">
      <alignment horizontal="left" shrinkToFit="0" vertical="center" wrapText="1"/>
    </xf>
    <xf borderId="10" fillId="8" fontId="114" numFmtId="167" xfId="0" applyAlignment="1" applyBorder="1" applyFont="1" applyNumberFormat="1">
      <alignment horizontal="left" shrinkToFit="0" vertical="center" wrapText="1"/>
    </xf>
    <xf borderId="10" fillId="8" fontId="114" numFmtId="168" xfId="0" applyAlignment="1" applyBorder="1" applyFont="1" applyNumberFormat="1">
      <alignment horizontal="left" shrinkToFit="0" vertical="center" wrapText="1"/>
    </xf>
    <xf borderId="11" fillId="8" fontId="114" numFmtId="0" xfId="0" applyAlignment="1" applyBorder="1" applyFont="1">
      <alignment horizontal="left" shrinkToFit="0" vertical="center" wrapText="1"/>
    </xf>
    <xf borderId="9" fillId="27" fontId="39" numFmtId="0" xfId="0" applyAlignment="1" applyBorder="1" applyFont="1">
      <alignment horizontal="left" shrinkToFit="0" vertical="center" wrapText="1"/>
    </xf>
    <xf borderId="10" fillId="27" fontId="39" numFmtId="164" xfId="0" applyAlignment="1" applyBorder="1" applyFont="1" applyNumberFormat="1">
      <alignment horizontal="left" shrinkToFit="0" vertical="center" wrapText="1"/>
    </xf>
    <xf borderId="10" fillId="27" fontId="39" numFmtId="167" xfId="0" applyAlignment="1" applyBorder="1" applyFont="1" applyNumberFormat="1">
      <alignment horizontal="left" shrinkToFit="0" vertical="center" wrapText="1"/>
    </xf>
    <xf borderId="10" fillId="27" fontId="39" numFmtId="168" xfId="0" applyAlignment="1" applyBorder="1" applyFont="1" applyNumberFormat="1">
      <alignment horizontal="left" shrinkToFit="0" vertical="center" wrapText="1"/>
    </xf>
    <xf borderId="18" fillId="0" fontId="39" numFmtId="0" xfId="0" applyBorder="1" applyFont="1"/>
    <xf borderId="18" fillId="0" fontId="2" numFmtId="0" xfId="0" applyBorder="1" applyFont="1"/>
    <xf borderId="19" fillId="0" fontId="2" numFmtId="0" xfId="0" applyBorder="1" applyFont="1"/>
    <xf borderId="20" fillId="8" fontId="39" numFmtId="0" xfId="0" applyAlignment="1" applyBorder="1" applyFont="1">
      <alignment horizontal="left" shrinkToFit="0" vertical="center" wrapText="1"/>
    </xf>
    <xf borderId="20" fillId="27" fontId="39" numFmtId="0" xfId="0" applyAlignment="1" applyBorder="1" applyFont="1">
      <alignment horizontal="left" shrinkToFit="0" vertical="center" wrapText="1"/>
    </xf>
    <xf borderId="9" fillId="8" fontId="21" numFmtId="0" xfId="0" applyAlignment="1" applyBorder="1" applyFont="1">
      <alignment horizontal="left" shrinkToFit="0" vertical="center" wrapText="1"/>
    </xf>
    <xf borderId="10" fillId="8" fontId="21" numFmtId="0" xfId="0" applyAlignment="1" applyBorder="1" applyFont="1">
      <alignment horizontal="left" shrinkToFit="0" vertical="center" wrapText="1"/>
    </xf>
    <xf borderId="9" fillId="27" fontId="29" numFmtId="0" xfId="0" applyAlignment="1" applyBorder="1" applyFont="1">
      <alignment horizontal="left" shrinkToFit="0" vertical="center" wrapText="1"/>
    </xf>
    <xf borderId="10" fillId="27" fontId="29" numFmtId="0" xfId="0" applyAlignment="1" applyBorder="1" applyFont="1">
      <alignment horizontal="left" shrinkToFit="0" vertical="center" wrapText="1"/>
    </xf>
    <xf borderId="10" fillId="27" fontId="30" numFmtId="0" xfId="0" applyAlignment="1" applyBorder="1" applyFont="1">
      <alignment horizontal="left" shrinkToFit="0" vertical="center" wrapText="1"/>
    </xf>
    <xf borderId="9" fillId="8" fontId="29" numFmtId="0" xfId="0" applyAlignment="1" applyBorder="1" applyFont="1">
      <alignment horizontal="left" shrinkToFit="0" vertical="center" wrapText="1"/>
    </xf>
    <xf borderId="10" fillId="8" fontId="29" numFmtId="0" xfId="0" applyAlignment="1" applyBorder="1" applyFont="1">
      <alignment horizontal="left" shrinkToFit="0" vertical="center" wrapText="1"/>
    </xf>
    <xf borderId="10" fillId="8" fontId="30" numFmtId="0" xfId="0" applyAlignment="1" applyBorder="1" applyFont="1">
      <alignment horizontal="left" shrinkToFit="0" vertical="center" wrapText="1"/>
    </xf>
    <xf borderId="15" fillId="8" fontId="20" numFmtId="0" xfId="0" applyAlignment="1" applyBorder="1" applyFont="1">
      <alignment horizontal="left" shrinkToFit="0" vertical="center" wrapText="1"/>
    </xf>
    <xf borderId="15" fillId="27" fontId="35" numFmtId="0" xfId="0" applyAlignment="1" applyBorder="1" applyFont="1">
      <alignment horizontal="left" shrinkToFit="0" vertical="center" wrapText="1"/>
    </xf>
    <xf borderId="9" fillId="8" fontId="51" numFmtId="0" xfId="0" applyAlignment="1" applyBorder="1" applyFont="1">
      <alignment horizontal="left" shrinkToFit="0" vertical="center" wrapText="1"/>
    </xf>
    <xf borderId="10" fillId="8" fontId="51" numFmtId="0" xfId="0" applyAlignment="1" applyBorder="1" applyFont="1">
      <alignment horizontal="left" shrinkToFit="0" vertical="center" wrapText="1"/>
    </xf>
    <xf borderId="10" fillId="8" fontId="51" numFmtId="164" xfId="0" applyAlignment="1" applyBorder="1" applyFont="1" applyNumberFormat="1">
      <alignment horizontal="left" shrinkToFit="0" vertical="center" wrapText="1"/>
    </xf>
    <xf borderId="10" fillId="8" fontId="51" numFmtId="167" xfId="0" applyAlignment="1" applyBorder="1" applyFont="1" applyNumberFormat="1">
      <alignment horizontal="left" shrinkToFit="0" vertical="center" wrapText="1"/>
    </xf>
    <xf borderId="10" fillId="8" fontId="51" numFmtId="168" xfId="0" applyAlignment="1" applyBorder="1" applyFont="1" applyNumberFormat="1">
      <alignment horizontal="left" shrinkToFit="0" vertical="center" wrapText="1"/>
    </xf>
    <xf borderId="9" fillId="27" fontId="36" numFmtId="0" xfId="0" applyAlignment="1" applyBorder="1" applyFont="1">
      <alignment horizontal="left" shrinkToFit="0" vertical="center" wrapText="1"/>
    </xf>
    <xf borderId="10" fillId="27" fontId="38" numFmtId="0" xfId="0" applyAlignment="1" applyBorder="1" applyFont="1">
      <alignment horizontal="left" shrinkToFit="0" vertical="center" wrapText="1"/>
    </xf>
    <xf borderId="10" fillId="27" fontId="38" numFmtId="164" xfId="0" applyAlignment="1" applyBorder="1" applyFont="1" applyNumberFormat="1">
      <alignment horizontal="left" shrinkToFit="0" vertical="center" wrapText="1"/>
    </xf>
    <xf borderId="10" fillId="27" fontId="115" numFmtId="167" xfId="0" applyAlignment="1" applyBorder="1" applyFont="1" applyNumberFormat="1">
      <alignment horizontal="left" shrinkToFit="0" vertical="center" wrapText="1"/>
    </xf>
    <xf borderId="10" fillId="27" fontId="36" numFmtId="0" xfId="0" applyAlignment="1" applyBorder="1" applyFont="1">
      <alignment horizontal="left" shrinkToFit="0" vertical="center" wrapText="1"/>
    </xf>
    <xf borderId="10" fillId="27" fontId="115" numFmtId="168" xfId="0" applyAlignment="1" applyBorder="1" applyFont="1" applyNumberFormat="1">
      <alignment horizontal="left" shrinkToFit="0" vertical="center" wrapText="1"/>
    </xf>
    <xf borderId="9" fillId="8" fontId="36" numFmtId="0" xfId="0" applyAlignment="1" applyBorder="1" applyFont="1">
      <alignment horizontal="left" shrinkToFit="0" vertical="center" wrapText="1"/>
    </xf>
    <xf borderId="10" fillId="8" fontId="38" numFmtId="0" xfId="0" applyAlignment="1" applyBorder="1" applyFont="1">
      <alignment horizontal="left" shrinkToFit="0" vertical="center" wrapText="1"/>
    </xf>
    <xf borderId="10" fillId="8" fontId="38" numFmtId="164" xfId="0" applyAlignment="1" applyBorder="1" applyFont="1" applyNumberFormat="1">
      <alignment horizontal="left" shrinkToFit="0" vertical="center" wrapText="1"/>
    </xf>
    <xf borderId="10" fillId="8" fontId="115" numFmtId="167" xfId="0" applyAlignment="1" applyBorder="1" applyFont="1" applyNumberFormat="1">
      <alignment horizontal="left" shrinkToFit="0" vertical="center" wrapText="1"/>
    </xf>
    <xf borderId="10" fillId="8" fontId="36" numFmtId="0" xfId="0" applyAlignment="1" applyBorder="1" applyFont="1">
      <alignment horizontal="left" shrinkToFit="0" vertical="center" wrapText="1"/>
    </xf>
    <xf borderId="10" fillId="8" fontId="115" numFmtId="168" xfId="0" applyAlignment="1" applyBorder="1" applyFont="1" applyNumberFormat="1">
      <alignment horizontal="left" shrinkToFit="0" vertical="center" wrapText="1"/>
    </xf>
    <xf borderId="10" fillId="27" fontId="115" numFmtId="0" xfId="0" applyAlignment="1" applyBorder="1" applyFont="1">
      <alignment horizontal="left" shrinkToFit="0" vertical="center" wrapText="1"/>
    </xf>
    <xf borderId="10" fillId="8" fontId="115" numFmtId="0" xfId="0" applyAlignment="1" applyBorder="1" applyFont="1">
      <alignment horizontal="left" shrinkToFit="0" vertical="center" wrapText="1"/>
    </xf>
    <xf borderId="21" fillId="8" fontId="54" numFmtId="0" xfId="0" applyAlignment="1" applyBorder="1" applyFont="1">
      <alignment horizontal="left" shrinkToFit="0" vertical="center" wrapText="1"/>
    </xf>
    <xf borderId="22" fillId="0" fontId="2" numFmtId="0" xfId="0" applyBorder="1" applyFont="1"/>
    <xf borderId="23" fillId="0" fontId="2" numFmtId="0" xfId="0" applyBorder="1" applyFont="1"/>
    <xf borderId="24" fillId="8" fontId="39" numFmtId="0" xfId="0" applyAlignment="1" applyBorder="1" applyFont="1">
      <alignment horizontal="left" shrinkToFit="0" vertical="center" wrapText="1"/>
    </xf>
    <xf borderId="5" fillId="30" fontId="18" numFmtId="0" xfId="0" applyAlignment="1" applyBorder="1" applyFont="1">
      <alignment horizontal="left" shrinkToFit="0" vertical="center" wrapText="1"/>
    </xf>
    <xf borderId="5" fillId="30" fontId="39" numFmtId="0" xfId="0" applyBorder="1" applyFont="1"/>
    <xf borderId="5" fillId="30" fontId="74" numFmtId="0" xfId="0" applyAlignment="1" applyBorder="1" applyFont="1">
      <alignment horizontal="center" shrinkToFit="0" vertical="center" wrapText="1"/>
    </xf>
    <xf borderId="5" fillId="7" fontId="94" numFmtId="0" xfId="0" applyAlignment="1" applyBorder="1" applyFont="1">
      <alignment horizontal="center" shrinkToFit="0" vertical="center" wrapText="1"/>
    </xf>
    <xf borderId="5" fillId="7" fontId="100" numFmtId="0" xfId="0" applyAlignment="1" applyBorder="1" applyFont="1">
      <alignment horizontal="left" shrinkToFit="0" vertical="center" wrapText="1"/>
    </xf>
    <xf borderId="5" fillId="7" fontId="116" numFmtId="0" xfId="0" applyAlignment="1" applyBorder="1" applyFont="1">
      <alignment horizontal="left" shrinkToFit="0" vertical="center" wrapText="1"/>
    </xf>
    <xf borderId="5" fillId="52" fontId="94" numFmtId="0" xfId="0" applyAlignment="1" applyBorder="1" applyFont="1">
      <alignment horizontal="center" shrinkToFit="0" vertical="center" wrapText="1"/>
    </xf>
    <xf borderId="5" fillId="52" fontId="100" numFmtId="0" xfId="0" applyAlignment="1" applyBorder="1" applyFont="1">
      <alignment horizontal="left" shrinkToFit="0" vertical="center" wrapText="1"/>
    </xf>
    <xf borderId="5" fillId="22" fontId="117" numFmtId="0" xfId="0" applyAlignment="1" applyBorder="1" applyFont="1">
      <alignment horizontal="center" shrinkToFit="0" vertical="center" wrapText="1"/>
    </xf>
    <xf borderId="5" fillId="36" fontId="18" numFmtId="0" xfId="0" applyAlignment="1" applyBorder="1" applyFont="1">
      <alignment horizontal="left" shrinkToFit="0" vertical="center" wrapText="1"/>
    </xf>
    <xf borderId="5" fillId="36" fontId="39" numFmtId="0" xfId="0" applyBorder="1" applyFont="1"/>
    <xf borderId="5" fillId="36" fontId="74" numFmtId="0" xfId="0" applyAlignment="1" applyBorder="1" applyFont="1">
      <alignment horizontal="center" shrinkToFit="0" vertical="center" wrapText="1"/>
    </xf>
    <xf borderId="5" fillId="4" fontId="100" numFmtId="0" xfId="0" applyAlignment="1" applyBorder="1" applyFont="1">
      <alignment horizontal="center" shrinkToFit="0" vertical="center" wrapText="1"/>
    </xf>
    <xf borderId="1" fillId="34" fontId="78" numFmtId="0" xfId="0" applyAlignment="1" applyBorder="1" applyFont="1">
      <alignment horizontal="left" shrinkToFit="0" vertical="center" wrapText="1"/>
    </xf>
    <xf borderId="1" fillId="34" fontId="4" numFmtId="0" xfId="0" applyAlignment="1" applyBorder="1" applyFont="1">
      <alignment horizontal="left" shrinkToFit="0" vertical="center" wrapText="1"/>
    </xf>
    <xf borderId="1" fillId="55" fontId="20" numFmtId="0" xfId="0" applyAlignment="1" applyBorder="1" applyFill="1" applyFont="1">
      <alignment horizontal="left" shrinkToFit="0" vertical="center" wrapText="1"/>
    </xf>
    <xf borderId="3" fillId="26" fontId="29" numFmtId="0" xfId="0" applyAlignment="1" applyBorder="1" applyFont="1">
      <alignment horizontal="left" shrinkToFit="0" vertical="center" wrapText="1"/>
    </xf>
    <xf borderId="1" fillId="26" fontId="30" numFmtId="0" xfId="0" applyAlignment="1" applyBorder="1" applyFont="1">
      <alignment horizontal="left" shrinkToFit="0" vertical="center" wrapText="1"/>
    </xf>
    <xf borderId="3" fillId="30" fontId="21" numFmtId="0" xfId="0" applyAlignment="1" applyBorder="1" applyFont="1">
      <alignment horizontal="center" shrinkToFit="0" vertical="center" wrapText="1"/>
    </xf>
    <xf borderId="3" fillId="56" fontId="30" numFmtId="0" xfId="0" applyAlignment="1" applyBorder="1" applyFill="1" applyFont="1">
      <alignment horizontal="left" shrinkToFit="0" vertical="center" wrapText="1"/>
    </xf>
    <xf borderId="3" fillId="56" fontId="29" numFmtId="0" xfId="0" applyAlignment="1" applyBorder="1" applyFont="1">
      <alignment horizontal="left" shrinkToFit="0" vertical="center" wrapText="1"/>
    </xf>
    <xf borderId="3" fillId="56" fontId="118" numFmtId="0" xfId="0" applyAlignment="1" applyBorder="1" applyFont="1">
      <alignment horizontal="left" shrinkToFit="0" vertical="center" wrapText="1"/>
    </xf>
    <xf borderId="3" fillId="7" fontId="30" numFmtId="0" xfId="0" applyAlignment="1" applyBorder="1" applyFont="1">
      <alignment horizontal="left" shrinkToFit="0" vertical="center" wrapText="1"/>
    </xf>
    <xf borderId="3" fillId="19" fontId="30" numFmtId="0" xfId="0" applyAlignment="1" applyBorder="1" applyFont="1">
      <alignment horizontal="left" shrinkToFit="0" vertical="center" wrapText="1"/>
    </xf>
    <xf borderId="3" fillId="22" fontId="30" numFmtId="0" xfId="0" applyAlignment="1" applyBorder="1" applyFont="1">
      <alignment horizontal="left" shrinkToFit="0" vertical="center" wrapText="1"/>
    </xf>
    <xf borderId="3" fillId="22" fontId="118" numFmtId="0" xfId="0" applyAlignment="1" applyBorder="1" applyFont="1">
      <alignment horizontal="left" shrinkToFit="0" vertical="center" wrapText="1"/>
    </xf>
    <xf borderId="3" fillId="27" fontId="30" numFmtId="0" xfId="0" applyAlignment="1" applyBorder="1" applyFont="1">
      <alignment horizontal="left" shrinkToFit="0" vertical="center" wrapText="1"/>
    </xf>
    <xf borderId="3" fillId="27" fontId="29" numFmtId="0" xfId="0" applyAlignment="1" applyBorder="1" applyFont="1">
      <alignment horizontal="left" shrinkToFit="0" vertical="center" wrapText="1"/>
    </xf>
    <xf borderId="3" fillId="27" fontId="118" numFmtId="0" xfId="0" applyAlignment="1" applyBorder="1" applyFont="1">
      <alignment horizontal="left" shrinkToFit="0" vertical="center" wrapText="1"/>
    </xf>
    <xf borderId="4" fillId="31" fontId="119" numFmtId="0" xfId="0" applyAlignment="1" applyBorder="1" applyFont="1">
      <alignment horizontal="left" vertical="center"/>
    </xf>
    <xf borderId="4" fillId="31" fontId="120" numFmtId="0" xfId="0" applyAlignment="1" applyBorder="1" applyFont="1">
      <alignment horizontal="left" vertical="center"/>
    </xf>
    <xf borderId="4" fillId="31" fontId="41" numFmtId="0" xfId="0" applyAlignment="1" applyBorder="1" applyFont="1">
      <alignment horizontal="left" vertical="center"/>
    </xf>
    <xf borderId="4" fillId="31" fontId="121" numFmtId="0" xfId="0" applyAlignment="1" applyBorder="1" applyFont="1">
      <alignment horizontal="left" vertical="center"/>
    </xf>
    <xf borderId="3" fillId="31" fontId="122" numFmtId="0" xfId="0" applyAlignment="1" applyBorder="1" applyFont="1">
      <alignment horizontal="left" shrinkToFit="0" vertical="center" wrapText="1"/>
    </xf>
    <xf borderId="4" fillId="31" fontId="123" numFmtId="0" xfId="0" applyAlignment="1" applyBorder="1" applyFont="1">
      <alignment horizontal="left" vertical="center"/>
    </xf>
    <xf borderId="4" fillId="27" fontId="119" numFmtId="0" xfId="0" applyAlignment="1" applyBorder="1" applyFont="1">
      <alignment horizontal="left" vertical="center"/>
    </xf>
    <xf borderId="4" fillId="27" fontId="120" numFmtId="0" xfId="0" applyAlignment="1" applyBorder="1" applyFont="1">
      <alignment horizontal="left" vertical="center"/>
    </xf>
    <xf borderId="4" fillId="27" fontId="124" numFmtId="0" xfId="0" applyAlignment="1" applyBorder="1" applyFont="1">
      <alignment horizontal="left" vertical="center"/>
    </xf>
    <xf borderId="4" fillId="27" fontId="121" numFmtId="0" xfId="0" applyAlignment="1" applyBorder="1" applyFont="1">
      <alignment horizontal="left" vertical="center"/>
    </xf>
    <xf borderId="3" fillId="27" fontId="122" numFmtId="0" xfId="0" applyAlignment="1" applyBorder="1" applyFont="1">
      <alignment horizontal="left" shrinkToFit="0" vertical="center" wrapText="1"/>
    </xf>
    <xf borderId="4" fillId="27" fontId="123" numFmtId="0" xfId="0" applyAlignment="1" applyBorder="1" applyFont="1">
      <alignment horizontal="left" vertical="center"/>
    </xf>
    <xf borderId="4" fillId="31" fontId="44" numFmtId="0" xfId="0" applyAlignment="1" applyBorder="1" applyFont="1">
      <alignment horizontal="left" vertical="center"/>
    </xf>
    <xf borderId="1" fillId="32" fontId="58" numFmtId="0" xfId="0" applyAlignment="1" applyBorder="1" applyFont="1">
      <alignment horizontal="left" vertical="center"/>
    </xf>
    <xf borderId="1" fillId="8" fontId="125" numFmtId="0" xfId="0" applyAlignment="1" applyBorder="1" applyFont="1">
      <alignment horizontal="left" shrinkToFit="0" vertical="center" wrapText="1"/>
    </xf>
    <xf borderId="4" fillId="12" fontId="126" numFmtId="0" xfId="0" applyAlignment="1" applyBorder="1" applyFont="1">
      <alignment horizontal="center" shrinkToFit="0" vertical="center" wrapText="1"/>
    </xf>
    <xf borderId="4" fillId="31" fontId="121" numFmtId="0" xfId="0" applyAlignment="1" applyBorder="1" applyFont="1">
      <alignment horizontal="left" shrinkToFit="0" vertical="center" wrapText="1"/>
    </xf>
    <xf borderId="4" fillId="31" fontId="127" numFmtId="0" xfId="0" applyAlignment="1" applyBorder="1" applyFont="1">
      <alignment horizontal="left" vertical="center"/>
    </xf>
    <xf borderId="4" fillId="27" fontId="44" numFmtId="0" xfId="0" applyAlignment="1" applyBorder="1" applyFont="1">
      <alignment horizontal="left" vertical="center"/>
    </xf>
    <xf borderId="4" fillId="27" fontId="121" numFmtId="0" xfId="0" applyAlignment="1" applyBorder="1" applyFont="1">
      <alignment horizontal="left" shrinkToFit="0" vertical="center" wrapText="1"/>
    </xf>
    <xf borderId="4" fillId="27" fontId="127" numFmtId="0" xfId="0" applyAlignment="1" applyBorder="1" applyFont="1">
      <alignment horizontal="left" vertical="center"/>
    </xf>
    <xf borderId="4" fillId="31" fontId="124" numFmtId="0" xfId="0" applyAlignment="1" applyBorder="1" applyFont="1">
      <alignment horizontal="left" vertical="center"/>
    </xf>
    <xf borderId="4" fillId="27" fontId="128" numFmtId="0" xfId="0" applyAlignment="1" applyBorder="1" applyFont="1">
      <alignment horizontal="left" vertical="center"/>
    </xf>
    <xf borderId="1" fillId="34" fontId="43" numFmtId="0" xfId="0" applyAlignment="1" applyBorder="1" applyFont="1">
      <alignment horizontal="left" vertical="center"/>
    </xf>
    <xf borderId="4" fillId="34" fontId="126" numFmtId="0" xfId="0" applyAlignment="1" applyBorder="1" applyFont="1">
      <alignment horizontal="center" shrinkToFit="0" vertical="center" wrapText="1"/>
    </xf>
    <xf borderId="4" fillId="15" fontId="119" numFmtId="0" xfId="0" applyAlignment="1" applyBorder="1" applyFont="1">
      <alignment horizontal="left" vertical="center"/>
    </xf>
    <xf borderId="4" fillId="15" fontId="45" numFmtId="0" xfId="0" applyAlignment="1" applyBorder="1" applyFont="1">
      <alignment horizontal="left" vertical="center"/>
    </xf>
    <xf borderId="4" fillId="15" fontId="44" numFmtId="0" xfId="0" applyAlignment="1" applyBorder="1" applyFont="1">
      <alignment horizontal="left" vertical="center"/>
    </xf>
    <xf borderId="4" fillId="15" fontId="125" numFmtId="0" xfId="0" applyAlignment="1" applyBorder="1" applyFont="1">
      <alignment horizontal="left" shrinkToFit="0" vertical="center" wrapText="1"/>
    </xf>
    <xf borderId="4" fillId="15" fontId="121" numFmtId="0" xfId="0" applyAlignment="1" applyBorder="1" applyFont="1">
      <alignment horizontal="left" shrinkToFit="0" vertical="center" wrapText="1"/>
    </xf>
    <xf borderId="4" fillId="15" fontId="129" numFmtId="0" xfId="0" applyAlignment="1" applyBorder="1" applyFont="1">
      <alignment horizontal="left" shrinkToFit="0" vertical="center" wrapText="1"/>
    </xf>
    <xf borderId="4" fillId="15" fontId="123" numFmtId="0" xfId="0" applyAlignment="1" applyBorder="1" applyFont="1">
      <alignment horizontal="left" vertical="center"/>
    </xf>
    <xf borderId="4" fillId="27" fontId="125" numFmtId="0" xfId="0" applyAlignment="1" applyBorder="1" applyFont="1">
      <alignment horizontal="left" shrinkToFit="0" vertical="center" wrapText="1"/>
    </xf>
    <xf borderId="4" fillId="27" fontId="129" numFmtId="0" xfId="0" applyAlignment="1" applyBorder="1" applyFont="1">
      <alignment horizontal="left" shrinkToFit="0" vertical="center" wrapText="1"/>
    </xf>
    <xf borderId="1" fillId="33" fontId="43" numFmtId="0" xfId="0" applyAlignment="1" applyBorder="1" applyFont="1">
      <alignment horizontal="left" vertical="center"/>
    </xf>
    <xf borderId="4" fillId="33" fontId="126" numFmtId="0" xfId="0" applyAlignment="1" applyBorder="1" applyFont="1">
      <alignment horizontal="center" vertical="center"/>
    </xf>
    <xf borderId="25" fillId="33" fontId="126" numFmtId="0" xfId="0" applyAlignment="1" applyBorder="1" applyFont="1">
      <alignment horizontal="center" vertical="center"/>
    </xf>
    <xf borderId="26" fillId="0" fontId="2" numFmtId="0" xfId="0" applyBorder="1" applyFont="1"/>
    <xf borderId="27" fillId="0" fontId="2" numFmtId="0" xfId="0" applyBorder="1" applyFont="1"/>
    <xf borderId="4" fillId="16" fontId="130" numFmtId="0" xfId="0" applyAlignment="1" applyBorder="1" applyFont="1">
      <alignment horizontal="left" vertical="center"/>
    </xf>
    <xf borderId="4" fillId="16" fontId="121" numFmtId="0" xfId="0" applyAlignment="1" applyBorder="1" applyFont="1">
      <alignment horizontal="left" shrinkToFit="0" vertical="center" wrapText="1"/>
    </xf>
    <xf borderId="1" fillId="16" fontId="44" numFmtId="0" xfId="0" applyAlignment="1" applyBorder="1" applyFont="1">
      <alignment horizontal="left" shrinkToFit="0" vertical="center" wrapText="1"/>
    </xf>
    <xf borderId="4" fillId="27" fontId="130" numFmtId="0" xfId="0" applyAlignment="1" applyBorder="1" applyFont="1">
      <alignment horizontal="left" vertical="center"/>
    </xf>
    <xf borderId="1" fillId="27" fontId="44" numFmtId="0" xfId="0" applyAlignment="1" applyBorder="1" applyFont="1">
      <alignment horizontal="left" shrinkToFit="0" vertical="center" wrapText="1"/>
    </xf>
    <xf borderId="1" fillId="16" fontId="128" numFmtId="0" xfId="0" applyAlignment="1" applyBorder="1" applyFont="1">
      <alignment horizontal="left" shrinkToFit="0" vertical="center" wrapText="1"/>
    </xf>
    <xf borderId="1" fillId="57" fontId="43" numFmtId="0" xfId="0" applyAlignment="1" applyBorder="1" applyFill="1" applyFont="1">
      <alignment horizontal="left" vertical="center"/>
    </xf>
    <xf borderId="4" fillId="57" fontId="126" numFmtId="0" xfId="0" applyAlignment="1" applyBorder="1" applyFont="1">
      <alignment horizontal="center" vertical="center"/>
    </xf>
    <xf borderId="25" fillId="57" fontId="126" numFmtId="0" xfId="0" applyAlignment="1" applyBorder="1" applyFont="1">
      <alignment horizontal="center" vertical="center"/>
    </xf>
    <xf borderId="4" fillId="58" fontId="124" numFmtId="0" xfId="0" applyAlignment="1" applyBorder="1" applyFill="1" applyFont="1">
      <alignment horizontal="left" vertical="center"/>
    </xf>
    <xf borderId="4" fillId="58" fontId="120" numFmtId="0" xfId="0" applyAlignment="1" applyBorder="1" applyFont="1">
      <alignment horizontal="left" vertical="center"/>
    </xf>
    <xf borderId="1" fillId="58" fontId="90" numFmtId="0" xfId="0" applyAlignment="1" applyBorder="1" applyFont="1">
      <alignment horizontal="left" shrinkToFit="0" vertical="center" wrapText="1"/>
    </xf>
    <xf borderId="4" fillId="58" fontId="44" numFmtId="0" xfId="0" applyAlignment="1" applyBorder="1" applyFont="1">
      <alignment horizontal="center" vertical="center"/>
    </xf>
    <xf borderId="1" fillId="27" fontId="90" numFmtId="0" xfId="0" applyAlignment="1" applyBorder="1" applyFont="1">
      <alignment horizontal="left" shrinkToFit="0" vertical="center" wrapText="1"/>
    </xf>
    <xf borderId="4" fillId="27" fontId="128" numFmtId="0" xfId="0" applyAlignment="1" applyBorder="1" applyFont="1">
      <alignment horizontal="center" vertical="center"/>
    </xf>
    <xf borderId="0" fillId="0" fontId="131" numFmtId="0" xfId="0" applyAlignment="1" applyFont="1">
      <alignment shrinkToFit="0" wrapText="1"/>
    </xf>
    <xf borderId="3" fillId="59" fontId="43" numFmtId="0" xfId="0" applyBorder="1" applyFill="1" applyFont="1"/>
    <xf borderId="28" fillId="13" fontId="18" numFmtId="0" xfId="0" applyAlignment="1" applyBorder="1" applyFont="1">
      <alignment horizontal="left" vertical="center"/>
    </xf>
    <xf borderId="29" fillId="0" fontId="2" numFmtId="0" xfId="0" applyBorder="1" applyFont="1"/>
    <xf borderId="30" fillId="0" fontId="2" numFmtId="0" xfId="0" applyBorder="1" applyFont="1"/>
    <xf borderId="28" fillId="3" fontId="132" numFmtId="0" xfId="0" applyAlignment="1" applyBorder="1" applyFont="1">
      <alignment horizontal="left" vertical="center"/>
    </xf>
    <xf borderId="28" fillId="12" fontId="132" numFmtId="0" xfId="0" applyAlignment="1" applyBorder="1" applyFont="1">
      <alignment horizontal="left" vertical="center"/>
    </xf>
    <xf borderId="28" fillId="33" fontId="132" numFmtId="0" xfId="0" applyAlignment="1" applyBorder="1" applyFont="1">
      <alignment horizontal="left" vertical="center"/>
    </xf>
    <xf borderId="28" fillId="5" fontId="132" numFmtId="0" xfId="0" applyAlignment="1" applyBorder="1" applyFont="1">
      <alignment horizontal="left" vertical="center"/>
    </xf>
    <xf borderId="28" fillId="60" fontId="133" numFmtId="0" xfId="0" applyAlignment="1" applyBorder="1" applyFill="1" applyFont="1">
      <alignment horizontal="left" vertical="center"/>
    </xf>
    <xf borderId="28" fillId="61" fontId="134" numFmtId="0" xfId="0" applyAlignment="1" applyBorder="1" applyFill="1" applyFont="1">
      <alignment horizontal="left" vertical="center"/>
    </xf>
    <xf borderId="28" fillId="62" fontId="135" numFmtId="0" xfId="0" applyAlignment="1" applyBorder="1" applyFill="1" applyFont="1">
      <alignment horizontal="left" vertical="center"/>
    </xf>
    <xf borderId="28" fillId="56" fontId="136" numFmtId="0" xfId="0" applyAlignment="1" applyBorder="1" applyFont="1">
      <alignment horizontal="left" vertical="center"/>
    </xf>
    <xf borderId="31" fillId="3" fontId="132" numFmtId="0" xfId="0" applyAlignment="1" applyBorder="1" applyFont="1">
      <alignment horizontal="center" vertical="center"/>
    </xf>
    <xf borderId="31" fillId="60" fontId="137" numFmtId="0" xfId="0" applyAlignment="1" applyBorder="1" applyFont="1">
      <alignment horizontal="left" vertical="center"/>
    </xf>
    <xf borderId="31" fillId="60" fontId="83" numFmtId="0" xfId="0" applyAlignment="1" applyBorder="1" applyFont="1">
      <alignment horizontal="left" vertical="center"/>
    </xf>
    <xf borderId="31" fillId="60" fontId="17" numFmtId="0" xfId="0" applyAlignment="1" applyBorder="1" applyFont="1">
      <alignment horizontal="center" vertical="center"/>
    </xf>
    <xf borderId="31" fillId="60" fontId="138" numFmtId="0" xfId="0" applyAlignment="1" applyBorder="1" applyFont="1">
      <alignment horizontal="center" vertical="center"/>
    </xf>
    <xf borderId="31" fillId="60" fontId="139" numFmtId="0" xfId="0" applyAlignment="1" applyBorder="1" applyFont="1">
      <alignment horizontal="center" vertical="center"/>
    </xf>
    <xf borderId="31" fillId="60" fontId="17" numFmtId="169" xfId="0" applyAlignment="1" applyBorder="1" applyFont="1" applyNumberFormat="1">
      <alignment horizontal="right" vertical="center"/>
    </xf>
    <xf borderId="31" fillId="60" fontId="17" numFmtId="4" xfId="0" applyAlignment="1" applyBorder="1" applyFont="1" applyNumberFormat="1">
      <alignment horizontal="right" vertical="center"/>
    </xf>
    <xf borderId="31" fillId="60" fontId="140" numFmtId="0" xfId="0" applyAlignment="1" applyBorder="1" applyFont="1">
      <alignment horizontal="center" vertical="center"/>
    </xf>
    <xf borderId="31" fillId="60" fontId="141" numFmtId="3" xfId="0" applyAlignment="1" applyBorder="1" applyFont="1" applyNumberFormat="1">
      <alignment horizontal="right" vertical="center"/>
    </xf>
    <xf borderId="31" fillId="60" fontId="17" numFmtId="3" xfId="0" applyAlignment="1" applyBorder="1" applyFont="1" applyNumberFormat="1">
      <alignment horizontal="right" vertical="center"/>
    </xf>
    <xf borderId="31" fillId="60" fontId="138" numFmtId="170" xfId="0" applyAlignment="1" applyBorder="1" applyFont="1" applyNumberFormat="1">
      <alignment horizontal="right" vertical="center"/>
    </xf>
    <xf borderId="31" fillId="60" fontId="138" numFmtId="171" xfId="0" applyAlignment="1" applyBorder="1" applyFont="1" applyNumberFormat="1">
      <alignment horizontal="right" vertical="center"/>
    </xf>
    <xf borderId="31" fillId="60" fontId="17" numFmtId="165" xfId="0" applyAlignment="1" applyBorder="1" applyFont="1" applyNumberFormat="1">
      <alignment horizontal="right" vertical="center"/>
    </xf>
    <xf borderId="31" fillId="60" fontId="17" numFmtId="10" xfId="0" applyAlignment="1" applyBorder="1" applyFont="1" applyNumberFormat="1">
      <alignment horizontal="right" vertical="center"/>
    </xf>
    <xf borderId="31" fillId="62" fontId="142" numFmtId="0" xfId="0" applyAlignment="1" applyBorder="1" applyFont="1">
      <alignment horizontal="left" vertical="center"/>
    </xf>
    <xf borderId="31" fillId="62" fontId="83" numFmtId="0" xfId="0" applyAlignment="1" applyBorder="1" applyFont="1">
      <alignment horizontal="left" vertical="center"/>
    </xf>
    <xf borderId="31" fillId="62" fontId="17" numFmtId="0" xfId="0" applyAlignment="1" applyBorder="1" applyFont="1">
      <alignment horizontal="center" vertical="center"/>
    </xf>
    <xf borderId="31" fillId="62" fontId="143" numFmtId="0" xfId="0" applyAlignment="1" applyBorder="1" applyFont="1">
      <alignment horizontal="center" vertical="center"/>
    </xf>
    <xf borderId="31" fillId="62" fontId="139" numFmtId="0" xfId="0" applyAlignment="1" applyBorder="1" applyFont="1">
      <alignment horizontal="center" vertical="center"/>
    </xf>
    <xf borderId="31" fillId="62" fontId="17" numFmtId="169" xfId="0" applyAlignment="1" applyBorder="1" applyFont="1" applyNumberFormat="1">
      <alignment horizontal="right" vertical="center"/>
    </xf>
    <xf borderId="31" fillId="62" fontId="17" numFmtId="4" xfId="0" applyAlignment="1" applyBorder="1" applyFont="1" applyNumberFormat="1">
      <alignment horizontal="right" vertical="center"/>
    </xf>
    <xf borderId="31" fillId="62" fontId="140" numFmtId="0" xfId="0" applyAlignment="1" applyBorder="1" applyFont="1">
      <alignment horizontal="center" vertical="center"/>
    </xf>
    <xf borderId="31" fillId="62" fontId="141" numFmtId="3" xfId="0" applyAlignment="1" applyBorder="1" applyFont="1" applyNumberFormat="1">
      <alignment horizontal="right" vertical="center"/>
    </xf>
    <xf borderId="31" fillId="62" fontId="17" numFmtId="3" xfId="0" applyAlignment="1" applyBorder="1" applyFont="1" applyNumberFormat="1">
      <alignment horizontal="right" vertical="center"/>
    </xf>
    <xf borderId="31" fillId="62" fontId="138" numFmtId="170" xfId="0" applyAlignment="1" applyBorder="1" applyFont="1" applyNumberFormat="1">
      <alignment horizontal="right" vertical="center"/>
    </xf>
    <xf borderId="31" fillId="62" fontId="138" numFmtId="171" xfId="0" applyAlignment="1" applyBorder="1" applyFont="1" applyNumberFormat="1">
      <alignment horizontal="right" vertical="center"/>
    </xf>
    <xf borderId="31" fillId="62" fontId="17" numFmtId="165" xfId="0" applyAlignment="1" applyBorder="1" applyFont="1" applyNumberFormat="1">
      <alignment horizontal="right" vertical="center"/>
    </xf>
    <xf borderId="31" fillId="62" fontId="17" numFmtId="10" xfId="0" applyAlignment="1" applyBorder="1" applyFont="1" applyNumberFormat="1">
      <alignment horizontal="right" vertical="center"/>
    </xf>
    <xf borderId="31" fillId="60" fontId="138" numFmtId="0" xfId="0" applyAlignment="1" applyBorder="1" applyFont="1">
      <alignment horizontal="left" vertical="center"/>
    </xf>
    <xf borderId="31" fillId="60" fontId="144" numFmtId="0" xfId="0" applyAlignment="1" applyBorder="1" applyFont="1">
      <alignment horizontal="center" vertical="center"/>
    </xf>
    <xf borderId="31" fillId="60" fontId="145" numFmtId="170" xfId="0" applyAlignment="1" applyBorder="1" applyFont="1" applyNumberFormat="1">
      <alignment horizontal="right" vertical="center"/>
    </xf>
    <xf borderId="31" fillId="60" fontId="145" numFmtId="171" xfId="0" applyAlignment="1" applyBorder="1" applyFont="1" applyNumberFormat="1">
      <alignment horizontal="right" vertical="center"/>
    </xf>
    <xf borderId="31" fillId="60" fontId="143" numFmtId="0" xfId="0" applyAlignment="1" applyBorder="1" applyFont="1">
      <alignment horizontal="center" vertical="center"/>
    </xf>
    <xf borderId="31" fillId="62" fontId="138" numFmtId="0" xfId="0" applyAlignment="1" applyBorder="1" applyFont="1">
      <alignment horizontal="center" vertical="center"/>
    </xf>
    <xf borderId="31" fillId="56" fontId="146" numFmtId="0" xfId="0" applyAlignment="1" applyBorder="1" applyFont="1">
      <alignment horizontal="left" vertical="center"/>
    </xf>
    <xf borderId="31" fillId="56" fontId="83" numFmtId="0" xfId="0" applyAlignment="1" applyBorder="1" applyFont="1">
      <alignment horizontal="left" vertical="center"/>
    </xf>
    <xf borderId="31" fillId="56" fontId="17" numFmtId="0" xfId="0" applyAlignment="1" applyBorder="1" applyFont="1">
      <alignment horizontal="center" vertical="center"/>
    </xf>
    <xf borderId="31" fillId="56" fontId="147" numFmtId="0" xfId="0" applyAlignment="1" applyBorder="1" applyFont="1">
      <alignment horizontal="center" vertical="center"/>
    </xf>
    <xf borderId="31" fillId="56" fontId="139" numFmtId="0" xfId="0" applyAlignment="1" applyBorder="1" applyFont="1">
      <alignment horizontal="center" vertical="center"/>
    </xf>
    <xf borderId="31" fillId="56" fontId="17" numFmtId="169" xfId="0" applyAlignment="1" applyBorder="1" applyFont="1" applyNumberFormat="1">
      <alignment horizontal="right" vertical="center"/>
    </xf>
    <xf borderId="31" fillId="56" fontId="17" numFmtId="4" xfId="0" applyAlignment="1" applyBorder="1" applyFont="1" applyNumberFormat="1">
      <alignment horizontal="right" vertical="center"/>
    </xf>
    <xf borderId="31" fillId="56" fontId="140" numFmtId="0" xfId="0" applyAlignment="1" applyBorder="1" applyFont="1">
      <alignment horizontal="center" vertical="center"/>
    </xf>
    <xf borderId="31" fillId="56" fontId="141" numFmtId="3" xfId="0" applyAlignment="1" applyBorder="1" applyFont="1" applyNumberFormat="1">
      <alignment horizontal="right" vertical="center"/>
    </xf>
    <xf borderId="31" fillId="56" fontId="17" numFmtId="3" xfId="0" applyAlignment="1" applyBorder="1" applyFont="1" applyNumberFormat="1">
      <alignment horizontal="right" vertical="center"/>
    </xf>
    <xf borderId="31" fillId="56" fontId="138" numFmtId="170" xfId="0" applyAlignment="1" applyBorder="1" applyFont="1" applyNumberFormat="1">
      <alignment horizontal="right" vertical="center"/>
    </xf>
    <xf borderId="31" fillId="56" fontId="138" numFmtId="171" xfId="0" applyAlignment="1" applyBorder="1" applyFont="1" applyNumberFormat="1">
      <alignment horizontal="right" vertical="center"/>
    </xf>
    <xf borderId="31" fillId="56" fontId="17" numFmtId="165" xfId="0" applyAlignment="1" applyBorder="1" applyFont="1" applyNumberFormat="1">
      <alignment horizontal="right" vertical="center"/>
    </xf>
    <xf borderId="31" fillId="56" fontId="17" numFmtId="10" xfId="0" applyAlignment="1" applyBorder="1" applyFont="1" applyNumberFormat="1">
      <alignment horizontal="right" vertical="center"/>
    </xf>
    <xf borderId="31" fillId="61" fontId="148" numFmtId="0" xfId="0" applyAlignment="1" applyBorder="1" applyFont="1">
      <alignment horizontal="left" vertical="center"/>
    </xf>
    <xf borderId="31" fillId="61" fontId="83" numFmtId="0" xfId="0" applyAlignment="1" applyBorder="1" applyFont="1">
      <alignment horizontal="left" vertical="center"/>
    </xf>
    <xf borderId="31" fillId="61" fontId="17" numFmtId="0" xfId="0" applyAlignment="1" applyBorder="1" applyFont="1">
      <alignment horizontal="center" vertical="center"/>
    </xf>
    <xf borderId="31" fillId="61" fontId="148" numFmtId="0" xfId="0" applyAlignment="1" applyBorder="1" applyFont="1">
      <alignment horizontal="center" vertical="center"/>
    </xf>
    <xf borderId="31" fillId="61" fontId="138" numFmtId="0" xfId="0" applyAlignment="1" applyBorder="1" applyFont="1">
      <alignment horizontal="center" vertical="center"/>
    </xf>
    <xf borderId="31" fillId="61" fontId="17" numFmtId="169" xfId="0" applyAlignment="1" applyBorder="1" applyFont="1" applyNumberFormat="1">
      <alignment horizontal="right" vertical="center"/>
    </xf>
    <xf borderId="31" fillId="61" fontId="17" numFmtId="4" xfId="0" applyAlignment="1" applyBorder="1" applyFont="1" applyNumberFormat="1">
      <alignment horizontal="right" vertical="center"/>
    </xf>
    <xf borderId="31" fillId="61" fontId="144" numFmtId="0" xfId="0" applyAlignment="1" applyBorder="1" applyFont="1">
      <alignment horizontal="center" vertical="center"/>
    </xf>
    <xf borderId="31" fillId="61" fontId="141" numFmtId="3" xfId="0" applyAlignment="1" applyBorder="1" applyFont="1" applyNumberFormat="1">
      <alignment horizontal="right" vertical="center"/>
    </xf>
    <xf borderId="31" fillId="61" fontId="17" numFmtId="3" xfId="0" applyAlignment="1" applyBorder="1" applyFont="1" applyNumberFormat="1">
      <alignment horizontal="right" vertical="center"/>
    </xf>
    <xf borderId="31" fillId="61" fontId="138" numFmtId="170" xfId="0" applyAlignment="1" applyBorder="1" applyFont="1" applyNumberFormat="1">
      <alignment horizontal="right" vertical="center"/>
    </xf>
    <xf borderId="31" fillId="61" fontId="138" numFmtId="171" xfId="0" applyAlignment="1" applyBorder="1" applyFont="1" applyNumberFormat="1">
      <alignment horizontal="right" vertical="center"/>
    </xf>
    <xf borderId="31" fillId="61" fontId="17" numFmtId="165" xfId="0" applyAlignment="1" applyBorder="1" applyFont="1" applyNumberFormat="1">
      <alignment horizontal="right" vertical="center"/>
    </xf>
    <xf borderId="31" fillId="61" fontId="17" numFmtId="10" xfId="0" applyAlignment="1" applyBorder="1" applyFont="1" applyNumberFormat="1">
      <alignment horizontal="right" vertical="center"/>
    </xf>
    <xf borderId="31" fillId="56" fontId="138" numFmtId="0" xfId="0" applyAlignment="1" applyBorder="1" applyFont="1">
      <alignment horizontal="center" vertical="center"/>
    </xf>
    <xf borderId="31" fillId="61" fontId="139" numFmtId="0" xfId="0" applyAlignment="1" applyBorder="1" applyFont="1">
      <alignment horizontal="center" vertical="center"/>
    </xf>
    <xf borderId="31" fillId="61" fontId="149" numFmtId="0" xfId="0" applyAlignment="1" applyBorder="1" applyFont="1">
      <alignment horizontal="left" vertical="center"/>
    </xf>
    <xf borderId="31" fillId="61" fontId="140" numFmtId="0" xfId="0" applyAlignment="1" applyBorder="1" applyFont="1">
      <alignment horizontal="center" vertical="center"/>
    </xf>
    <xf borderId="31" fillId="62" fontId="143" numFmtId="0" xfId="0" applyAlignment="1" applyBorder="1" applyFont="1">
      <alignment horizontal="left" vertical="center"/>
    </xf>
    <xf borderId="31" fillId="62" fontId="144" numFmtId="0" xfId="0" applyAlignment="1" applyBorder="1" applyFont="1">
      <alignment horizontal="center" vertical="center"/>
    </xf>
    <xf borderId="31" fillId="62" fontId="145" numFmtId="170" xfId="0" applyAlignment="1" applyBorder="1" applyFont="1" applyNumberFormat="1">
      <alignment horizontal="right" vertical="center"/>
    </xf>
    <xf borderId="31" fillId="62" fontId="145" numFmtId="171" xfId="0" applyAlignment="1" applyBorder="1" applyFont="1" applyNumberFormat="1">
      <alignment horizontal="right" vertical="center"/>
    </xf>
    <xf borderId="31" fillId="61" fontId="145" numFmtId="170" xfId="0" applyAlignment="1" applyBorder="1" applyFont="1" applyNumberFormat="1">
      <alignment horizontal="right" vertical="center"/>
    </xf>
    <xf borderId="31" fillId="61" fontId="145" numFmtId="171" xfId="0" applyAlignment="1" applyBorder="1" applyFont="1" applyNumberFormat="1">
      <alignment horizontal="right" vertical="center"/>
    </xf>
    <xf borderId="31" fillId="56" fontId="145" numFmtId="170" xfId="0" applyAlignment="1" applyBorder="1" applyFont="1" applyNumberFormat="1">
      <alignment horizontal="right" vertical="center"/>
    </xf>
    <xf borderId="31" fillId="56" fontId="145" numFmtId="171" xfId="0" applyAlignment="1" applyBorder="1" applyFont="1" applyNumberFormat="1">
      <alignment horizontal="right" vertical="center"/>
    </xf>
    <xf borderId="31" fillId="61" fontId="143" numFmtId="0" xfId="0" applyAlignment="1" applyBorder="1" applyFont="1">
      <alignment horizontal="center" vertical="center"/>
    </xf>
    <xf borderId="28" fillId="13" fontId="78" numFmtId="0" xfId="0" applyAlignment="1" applyBorder="1" applyFont="1">
      <alignment horizontal="left" vertical="center"/>
    </xf>
    <xf borderId="31" fillId="13" fontId="150" numFmtId="0" xfId="0" applyAlignment="1" applyBorder="1" applyFont="1">
      <alignment horizontal="center" vertical="center"/>
    </xf>
    <xf borderId="31" fillId="13" fontId="78" numFmtId="3" xfId="0" applyAlignment="1" applyBorder="1" applyFont="1" applyNumberFormat="1">
      <alignment horizontal="right" vertical="center"/>
    </xf>
    <xf borderId="31" fillId="13" fontId="78" numFmtId="170" xfId="0" applyAlignment="1" applyBorder="1" applyFont="1" applyNumberFormat="1">
      <alignment horizontal="right" vertical="center"/>
    </xf>
    <xf borderId="31" fillId="13" fontId="78" numFmtId="171" xfId="0" applyAlignment="1" applyBorder="1" applyFont="1" applyNumberFormat="1">
      <alignment horizontal="right" vertical="center"/>
    </xf>
    <xf borderId="31" fillId="13" fontId="78" numFmtId="165" xfId="0" applyAlignment="1" applyBorder="1" applyFont="1" applyNumberFormat="1">
      <alignment horizontal="right" vertical="center"/>
    </xf>
    <xf borderId="31" fillId="13" fontId="78" numFmtId="4" xfId="0" applyAlignment="1" applyBorder="1" applyFont="1" applyNumberFormat="1">
      <alignment horizontal="right" vertical="center"/>
    </xf>
    <xf borderId="28" fillId="13" fontId="74" numFmtId="0" xfId="0" applyAlignment="1" applyBorder="1" applyFont="1">
      <alignment horizontal="left" vertical="center"/>
    </xf>
    <xf borderId="31" fillId="3" fontId="78" numFmtId="0" xfId="0" applyAlignment="1" applyBorder="1" applyFont="1">
      <alignment horizontal="center" vertical="center"/>
    </xf>
    <xf borderId="28" fillId="3" fontId="78" numFmtId="0" xfId="0" applyAlignment="1" applyBorder="1" applyFont="1">
      <alignment horizontal="left" vertical="center"/>
    </xf>
    <xf borderId="31" fillId="60" fontId="17" numFmtId="1" xfId="0" applyAlignment="1" applyBorder="1" applyFont="1" applyNumberFormat="1">
      <alignment horizontal="center" vertical="center"/>
    </xf>
    <xf borderId="31" fillId="60" fontId="141" numFmtId="3" xfId="0" applyAlignment="1" applyBorder="1" applyFont="1" applyNumberFormat="1">
      <alignment horizontal="center" vertical="center"/>
    </xf>
    <xf borderId="31" fillId="60" fontId="17" numFmtId="165" xfId="0" applyAlignment="1" applyBorder="1" applyFont="1" applyNumberFormat="1">
      <alignment horizontal="center" vertical="center"/>
    </xf>
    <xf borderId="31" fillId="60" fontId="138" numFmtId="170" xfId="0" applyAlignment="1" applyBorder="1" applyFont="1" applyNumberFormat="1">
      <alignment horizontal="center" vertical="center"/>
    </xf>
    <xf borderId="31" fillId="60" fontId="138" numFmtId="171" xfId="0" applyAlignment="1" applyBorder="1" applyFont="1" applyNumberFormat="1">
      <alignment horizontal="center" vertical="center"/>
    </xf>
    <xf borderId="31" fillId="60" fontId="17" numFmtId="4" xfId="0" applyAlignment="1" applyBorder="1" applyFont="1" applyNumberFormat="1">
      <alignment horizontal="center" vertical="center"/>
    </xf>
    <xf borderId="28" fillId="60" fontId="151" numFmtId="0" xfId="0" applyAlignment="1" applyBorder="1" applyFont="1">
      <alignment horizontal="left" vertical="center"/>
    </xf>
    <xf borderId="31" fillId="61" fontId="17" numFmtId="1" xfId="0" applyAlignment="1" applyBorder="1" applyFont="1" applyNumberFormat="1">
      <alignment horizontal="center" vertical="center"/>
    </xf>
    <xf borderId="31" fillId="61" fontId="141" numFmtId="3" xfId="0" applyAlignment="1" applyBorder="1" applyFont="1" applyNumberFormat="1">
      <alignment horizontal="center" vertical="center"/>
    </xf>
    <xf borderId="31" fillId="61" fontId="17" numFmtId="165" xfId="0" applyAlignment="1" applyBorder="1" applyFont="1" applyNumberFormat="1">
      <alignment horizontal="center" vertical="center"/>
    </xf>
    <xf borderId="31" fillId="61" fontId="138" numFmtId="170" xfId="0" applyAlignment="1" applyBorder="1" applyFont="1" applyNumberFormat="1">
      <alignment horizontal="center" vertical="center"/>
    </xf>
    <xf borderId="31" fillId="61" fontId="138" numFmtId="171" xfId="0" applyAlignment="1" applyBorder="1" applyFont="1" applyNumberFormat="1">
      <alignment horizontal="center" vertical="center"/>
    </xf>
    <xf borderId="31" fillId="61" fontId="17" numFmtId="4" xfId="0" applyAlignment="1" applyBorder="1" applyFont="1" applyNumberFormat="1">
      <alignment horizontal="center" vertical="center"/>
    </xf>
    <xf borderId="28" fillId="61" fontId="152" numFmtId="0" xfId="0" applyAlignment="1" applyBorder="1" applyFont="1">
      <alignment horizontal="left" vertical="center"/>
    </xf>
    <xf borderId="31" fillId="62" fontId="17" numFmtId="1" xfId="0" applyAlignment="1" applyBorder="1" applyFont="1" applyNumberFormat="1">
      <alignment horizontal="center" vertical="center"/>
    </xf>
    <xf borderId="31" fillId="62" fontId="141" numFmtId="3" xfId="0" applyAlignment="1" applyBorder="1" applyFont="1" applyNumberFormat="1">
      <alignment horizontal="center" vertical="center"/>
    </xf>
    <xf borderId="31" fillId="62" fontId="17" numFmtId="165" xfId="0" applyAlignment="1" applyBorder="1" applyFont="1" applyNumberFormat="1">
      <alignment horizontal="center" vertical="center"/>
    </xf>
    <xf borderId="31" fillId="62" fontId="138" numFmtId="170" xfId="0" applyAlignment="1" applyBorder="1" applyFont="1" applyNumberFormat="1">
      <alignment horizontal="center" vertical="center"/>
    </xf>
    <xf borderId="31" fillId="62" fontId="138" numFmtId="171" xfId="0" applyAlignment="1" applyBorder="1" applyFont="1" applyNumberFormat="1">
      <alignment horizontal="center" vertical="center"/>
    </xf>
    <xf borderId="31" fillId="62" fontId="17" numFmtId="4" xfId="0" applyAlignment="1" applyBorder="1" applyFont="1" applyNumberFormat="1">
      <alignment horizontal="center" vertical="center"/>
    </xf>
    <xf borderId="28" fillId="62" fontId="153" numFmtId="0" xfId="0" applyAlignment="1" applyBorder="1" applyFont="1">
      <alignment horizontal="left" vertical="center"/>
    </xf>
    <xf borderId="31" fillId="56" fontId="17" numFmtId="1" xfId="0" applyAlignment="1" applyBorder="1" applyFont="1" applyNumberFormat="1">
      <alignment horizontal="center" vertical="center"/>
    </xf>
    <xf borderId="31" fillId="56" fontId="141" numFmtId="3" xfId="0" applyAlignment="1" applyBorder="1" applyFont="1" applyNumberFormat="1">
      <alignment horizontal="center" vertical="center"/>
    </xf>
    <xf borderId="31" fillId="56" fontId="17" numFmtId="165" xfId="0" applyAlignment="1" applyBorder="1" applyFont="1" applyNumberFormat="1">
      <alignment horizontal="center" vertical="center"/>
    </xf>
    <xf borderId="31" fillId="56" fontId="138" numFmtId="170" xfId="0" applyAlignment="1" applyBorder="1" applyFont="1" applyNumberFormat="1">
      <alignment horizontal="center" vertical="center"/>
    </xf>
    <xf borderId="31" fillId="56" fontId="138" numFmtId="171" xfId="0" applyAlignment="1" applyBorder="1" applyFont="1" applyNumberFormat="1">
      <alignment horizontal="center" vertical="center"/>
    </xf>
    <xf borderId="31" fillId="56" fontId="17" numFmtId="4" xfId="0" applyAlignment="1" applyBorder="1" applyFont="1" applyNumberFormat="1">
      <alignment horizontal="center" vertical="center"/>
    </xf>
    <xf borderId="28" fillId="56" fontId="81" numFmtId="0" xfId="0" applyAlignment="1" applyBorder="1" applyFont="1">
      <alignment horizontal="left" vertical="center"/>
    </xf>
    <xf borderId="1" fillId="34" fontId="58" numFmtId="0" xfId="0" applyAlignment="1" applyBorder="1" applyFont="1">
      <alignment horizontal="left" vertical="center"/>
    </xf>
    <xf borderId="1" fillId="13" fontId="154" numFmtId="0" xfId="0" applyAlignment="1" applyBorder="1" applyFont="1">
      <alignment horizontal="left" vertical="center"/>
    </xf>
    <xf borderId="1" fillId="34" fontId="89" numFmtId="0" xfId="0" applyAlignment="1" applyBorder="1" applyFont="1">
      <alignment horizontal="left" vertical="center"/>
    </xf>
    <xf borderId="32" fillId="13" fontId="155" numFmtId="0" xfId="0" applyAlignment="1" applyBorder="1" applyFont="1">
      <alignment horizontal="center" vertical="center"/>
    </xf>
    <xf borderId="32" fillId="27" fontId="156" numFmtId="0" xfId="0" applyAlignment="1" applyBorder="1" applyFont="1">
      <alignment horizontal="left" vertical="center"/>
    </xf>
    <xf borderId="32" fillId="27" fontId="157" numFmtId="0" xfId="0" applyAlignment="1" applyBorder="1" applyFont="1">
      <alignment horizontal="left" vertical="center"/>
    </xf>
    <xf borderId="32" fillId="4" fontId="156" numFmtId="0" xfId="0" applyAlignment="1" applyBorder="1" applyFont="1">
      <alignment horizontal="left" vertical="center"/>
    </xf>
    <xf borderId="32" fillId="4" fontId="157" numFmtId="0" xfId="0" applyAlignment="1" applyBorder="1" applyFont="1">
      <alignment horizontal="left" vertical="center"/>
    </xf>
    <xf borderId="32" fillId="27" fontId="157" numFmtId="169" xfId="0" applyAlignment="1" applyBorder="1" applyFont="1" applyNumberFormat="1">
      <alignment horizontal="left" vertical="center"/>
    </xf>
    <xf borderId="32" fillId="27" fontId="158" numFmtId="0" xfId="0" applyAlignment="1" applyBorder="1" applyFont="1">
      <alignment horizontal="left" vertical="center"/>
    </xf>
    <xf borderId="32" fillId="27" fontId="158" numFmtId="172" xfId="0" applyAlignment="1" applyBorder="1" applyFont="1" applyNumberFormat="1">
      <alignment horizontal="right" vertical="center"/>
    </xf>
    <xf borderId="32" fillId="27" fontId="157" numFmtId="172" xfId="0" applyAlignment="1" applyBorder="1" applyFont="1" applyNumberFormat="1">
      <alignment horizontal="right" vertical="center"/>
    </xf>
    <xf borderId="32" fillId="27" fontId="157" numFmtId="173" xfId="0" applyAlignment="1" applyBorder="1" applyFont="1" applyNumberFormat="1">
      <alignment horizontal="right" vertical="center"/>
    </xf>
    <xf borderId="32" fillId="4" fontId="158" numFmtId="0" xfId="0" applyAlignment="1" applyBorder="1" applyFont="1">
      <alignment horizontal="left" vertical="center"/>
    </xf>
    <xf borderId="32" fillId="4" fontId="158" numFmtId="172" xfId="0" applyAlignment="1" applyBorder="1" applyFont="1" applyNumberFormat="1">
      <alignment horizontal="right" vertical="center"/>
    </xf>
    <xf borderId="32" fillId="4" fontId="157" numFmtId="172" xfId="0" applyAlignment="1" applyBorder="1" applyFont="1" applyNumberFormat="1">
      <alignment horizontal="right" vertical="center"/>
    </xf>
    <xf borderId="32" fillId="4" fontId="157" numFmtId="173" xfId="0" applyAlignment="1" applyBorder="1" applyFont="1" applyNumberFormat="1">
      <alignment horizontal="right" vertical="center"/>
    </xf>
    <xf borderId="32" fillId="34" fontId="89" numFmtId="0" xfId="0" applyAlignment="1" applyBorder="1" applyFont="1">
      <alignment horizontal="left" vertical="center"/>
    </xf>
    <xf borderId="32" fillId="34" fontId="89" numFmtId="172" xfId="0" applyAlignment="1" applyBorder="1" applyFont="1" applyNumberFormat="1">
      <alignment horizontal="right" vertical="center"/>
    </xf>
    <xf borderId="32" fillId="34" fontId="89" numFmtId="173" xfId="0" applyAlignment="1" applyBorder="1" applyFont="1" applyNumberFormat="1">
      <alignment horizontal="right" vertical="center"/>
    </xf>
    <xf borderId="32" fillId="6" fontId="156" numFmtId="0" xfId="0" applyAlignment="1" applyBorder="1" applyFont="1">
      <alignment horizontal="left" vertical="center"/>
    </xf>
    <xf borderId="33" fillId="6" fontId="159" numFmtId="0" xfId="0" applyAlignment="1" applyBorder="1" applyFont="1">
      <alignment horizontal="left" vertical="center"/>
    </xf>
    <xf borderId="34" fillId="0" fontId="2" numFmtId="0" xfId="0" applyBorder="1" applyFont="1"/>
    <xf borderId="35" fillId="0" fontId="2" numFmtId="0" xfId="0" applyBorder="1" applyFont="1"/>
    <xf borderId="32" fillId="6" fontId="160" numFmtId="0" xfId="0" applyAlignment="1" applyBorder="1" applyFont="1">
      <alignment horizontal="left" vertical="center"/>
    </xf>
    <xf borderId="32" fillId="6" fontId="161" numFmtId="0" xfId="0" applyAlignment="1" applyBorder="1" applyFont="1">
      <alignment horizontal="left" vertical="center"/>
    </xf>
    <xf borderId="33" fillId="6" fontId="161" numFmtId="0" xfId="0" applyAlignment="1" applyBorder="1" applyFont="1">
      <alignment horizontal="left" vertical="center"/>
    </xf>
    <xf borderId="32" fillId="7" fontId="156" numFmtId="0" xfId="0" applyAlignment="1" applyBorder="1" applyFont="1">
      <alignment horizontal="left" vertical="center"/>
    </xf>
    <xf borderId="33" fillId="7" fontId="159" numFmtId="0" xfId="0" applyAlignment="1" applyBorder="1" applyFont="1">
      <alignment horizontal="left" vertical="center"/>
    </xf>
    <xf borderId="32" fillId="7" fontId="162" numFmtId="0" xfId="0" applyAlignment="1" applyBorder="1" applyFont="1">
      <alignment horizontal="left" vertical="center"/>
    </xf>
    <xf borderId="32" fillId="7" fontId="161" numFmtId="0" xfId="0" applyAlignment="1" applyBorder="1" applyFont="1">
      <alignment horizontal="left" vertical="center"/>
    </xf>
    <xf borderId="33" fillId="7" fontId="161" numFmtId="0" xfId="0" applyAlignment="1" applyBorder="1" applyFont="1">
      <alignment horizontal="left" vertical="center"/>
    </xf>
    <xf borderId="32" fillId="29" fontId="156" numFmtId="0" xfId="0" applyAlignment="1" applyBorder="1" applyFont="1">
      <alignment horizontal="left" vertical="center"/>
    </xf>
    <xf borderId="33" fillId="29" fontId="159" numFmtId="0" xfId="0" applyAlignment="1" applyBorder="1" applyFont="1">
      <alignment horizontal="left" vertical="center"/>
    </xf>
    <xf borderId="32" fillId="29" fontId="160" numFmtId="0" xfId="0" applyAlignment="1" applyBorder="1" applyFont="1">
      <alignment horizontal="left" vertical="center"/>
    </xf>
    <xf borderId="32" fillId="29" fontId="161" numFmtId="0" xfId="0" applyAlignment="1" applyBorder="1" applyFont="1">
      <alignment horizontal="left" vertical="center"/>
    </xf>
    <xf borderId="33" fillId="29" fontId="161" numFmtId="0" xfId="0" applyAlignment="1" applyBorder="1" applyFont="1">
      <alignment horizontal="left" vertical="center"/>
    </xf>
    <xf borderId="33" fillId="27" fontId="157" numFmtId="0" xfId="0" applyAlignment="1" applyBorder="1" applyFont="1">
      <alignment horizontal="left" vertical="center"/>
    </xf>
    <xf borderId="32" fillId="27" fontId="160" numFmtId="0" xfId="0" applyAlignment="1" applyBorder="1" applyFont="1">
      <alignment horizontal="left" vertical="center"/>
    </xf>
    <xf borderId="33" fillId="27" fontId="161" numFmtId="0" xfId="0" applyAlignment="1" applyBorder="1" applyFont="1">
      <alignment horizontal="left" vertical="center"/>
    </xf>
    <xf borderId="33" fillId="4" fontId="157" numFmtId="0" xfId="0" applyAlignment="1" applyBorder="1" applyFont="1">
      <alignment horizontal="left" vertical="center"/>
    </xf>
    <xf borderId="33" fillId="4" fontId="161" numFmtId="0" xfId="0" applyAlignment="1" applyBorder="1" applyFont="1">
      <alignment horizontal="left" vertical="center"/>
    </xf>
    <xf borderId="32" fillId="27" fontId="157" numFmtId="165" xfId="0" applyAlignment="1" applyBorder="1" applyFont="1" applyNumberFormat="1">
      <alignment horizontal="right" vertical="center"/>
    </xf>
    <xf borderId="32" fillId="4" fontId="157" numFmtId="165" xfId="0" applyAlignment="1" applyBorder="1" applyFont="1" applyNumberFormat="1">
      <alignment horizontal="right" vertical="center"/>
    </xf>
    <xf borderId="32" fillId="34" fontId="89" numFmtId="165" xfId="0" applyAlignment="1" applyBorder="1" applyFont="1" applyNumberFormat="1">
      <alignment horizontal="right" vertical="center"/>
    </xf>
    <xf borderId="32" fillId="27" fontId="157" numFmtId="0" xfId="0" applyAlignment="1" applyBorder="1" applyFont="1">
      <alignment horizontal="right" vertical="center"/>
    </xf>
    <xf borderId="32" fillId="29" fontId="158" numFmtId="172" xfId="0" applyAlignment="1" applyBorder="1" applyFont="1" applyNumberFormat="1">
      <alignment horizontal="right" vertical="center"/>
    </xf>
    <xf borderId="32" fillId="4" fontId="157" numFmtId="0" xfId="0" applyAlignment="1" applyBorder="1" applyFont="1">
      <alignment horizontal="right" vertical="center"/>
    </xf>
    <xf borderId="32" fillId="4" fontId="163" numFmtId="0" xfId="0" applyAlignment="1" applyBorder="1" applyFont="1">
      <alignment horizontal="left" vertical="center"/>
    </xf>
    <xf borderId="32" fillId="27" fontId="163" numFmtId="0" xfId="0" applyAlignment="1" applyBorder="1" applyFont="1">
      <alignment horizontal="left" vertical="center"/>
    </xf>
    <xf borderId="32" fillId="27" fontId="158" numFmtId="174" xfId="0" applyAlignment="1" applyBorder="1" applyFont="1" applyNumberFormat="1">
      <alignment horizontal="right" vertical="center"/>
    </xf>
    <xf borderId="32" fillId="4" fontId="158" numFmtId="174" xfId="0" applyAlignment="1" applyBorder="1" applyFont="1" applyNumberFormat="1">
      <alignment horizontal="right" vertical="center"/>
    </xf>
    <xf borderId="32" fillId="7" fontId="164" numFmtId="0" xfId="0" applyAlignment="1" applyBorder="1" applyFont="1">
      <alignment horizontal="left" vertical="center"/>
    </xf>
    <xf borderId="32" fillId="7" fontId="157" numFmtId="172" xfId="0" applyAlignment="1" applyBorder="1" applyFont="1" applyNumberFormat="1">
      <alignment horizontal="right" vertical="center"/>
    </xf>
    <xf borderId="32" fillId="7" fontId="158" numFmtId="174" xfId="0" applyAlignment="1" applyBorder="1" applyFont="1" applyNumberFormat="1">
      <alignment horizontal="right" vertical="center"/>
    </xf>
    <xf borderId="32" fillId="7" fontId="165" numFmtId="0" xfId="0" applyAlignment="1" applyBorder="1" applyFont="1">
      <alignment horizontal="left" vertical="center"/>
    </xf>
    <xf borderId="32" fillId="27" fontId="161" numFmtId="165" xfId="0" applyAlignment="1" applyBorder="1" applyFont="1" applyNumberFormat="1">
      <alignment horizontal="right" vertical="center"/>
    </xf>
    <xf borderId="32" fillId="27" fontId="161" numFmtId="0" xfId="0" applyAlignment="1" applyBorder="1" applyFont="1">
      <alignment horizontal="right" vertical="center"/>
    </xf>
    <xf borderId="32" fillId="4" fontId="161" numFmtId="172" xfId="0" applyAlignment="1" applyBorder="1" applyFont="1" applyNumberFormat="1">
      <alignment horizontal="right" vertical="center"/>
    </xf>
    <xf borderId="32" fillId="4" fontId="161" numFmtId="0" xfId="0" applyAlignment="1" applyBorder="1" applyFont="1">
      <alignment horizontal="right" vertical="center"/>
    </xf>
    <xf borderId="32" fillId="27" fontId="161" numFmtId="172" xfId="0" applyAlignment="1" applyBorder="1" applyFont="1" applyNumberFormat="1">
      <alignment horizontal="right" vertical="center"/>
    </xf>
    <xf borderId="32" fillId="4" fontId="161" numFmtId="165" xfId="0" applyAlignment="1" applyBorder="1" applyFont="1" applyNumberFormat="1">
      <alignment horizontal="right" vertical="center"/>
    </xf>
    <xf borderId="32" fillId="4" fontId="160" numFmtId="0" xfId="0" applyAlignment="1" applyBorder="1" applyFont="1">
      <alignment horizontal="left" vertical="center"/>
    </xf>
    <xf borderId="32" fillId="4" fontId="158" numFmtId="165" xfId="0" applyAlignment="1" applyBorder="1" applyFont="1" applyNumberFormat="1">
      <alignment horizontal="right" vertical="center"/>
    </xf>
    <xf borderId="33" fillId="4" fontId="166" numFmtId="0" xfId="0" applyAlignment="1" applyBorder="1" applyFont="1">
      <alignment horizontal="left" shrinkToFit="0" vertical="center" wrapText="1"/>
    </xf>
    <xf borderId="1" fillId="34" fontId="167" numFmtId="0" xfId="0" applyAlignment="1" applyBorder="1" applyFont="1">
      <alignment horizontal="center" vertical="center"/>
    </xf>
    <xf borderId="0" fillId="0" fontId="168" numFmtId="0" xfId="0" applyAlignment="1" applyFont="1">
      <alignment horizontal="center"/>
    </xf>
    <xf borderId="1" fillId="3" fontId="74" numFmtId="0" xfId="0" applyAlignment="1" applyBorder="1" applyFont="1">
      <alignment horizontal="center" vertical="center"/>
    </xf>
    <xf borderId="3" fillId="63" fontId="82" numFmtId="0" xfId="0" applyAlignment="1" applyBorder="1" applyFill="1" applyFont="1">
      <alignment horizontal="center" vertical="center"/>
    </xf>
    <xf borderId="0" fillId="0" fontId="169" numFmtId="0" xfId="0" applyAlignment="1" applyFont="1">
      <alignment horizontal="left" shrinkToFit="0" vertical="center" wrapText="1"/>
    </xf>
    <xf borderId="3" fillId="64" fontId="169" numFmtId="164" xfId="0" applyAlignment="1" applyBorder="1" applyFill="1" applyFont="1" applyNumberFormat="1">
      <alignment horizontal="center" shrinkToFit="0" vertical="center" wrapText="1"/>
    </xf>
    <xf borderId="0" fillId="0" fontId="169" numFmtId="0" xfId="0" applyAlignment="1" applyFont="1">
      <alignment horizontal="center" shrinkToFit="0" vertical="center" wrapText="1"/>
    </xf>
    <xf borderId="3" fillId="60" fontId="170" numFmtId="0" xfId="0" applyAlignment="1" applyBorder="1" applyFont="1">
      <alignment horizontal="left" shrinkToFit="0" vertical="center" wrapText="1"/>
    </xf>
    <xf borderId="3" fillId="60" fontId="170" numFmtId="164" xfId="0" applyAlignment="1" applyBorder="1" applyFont="1" applyNumberFormat="1">
      <alignment horizontal="center" shrinkToFit="0" vertical="center" wrapText="1"/>
    </xf>
    <xf borderId="3" fillId="60" fontId="170" numFmtId="0" xfId="0" applyAlignment="1" applyBorder="1" applyFont="1">
      <alignment horizontal="center" shrinkToFit="0" vertical="center" wrapText="1"/>
    </xf>
    <xf borderId="3" fillId="60" fontId="169" numFmtId="0" xfId="0" applyAlignment="1" applyBorder="1" applyFont="1">
      <alignment horizontal="left" shrinkToFit="0" vertical="center" wrapText="1"/>
    </xf>
    <xf borderId="3" fillId="60" fontId="171" numFmtId="164" xfId="0" applyAlignment="1" applyBorder="1" applyFont="1" applyNumberFormat="1">
      <alignment horizontal="center" shrinkToFit="0" vertical="center" wrapText="1"/>
    </xf>
    <xf borderId="3" fillId="60" fontId="169" numFmtId="0" xfId="0" applyAlignment="1" applyBorder="1" applyFont="1">
      <alignment horizontal="center" shrinkToFit="0" vertical="center" wrapText="1"/>
    </xf>
    <xf borderId="0" fillId="0" fontId="169" numFmtId="164" xfId="0" applyAlignment="1" applyFont="1" applyNumberFormat="1">
      <alignment horizontal="center" shrinkToFit="0" vertical="center" wrapText="1"/>
    </xf>
    <xf borderId="3" fillId="62" fontId="170" numFmtId="0" xfId="0" applyAlignment="1" applyBorder="1" applyFont="1">
      <alignment horizontal="left" shrinkToFit="0" vertical="center" wrapText="1"/>
    </xf>
    <xf borderId="3" fillId="62" fontId="170" numFmtId="164" xfId="0" applyAlignment="1" applyBorder="1" applyFont="1" applyNumberFormat="1">
      <alignment horizontal="center" shrinkToFit="0" vertical="center" wrapText="1"/>
    </xf>
    <xf borderId="3" fillId="62" fontId="170" numFmtId="0" xfId="0" applyAlignment="1" applyBorder="1" applyFont="1">
      <alignment horizontal="center" shrinkToFit="0" vertical="center" wrapText="1"/>
    </xf>
    <xf borderId="3" fillId="35" fontId="170" numFmtId="0" xfId="0" applyAlignment="1" applyBorder="1" applyFont="1">
      <alignment horizontal="left" shrinkToFit="0" vertical="center" wrapText="1"/>
    </xf>
    <xf borderId="3" fillId="35" fontId="170" numFmtId="0" xfId="0" applyAlignment="1" applyBorder="1" applyFont="1">
      <alignment horizontal="center" shrinkToFit="0" vertical="center" wrapText="1"/>
    </xf>
    <xf borderId="3" fillId="60" fontId="169" numFmtId="164" xfId="0" applyAlignment="1" applyBorder="1" applyFont="1" applyNumberFormat="1">
      <alignment horizontal="center" shrinkToFit="0" vertical="center" wrapText="1"/>
    </xf>
    <xf borderId="0" fillId="0" fontId="169" numFmtId="165" xfId="0" applyAlignment="1" applyFont="1" applyNumberFormat="1">
      <alignment horizontal="center" shrinkToFit="0" vertical="center" wrapText="1"/>
    </xf>
    <xf borderId="3" fillId="64" fontId="169" numFmtId="0" xfId="0" applyAlignment="1" applyBorder="1" applyFont="1">
      <alignment horizontal="left" shrinkToFit="0" vertical="center" wrapText="1"/>
    </xf>
    <xf borderId="3" fillId="64" fontId="169" numFmtId="0" xfId="0" applyAlignment="1" applyBorder="1" applyFont="1">
      <alignment horizontal="center" shrinkToFit="0" vertical="center" wrapText="1"/>
    </xf>
    <xf borderId="0" fillId="0" fontId="169" numFmtId="175" xfId="0" applyAlignment="1" applyFont="1" applyNumberFormat="1">
      <alignment horizontal="center" shrinkToFit="0" vertical="center" wrapText="1"/>
    </xf>
    <xf borderId="0" fillId="0" fontId="172" numFmtId="0" xfId="0" applyAlignment="1" applyFont="1">
      <alignment horizontal="center" shrinkToFit="0" vertical="center" wrapText="1"/>
    </xf>
    <xf borderId="0" fillId="0" fontId="173" numFmtId="0" xfId="0" applyAlignment="1" applyFont="1">
      <alignment horizontal="center" shrinkToFit="0" vertical="center" wrapText="1"/>
    </xf>
    <xf borderId="0" fillId="0" fontId="174" numFmtId="0" xfId="0" applyAlignment="1" applyFont="1">
      <alignment horizontal="center" shrinkToFit="0" vertical="center" wrapText="1"/>
    </xf>
    <xf borderId="0" fillId="0" fontId="82" numFmtId="0" xfId="0" applyAlignment="1" applyFont="1">
      <alignment horizontal="center"/>
    </xf>
    <xf borderId="1" fillId="60" fontId="138" numFmtId="0" xfId="0" applyAlignment="1" applyBorder="1" applyFont="1">
      <alignment horizontal="center" vertical="center"/>
    </xf>
    <xf borderId="1" fillId="62" fontId="145" numFmtId="0" xfId="0" applyAlignment="1" applyBorder="1" applyFont="1">
      <alignment horizontal="center" vertical="center"/>
    </xf>
    <xf borderId="1" fillId="53" fontId="175" numFmtId="0" xfId="0" applyAlignment="1" applyBorder="1" applyFont="1">
      <alignment horizontal="center" vertical="center"/>
    </xf>
    <xf borderId="1" fillId="13" fontId="167" numFmtId="0" xfId="0" applyAlignment="1" applyBorder="1" applyFont="1">
      <alignment horizontal="left" shrinkToFit="0" vertical="center" wrapText="1"/>
    </xf>
    <xf borderId="1" fillId="3" fontId="78" numFmtId="0" xfId="0" applyAlignment="1" applyBorder="1" applyFont="1">
      <alignment horizontal="left" shrinkToFit="0" vertical="center" wrapText="1"/>
    </xf>
    <xf borderId="1" fillId="13" fontId="74" numFmtId="0" xfId="0" applyAlignment="1" applyBorder="1" applyFont="1">
      <alignment horizontal="left" shrinkToFit="0" vertical="center" wrapText="1"/>
    </xf>
    <xf borderId="3" fillId="3" fontId="78" numFmtId="0" xfId="0" applyAlignment="1" applyBorder="1" applyFont="1">
      <alignment horizontal="center" shrinkToFit="0" vertical="center" wrapText="1"/>
    </xf>
    <xf borderId="3" fillId="61" fontId="79" numFmtId="0" xfId="0" applyAlignment="1" applyBorder="1" applyFont="1">
      <alignment horizontal="left" shrinkToFit="0" vertical="center" wrapText="1"/>
    </xf>
    <xf borderId="3" fillId="61" fontId="83" numFmtId="0" xfId="0" applyAlignment="1" applyBorder="1" applyFont="1">
      <alignment horizontal="center" shrinkToFit="0" vertical="center" wrapText="1"/>
    </xf>
    <xf borderId="3" fillId="60" fontId="79" numFmtId="0" xfId="0" applyAlignment="1" applyBorder="1" applyFont="1">
      <alignment horizontal="left" shrinkToFit="0" vertical="center" wrapText="1"/>
    </xf>
    <xf borderId="3" fillId="60" fontId="83" numFmtId="0" xfId="0" applyAlignment="1" applyBorder="1" applyFont="1">
      <alignment horizontal="center" shrinkToFit="0" vertical="center" wrapText="1"/>
    </xf>
    <xf borderId="3" fillId="62" fontId="79" numFmtId="0" xfId="0" applyAlignment="1" applyBorder="1" applyFont="1">
      <alignment horizontal="left" shrinkToFit="0" vertical="center" wrapText="1"/>
    </xf>
    <xf borderId="3" fillId="62" fontId="83" numFmtId="0" xfId="0" applyAlignment="1" applyBorder="1" applyFont="1">
      <alignment horizontal="center" shrinkToFit="0" vertical="center" wrapText="1"/>
    </xf>
    <xf borderId="1" fillId="5" fontId="74" numFmtId="0" xfId="0" applyAlignment="1" applyBorder="1" applyFont="1">
      <alignment horizontal="left" shrinkToFit="0" vertical="center" wrapText="1"/>
    </xf>
    <xf borderId="3" fillId="56" fontId="83" numFmtId="0" xfId="0" applyAlignment="1" applyBorder="1" applyFont="1">
      <alignment horizontal="left" shrinkToFit="0" vertical="center" wrapText="1"/>
    </xf>
    <xf borderId="3" fillId="56" fontId="83" numFmtId="0" xfId="0" applyAlignment="1" applyBorder="1" applyFont="1">
      <alignment horizontal="center" shrinkToFit="0" vertical="center" wrapText="1"/>
    </xf>
    <xf borderId="3" fillId="62" fontId="83" numFmtId="0" xfId="0" applyAlignment="1" applyBorder="1" applyFont="1">
      <alignment horizontal="left" shrinkToFit="0" vertical="center" wrapText="1"/>
    </xf>
    <xf borderId="3" fillId="27" fontId="83" numFmtId="0" xfId="0" applyAlignment="1" applyBorder="1" applyFont="1">
      <alignment horizontal="left" shrinkToFit="0" vertical="center" wrapText="1"/>
    </xf>
    <xf borderId="3" fillId="27" fontId="83" numFmtId="0" xfId="0" applyAlignment="1" applyBorder="1" applyFont="1">
      <alignment horizontal="center" shrinkToFit="0" vertical="center" wrapText="1"/>
    </xf>
    <xf borderId="1" fillId="33" fontId="74" numFmtId="0" xfId="0" applyAlignment="1" applyBorder="1" applyFont="1">
      <alignment horizontal="left" shrinkToFit="0" vertical="center" wrapText="1"/>
    </xf>
    <xf borderId="3" fillId="56" fontId="176" numFmtId="0" xfId="0" applyAlignment="1" applyBorder="1" applyFont="1">
      <alignment horizontal="left" shrinkToFit="0" vertical="center" wrapText="1"/>
    </xf>
    <xf borderId="3" fillId="56" fontId="176" numFmtId="0" xfId="0" applyAlignment="1" applyBorder="1" applyFont="1">
      <alignment horizontal="center" shrinkToFit="0" vertical="center" wrapText="1"/>
    </xf>
    <xf borderId="3" fillId="60" fontId="83" numFmtId="0" xfId="0" applyAlignment="1" applyBorder="1" applyFont="1">
      <alignment horizontal="left" shrinkToFit="0" vertical="center" wrapText="1"/>
    </xf>
    <xf borderId="0" fillId="0" fontId="83" numFmtId="0" xfId="0" applyAlignment="1" applyFont="1">
      <alignment horizontal="center" shrinkToFit="0" vertical="center" wrapText="1"/>
    </xf>
    <xf borderId="1" fillId="12" fontId="74" numFmtId="0" xfId="0" applyAlignment="1" applyBorder="1" applyFont="1">
      <alignment horizontal="left" shrinkToFit="0" vertical="center" wrapText="1"/>
    </xf>
    <xf borderId="3" fillId="13" fontId="132" numFmtId="0" xfId="0" applyAlignment="1" applyBorder="1" applyFont="1">
      <alignment horizontal="center" shrinkToFit="0" vertical="center" wrapText="1"/>
    </xf>
    <xf borderId="3" fillId="62" fontId="94" numFmtId="0" xfId="0" applyAlignment="1" applyBorder="1" applyFont="1">
      <alignment horizontal="center" shrinkToFit="0" vertical="center" wrapText="1"/>
    </xf>
    <xf borderId="3" fillId="62" fontId="176" numFmtId="0" xfId="0" applyAlignment="1" applyBorder="1" applyFont="1">
      <alignment horizontal="center" shrinkToFit="0" vertical="center" wrapText="1"/>
    </xf>
    <xf borderId="3" fillId="62" fontId="176" numFmtId="0" xfId="0" applyAlignment="1" applyBorder="1" applyFont="1">
      <alignment horizontal="left" shrinkToFit="0" vertical="center" wrapText="1"/>
    </xf>
    <xf borderId="3" fillId="61" fontId="94" numFmtId="0" xfId="0" applyAlignment="1" applyBorder="1" applyFont="1">
      <alignment horizontal="center" shrinkToFit="0" vertical="center" wrapText="1"/>
    </xf>
    <xf borderId="3" fillId="61" fontId="176" numFmtId="0" xfId="0" applyAlignment="1" applyBorder="1" applyFont="1">
      <alignment horizontal="center" shrinkToFit="0" vertical="center" wrapText="1"/>
    </xf>
    <xf borderId="3" fillId="61" fontId="176" numFmtId="0" xfId="0" applyAlignment="1" applyBorder="1" applyFont="1">
      <alignment horizontal="left" shrinkToFit="0" vertical="center" wrapText="1"/>
    </xf>
    <xf borderId="3" fillId="60" fontId="94" numFmtId="0" xfId="0" applyAlignment="1" applyBorder="1" applyFont="1">
      <alignment horizontal="center" shrinkToFit="0" vertical="center" wrapText="1"/>
    </xf>
    <xf borderId="3" fillId="60" fontId="176" numFmtId="0" xfId="0" applyAlignment="1" applyBorder="1" applyFont="1">
      <alignment horizontal="center" shrinkToFit="0" vertical="center" wrapText="1"/>
    </xf>
    <xf borderId="3" fillId="60" fontId="176" numFmtId="0" xfId="0" applyAlignment="1" applyBorder="1" applyFont="1">
      <alignment horizontal="left" shrinkToFit="0" vertical="center" wrapText="1"/>
    </xf>
    <xf borderId="3" fillId="3" fontId="132" numFmtId="0" xfId="0" applyAlignment="1" applyBorder="1" applyFont="1">
      <alignment horizontal="center" shrinkToFit="0" vertical="center" wrapText="1"/>
    </xf>
    <xf borderId="3" fillId="61" fontId="83" numFmtId="0" xfId="0" applyAlignment="1" applyBorder="1" applyFont="1">
      <alignment horizontal="left" shrinkToFit="0" vertical="center" wrapText="1"/>
    </xf>
    <xf borderId="0" fillId="0" fontId="176" numFmtId="0" xfId="0" applyAlignment="1" applyFont="1">
      <alignment horizontal="left" shrinkToFit="0" vertical="center" wrapText="1"/>
    </xf>
    <xf borderId="3" fillId="56" fontId="141" numFmtId="0" xfId="0" applyAlignment="1" applyBorder="1" applyFont="1">
      <alignment horizontal="left" shrinkToFit="0" vertical="center" wrapText="1"/>
    </xf>
    <xf borderId="3" fillId="60" fontId="141" numFmtId="0" xfId="0" applyAlignment="1" applyBorder="1" applyFont="1">
      <alignment horizontal="center" shrinkToFit="0" vertical="center" wrapText="1"/>
    </xf>
    <xf borderId="3" fillId="34" fontId="177" numFmtId="0" xfId="0" applyBorder="1" applyFont="1"/>
    <xf borderId="1" fillId="34" fontId="109" numFmtId="0" xfId="0" applyAlignment="1" applyBorder="1" applyFont="1">
      <alignment horizontal="left" vertical="center"/>
    </xf>
    <xf borderId="3" fillId="27" fontId="177" numFmtId="0" xfId="0" applyBorder="1" applyFont="1"/>
    <xf borderId="1" fillId="13" fontId="167" numFmtId="0" xfId="0" applyAlignment="1" applyBorder="1" applyFont="1">
      <alignment horizontal="left" vertical="center"/>
    </xf>
    <xf borderId="0" fillId="0" fontId="177" numFmtId="0" xfId="0" applyFont="1"/>
    <xf borderId="3" fillId="8" fontId="177" numFmtId="0" xfId="0" applyBorder="1" applyFont="1"/>
    <xf borderId="1" fillId="8" fontId="178" numFmtId="0" xfId="0" applyAlignment="1" applyBorder="1" applyFont="1">
      <alignment horizontal="left" vertical="center"/>
    </xf>
    <xf borderId="3" fillId="20" fontId="177" numFmtId="0" xfId="0" applyBorder="1" applyFont="1"/>
    <xf borderId="3" fillId="20" fontId="33" numFmtId="0" xfId="0" applyAlignment="1" applyBorder="1" applyFont="1">
      <alignment horizontal="left" vertical="center"/>
    </xf>
    <xf borderId="3" fillId="20" fontId="179" numFmtId="176" xfId="0" applyAlignment="1" applyBorder="1" applyFont="1" applyNumberFormat="1">
      <alignment horizontal="center" vertical="center"/>
    </xf>
    <xf borderId="1" fillId="20" fontId="114" numFmtId="0" xfId="0" applyAlignment="1" applyBorder="1" applyFont="1">
      <alignment horizontal="left" vertical="center"/>
    </xf>
    <xf borderId="3" fillId="3" fontId="177" numFmtId="0" xfId="0" applyBorder="1" applyFont="1"/>
    <xf borderId="3" fillId="3" fontId="132" numFmtId="0" xfId="0" applyAlignment="1" applyBorder="1" applyFont="1">
      <alignment horizontal="center" vertical="center"/>
    </xf>
    <xf borderId="3" fillId="34" fontId="21" numFmtId="0" xfId="0" applyAlignment="1" applyBorder="1" applyFont="1">
      <alignment horizontal="center" shrinkToFit="0" vertical="center" wrapText="1"/>
    </xf>
    <xf borderId="3" fillId="35" fontId="141" numFmtId="0" xfId="0" applyAlignment="1" applyBorder="1" applyFont="1">
      <alignment horizontal="right" vertical="center"/>
    </xf>
    <xf borderId="3" fillId="35" fontId="141" numFmtId="164" xfId="0" applyAlignment="1" applyBorder="1" applyFont="1" applyNumberFormat="1">
      <alignment horizontal="right" vertical="center"/>
    </xf>
    <xf borderId="3" fillId="35" fontId="141" numFmtId="165" xfId="0" applyAlignment="1" applyBorder="1" applyFont="1" applyNumberFormat="1">
      <alignment horizontal="right" vertical="center"/>
    </xf>
    <xf borderId="3" fillId="35" fontId="141" numFmtId="3" xfId="0" applyAlignment="1" applyBorder="1" applyFont="1" applyNumberFormat="1">
      <alignment horizontal="right" vertical="center"/>
    </xf>
    <xf borderId="3" fillId="60" fontId="141" numFmtId="0" xfId="0" applyAlignment="1" applyBorder="1" applyFont="1">
      <alignment horizontal="right" vertical="center"/>
    </xf>
    <xf borderId="3" fillId="60" fontId="141" numFmtId="164" xfId="0" applyAlignment="1" applyBorder="1" applyFont="1" applyNumberFormat="1">
      <alignment horizontal="right" vertical="center"/>
    </xf>
    <xf borderId="3" fillId="60" fontId="141" numFmtId="165" xfId="0" applyAlignment="1" applyBorder="1" applyFont="1" applyNumberFormat="1">
      <alignment horizontal="right" vertical="center"/>
    </xf>
    <xf borderId="3" fillId="60" fontId="141" numFmtId="3" xfId="0" applyAlignment="1" applyBorder="1" applyFont="1" applyNumberFormat="1">
      <alignment horizontal="right" vertical="center"/>
    </xf>
    <xf borderId="3" fillId="62" fontId="141" numFmtId="0" xfId="0" applyAlignment="1" applyBorder="1" applyFont="1">
      <alignment horizontal="right" vertical="center"/>
    </xf>
    <xf borderId="3" fillId="62" fontId="141" numFmtId="164" xfId="0" applyAlignment="1" applyBorder="1" applyFont="1" applyNumberFormat="1">
      <alignment horizontal="right" vertical="center"/>
    </xf>
    <xf borderId="3" fillId="62" fontId="141" numFmtId="165" xfId="0" applyAlignment="1" applyBorder="1" applyFont="1" applyNumberFormat="1">
      <alignment horizontal="right" vertical="center"/>
    </xf>
    <xf borderId="3" fillId="62" fontId="141" numFmtId="3" xfId="0" applyAlignment="1" applyBorder="1" applyFont="1" applyNumberFormat="1">
      <alignment horizontal="right" vertical="center"/>
    </xf>
    <xf borderId="3" fillId="13" fontId="78" numFmtId="0" xfId="0" applyAlignment="1" applyBorder="1" applyFont="1">
      <alignment horizontal="right" vertical="center"/>
    </xf>
    <xf borderId="3" fillId="13" fontId="78" numFmtId="164" xfId="0" applyAlignment="1" applyBorder="1" applyFont="1" applyNumberFormat="1">
      <alignment horizontal="right" vertical="center"/>
    </xf>
    <xf borderId="3" fillId="13" fontId="78" numFmtId="165" xfId="0" applyAlignment="1" applyBorder="1" applyFont="1" applyNumberFormat="1">
      <alignment horizontal="right" vertical="center"/>
    </xf>
    <xf borderId="3" fillId="13" fontId="78" numFmtId="3" xfId="0" applyAlignment="1" applyBorder="1" applyFont="1" applyNumberFormat="1">
      <alignment horizontal="right" vertical="center"/>
    </xf>
    <xf borderId="3" fillId="14" fontId="51" numFmtId="0" xfId="0" applyAlignment="1" applyBorder="1" applyFont="1">
      <alignment horizontal="center" vertical="center"/>
    </xf>
    <xf borderId="3" fillId="13" fontId="132" numFmtId="0" xfId="0" applyAlignment="1" applyBorder="1" applyFont="1">
      <alignment horizontal="center" vertical="center"/>
    </xf>
    <xf borderId="3" fillId="14" fontId="51" numFmtId="0" xfId="0" applyAlignment="1" applyBorder="1" applyFont="1">
      <alignment horizontal="center" shrinkToFit="0" vertical="center" wrapText="1"/>
    </xf>
    <xf borderId="3" fillId="12" fontId="177" numFmtId="0" xfId="0" applyBorder="1" applyFont="1"/>
    <xf borderId="1" fillId="3" fontId="78" numFmtId="0" xfId="0" applyAlignment="1" applyBorder="1" applyFont="1">
      <alignment horizontal="left" vertical="center"/>
    </xf>
    <xf borderId="3" fillId="29" fontId="83" numFmtId="0" xfId="0" applyAlignment="1" applyBorder="1" applyFont="1">
      <alignment horizontal="left" vertical="center"/>
    </xf>
    <xf borderId="3" fillId="54" fontId="83" numFmtId="0" xfId="0" applyAlignment="1" applyBorder="1" applyFont="1">
      <alignment horizontal="left" vertical="center"/>
    </xf>
    <xf borderId="3" fillId="29" fontId="83" numFmtId="0" xfId="0" applyAlignment="1" applyBorder="1" applyFont="1">
      <alignment horizontal="center" vertical="center"/>
    </xf>
    <xf borderId="3" fillId="29" fontId="83" numFmtId="169" xfId="0" applyAlignment="1" applyBorder="1" applyFont="1" applyNumberFormat="1">
      <alignment horizontal="center" vertical="center"/>
    </xf>
    <xf borderId="3" fillId="29" fontId="83" numFmtId="177" xfId="0" applyAlignment="1" applyBorder="1" applyFont="1" applyNumberFormat="1">
      <alignment horizontal="center" vertical="center"/>
    </xf>
    <xf borderId="3" fillId="29" fontId="83" numFmtId="167" xfId="0" applyAlignment="1" applyBorder="1" applyFont="1" applyNumberFormat="1">
      <alignment horizontal="center" vertical="center"/>
    </xf>
    <xf borderId="3" fillId="29" fontId="83" numFmtId="164" xfId="0" applyAlignment="1" applyBorder="1" applyFont="1" applyNumberFormat="1">
      <alignment horizontal="center" vertical="center"/>
    </xf>
    <xf borderId="3" fillId="29" fontId="83" numFmtId="178" xfId="0" applyAlignment="1" applyBorder="1" applyFont="1" applyNumberFormat="1">
      <alignment horizontal="center" vertical="center"/>
    </xf>
    <xf borderId="3" fillId="29" fontId="83" numFmtId="179" xfId="0" applyAlignment="1" applyBorder="1" applyFont="1" applyNumberFormat="1">
      <alignment horizontal="center" vertical="center"/>
    </xf>
    <xf borderId="3" fillId="29" fontId="83" numFmtId="165" xfId="0" applyAlignment="1" applyBorder="1" applyFont="1" applyNumberFormat="1">
      <alignment horizontal="center" vertical="center"/>
    </xf>
    <xf borderId="3" fillId="29" fontId="110" numFmtId="0" xfId="0" applyAlignment="1" applyBorder="1" applyFont="1">
      <alignment horizontal="left" vertical="center"/>
    </xf>
    <xf borderId="3" fillId="29" fontId="177" numFmtId="0" xfId="0" applyBorder="1" applyFont="1"/>
    <xf borderId="3" fillId="26" fontId="83" numFmtId="0" xfId="0" applyAlignment="1" applyBorder="1" applyFont="1">
      <alignment horizontal="left" vertical="center"/>
    </xf>
    <xf borderId="3" fillId="3" fontId="83" numFmtId="0" xfId="0" applyAlignment="1" applyBorder="1" applyFont="1">
      <alignment horizontal="left" vertical="center"/>
    </xf>
    <xf borderId="3" fillId="26" fontId="83" numFmtId="0" xfId="0" applyAlignment="1" applyBorder="1" applyFont="1">
      <alignment horizontal="center" vertical="center"/>
    </xf>
    <xf borderId="3" fillId="26" fontId="83" numFmtId="169" xfId="0" applyAlignment="1" applyBorder="1" applyFont="1" applyNumberFormat="1">
      <alignment horizontal="center" vertical="center"/>
    </xf>
    <xf borderId="3" fillId="26" fontId="83" numFmtId="177" xfId="0" applyAlignment="1" applyBorder="1" applyFont="1" applyNumberFormat="1">
      <alignment horizontal="center" vertical="center"/>
    </xf>
    <xf borderId="3" fillId="26" fontId="83" numFmtId="167" xfId="0" applyAlignment="1" applyBorder="1" applyFont="1" applyNumberFormat="1">
      <alignment horizontal="center" vertical="center"/>
    </xf>
    <xf borderId="3" fillId="26" fontId="83" numFmtId="164" xfId="0" applyAlignment="1" applyBorder="1" applyFont="1" applyNumberFormat="1">
      <alignment horizontal="center" vertical="center"/>
    </xf>
    <xf borderId="3" fillId="26" fontId="83" numFmtId="178" xfId="0" applyAlignment="1" applyBorder="1" applyFont="1" applyNumberFormat="1">
      <alignment horizontal="center" vertical="center"/>
    </xf>
    <xf borderId="3" fillId="26" fontId="83" numFmtId="179" xfId="0" applyAlignment="1" applyBorder="1" applyFont="1" applyNumberFormat="1">
      <alignment horizontal="center" vertical="center"/>
    </xf>
    <xf borderId="3" fillId="26" fontId="83" numFmtId="165" xfId="0" applyAlignment="1" applyBorder="1" applyFont="1" applyNumberFormat="1">
      <alignment horizontal="center" vertical="center"/>
    </xf>
    <xf borderId="3" fillId="26" fontId="180" numFmtId="0" xfId="0" applyAlignment="1" applyBorder="1" applyFont="1">
      <alignment horizontal="left" vertical="center"/>
    </xf>
    <xf borderId="3" fillId="26" fontId="177" numFmtId="0" xfId="0" applyBorder="1" applyFont="1"/>
    <xf borderId="3" fillId="65" fontId="83" numFmtId="0" xfId="0" applyAlignment="1" applyBorder="1" applyFill="1" applyFont="1">
      <alignment horizontal="left" vertical="center"/>
    </xf>
    <xf borderId="3" fillId="5" fontId="83" numFmtId="0" xfId="0" applyAlignment="1" applyBorder="1" applyFont="1">
      <alignment horizontal="left" vertical="center"/>
    </xf>
    <xf borderId="3" fillId="65" fontId="83" numFmtId="0" xfId="0" applyAlignment="1" applyBorder="1" applyFont="1">
      <alignment horizontal="center" vertical="center"/>
    </xf>
    <xf borderId="3" fillId="65" fontId="83" numFmtId="169" xfId="0" applyAlignment="1" applyBorder="1" applyFont="1" applyNumberFormat="1">
      <alignment horizontal="center" vertical="center"/>
    </xf>
    <xf borderId="3" fillId="65" fontId="83" numFmtId="177" xfId="0" applyAlignment="1" applyBorder="1" applyFont="1" applyNumberFormat="1">
      <alignment horizontal="center" vertical="center"/>
    </xf>
    <xf borderId="3" fillId="65" fontId="83" numFmtId="167" xfId="0" applyAlignment="1" applyBorder="1" applyFont="1" applyNumberFormat="1">
      <alignment horizontal="center" vertical="center"/>
    </xf>
    <xf borderId="3" fillId="65" fontId="83" numFmtId="164" xfId="0" applyAlignment="1" applyBorder="1" applyFont="1" applyNumberFormat="1">
      <alignment horizontal="center" vertical="center"/>
    </xf>
    <xf borderId="3" fillId="65" fontId="83" numFmtId="178" xfId="0" applyAlignment="1" applyBorder="1" applyFont="1" applyNumberFormat="1">
      <alignment horizontal="center" vertical="center"/>
    </xf>
    <xf borderId="3" fillId="65" fontId="83" numFmtId="179" xfId="0" applyAlignment="1" applyBorder="1" applyFont="1" applyNumberFormat="1">
      <alignment horizontal="center" vertical="center"/>
    </xf>
    <xf borderId="3" fillId="65" fontId="83" numFmtId="165" xfId="0" applyAlignment="1" applyBorder="1" applyFont="1" applyNumberFormat="1">
      <alignment horizontal="center" vertical="center"/>
    </xf>
    <xf borderId="3" fillId="65" fontId="181" numFmtId="0" xfId="0" applyAlignment="1" applyBorder="1" applyFont="1">
      <alignment horizontal="left" vertical="center"/>
    </xf>
    <xf borderId="3" fillId="65" fontId="177" numFmtId="0" xfId="0" applyBorder="1" applyFont="1"/>
    <xf borderId="3" fillId="6" fontId="83" numFmtId="0" xfId="0" applyAlignment="1" applyBorder="1" applyFont="1">
      <alignment horizontal="left" vertical="center"/>
    </xf>
    <xf borderId="3" fillId="56" fontId="83" numFmtId="0" xfId="0" applyAlignment="1" applyBorder="1" applyFont="1">
      <alignment horizontal="left" vertical="center"/>
    </xf>
    <xf borderId="3" fillId="6" fontId="83" numFmtId="0" xfId="0" applyAlignment="1" applyBorder="1" applyFont="1">
      <alignment horizontal="center" vertical="center"/>
    </xf>
    <xf borderId="3" fillId="6" fontId="83" numFmtId="169" xfId="0" applyAlignment="1" applyBorder="1" applyFont="1" applyNumberFormat="1">
      <alignment horizontal="center" vertical="center"/>
    </xf>
    <xf borderId="3" fillId="6" fontId="83" numFmtId="177" xfId="0" applyAlignment="1" applyBorder="1" applyFont="1" applyNumberFormat="1">
      <alignment horizontal="center" vertical="center"/>
    </xf>
    <xf borderId="3" fillId="6" fontId="83" numFmtId="167" xfId="0" applyAlignment="1" applyBorder="1" applyFont="1" applyNumberFormat="1">
      <alignment horizontal="center" vertical="center"/>
    </xf>
    <xf borderId="3" fillId="6" fontId="83" numFmtId="164" xfId="0" applyAlignment="1" applyBorder="1" applyFont="1" applyNumberFormat="1">
      <alignment horizontal="center" vertical="center"/>
    </xf>
    <xf borderId="3" fillId="6" fontId="83" numFmtId="178" xfId="0" applyAlignment="1" applyBorder="1" applyFont="1" applyNumberFormat="1">
      <alignment horizontal="center" vertical="center"/>
    </xf>
    <xf borderId="3" fillId="6" fontId="83" numFmtId="179" xfId="0" applyAlignment="1" applyBorder="1" applyFont="1" applyNumberFormat="1">
      <alignment horizontal="center" vertical="center"/>
    </xf>
    <xf borderId="3" fillId="6" fontId="83" numFmtId="165" xfId="0" applyAlignment="1" applyBorder="1" applyFont="1" applyNumberFormat="1">
      <alignment horizontal="center" vertical="center"/>
    </xf>
    <xf borderId="3" fillId="6" fontId="182" numFmtId="0" xfId="0" applyAlignment="1" applyBorder="1" applyFont="1">
      <alignment horizontal="left" vertical="center"/>
    </xf>
    <xf borderId="3" fillId="6" fontId="177" numFmtId="0" xfId="0" applyBorder="1" applyFont="1"/>
    <xf borderId="1" fillId="35" fontId="81" numFmtId="0" xfId="0" applyAlignment="1" applyBorder="1" applyFont="1">
      <alignment horizontal="left" vertical="center"/>
    </xf>
    <xf borderId="3" fillId="35" fontId="81" numFmtId="0" xfId="0" applyAlignment="1" applyBorder="1" applyFont="1">
      <alignment horizontal="left" vertical="center"/>
    </xf>
    <xf borderId="3" fillId="27" fontId="83" numFmtId="0" xfId="0" applyAlignment="1" applyBorder="1" applyFont="1">
      <alignment horizontal="center" vertical="center"/>
    </xf>
    <xf borderId="3" fillId="35" fontId="176" numFmtId="0" xfId="0" applyAlignment="1" applyBorder="1" applyFont="1">
      <alignment horizontal="right" vertical="center"/>
    </xf>
    <xf borderId="3" fillId="35" fontId="176" numFmtId="164" xfId="0" applyAlignment="1" applyBorder="1" applyFont="1" applyNumberFormat="1">
      <alignment horizontal="right" vertical="center"/>
    </xf>
    <xf borderId="3" fillId="35" fontId="176" numFmtId="165" xfId="0" applyAlignment="1" applyBorder="1" applyFont="1" applyNumberFormat="1">
      <alignment horizontal="right" vertical="center"/>
    </xf>
    <xf borderId="1" fillId="27" fontId="177" numFmtId="0" xfId="0" applyBorder="1" applyFont="1"/>
    <xf borderId="1" fillId="12" fontId="78" numFmtId="0" xfId="0" applyAlignment="1" applyBorder="1" applyFont="1">
      <alignment horizontal="left" vertical="center"/>
    </xf>
    <xf borderId="3" fillId="56" fontId="83" numFmtId="0" xfId="0" applyAlignment="1" applyBorder="1" applyFont="1">
      <alignment horizontal="center" vertical="center"/>
    </xf>
    <xf borderId="3" fillId="56" fontId="83" numFmtId="167" xfId="0" applyAlignment="1" applyBorder="1" applyFont="1" applyNumberFormat="1">
      <alignment horizontal="center" vertical="center"/>
    </xf>
    <xf borderId="3" fillId="35" fontId="176" numFmtId="178" xfId="0" applyAlignment="1" applyBorder="1" applyFont="1" applyNumberFormat="1">
      <alignment horizontal="right" vertical="center"/>
    </xf>
    <xf borderId="1" fillId="5" fontId="78" numFmtId="0" xfId="0" applyAlignment="1" applyBorder="1" applyFont="1">
      <alignment horizontal="left" vertical="center"/>
    </xf>
    <xf borderId="3" fillId="27" fontId="83" numFmtId="0" xfId="0" applyAlignment="1" applyBorder="1" applyFont="1">
      <alignment horizontal="left" vertical="center"/>
    </xf>
    <xf borderId="3" fillId="27" fontId="183" numFmtId="0" xfId="0" applyAlignment="1" applyBorder="1" applyFont="1">
      <alignment horizontal="left" vertical="center"/>
    </xf>
    <xf borderId="3" fillId="27" fontId="184" numFmtId="0" xfId="0" applyAlignment="1" applyBorder="1" applyFont="1">
      <alignment horizontal="center" vertical="center"/>
    </xf>
    <xf borderId="3" fillId="27" fontId="184" numFmtId="164" xfId="0" applyAlignment="1" applyBorder="1" applyFont="1" applyNumberFormat="1">
      <alignment horizontal="center" vertical="center"/>
    </xf>
    <xf borderId="3" fillId="28" fontId="183" numFmtId="0" xfId="0" applyAlignment="1" applyBorder="1" applyFont="1">
      <alignment horizontal="left" vertical="center"/>
    </xf>
    <xf borderId="3" fillId="28" fontId="184" numFmtId="0" xfId="0" applyAlignment="1" applyBorder="1" applyFont="1">
      <alignment horizontal="center" vertical="center"/>
    </xf>
    <xf borderId="3" fillId="28" fontId="184" numFmtId="164" xfId="0" applyAlignment="1" applyBorder="1" applyFont="1" applyNumberFormat="1">
      <alignment horizontal="center" vertical="center"/>
    </xf>
    <xf borderId="1" fillId="33" fontId="109" numFmtId="0" xfId="0" applyAlignment="1" applyBorder="1" applyFont="1">
      <alignment horizontal="left" vertical="center"/>
    </xf>
    <xf borderId="3" fillId="27" fontId="1" numFmtId="0" xfId="0" applyAlignment="1" applyBorder="1" applyFont="1">
      <alignment horizontal="left" vertical="center"/>
    </xf>
    <xf borderId="3" fillId="27" fontId="185" numFmtId="0" xfId="0" applyAlignment="1" applyBorder="1" applyFont="1">
      <alignment horizontal="center" vertical="center"/>
    </xf>
    <xf borderId="3" fillId="8" fontId="49" numFmtId="0" xfId="0" applyAlignment="1" applyBorder="1" applyFont="1">
      <alignment horizontal="left" vertical="center"/>
    </xf>
    <xf borderId="3" fillId="20" fontId="114" numFmtId="0" xfId="0" applyAlignment="1" applyBorder="1" applyFont="1">
      <alignment horizontal="left" vertical="center"/>
    </xf>
    <xf borderId="3" fillId="26" fontId="184" numFmtId="164" xfId="0" applyAlignment="1" applyBorder="1" applyFont="1" applyNumberFormat="1">
      <alignment horizontal="center" vertical="center"/>
    </xf>
    <xf borderId="3" fillId="26" fontId="184" numFmtId="165" xfId="0" applyAlignment="1" applyBorder="1" applyFont="1" applyNumberFormat="1">
      <alignment horizontal="center" vertical="center"/>
    </xf>
    <xf borderId="3" fillId="26" fontId="186" numFmtId="2" xfId="0" applyAlignment="1" applyBorder="1" applyFont="1" applyNumberFormat="1">
      <alignment horizontal="center" vertical="center"/>
    </xf>
    <xf borderId="3" fillId="26" fontId="187" numFmtId="1" xfId="0" applyAlignment="1" applyBorder="1" applyFont="1" applyNumberFormat="1">
      <alignment horizontal="center" vertical="center"/>
    </xf>
    <xf borderId="3" fillId="26" fontId="184" numFmtId="0" xfId="0" applyAlignment="1" applyBorder="1" applyFont="1">
      <alignment horizontal="center" vertical="center"/>
    </xf>
    <xf borderId="3" fillId="3" fontId="188" numFmtId="0" xfId="0" applyAlignment="1" applyBorder="1" applyFont="1">
      <alignment horizontal="center" vertical="center"/>
    </xf>
    <xf borderId="3" fillId="3" fontId="20" numFmtId="0" xfId="0" applyAlignment="1" applyBorder="1" applyFont="1">
      <alignment horizontal="center" shrinkToFit="0" vertical="center" wrapText="1"/>
    </xf>
    <xf borderId="3" fillId="3" fontId="21" numFmtId="0" xfId="0" applyAlignment="1" applyBorder="1" applyFont="1">
      <alignment horizontal="center" shrinkToFit="0" vertical="center" wrapText="1"/>
    </xf>
    <xf borderId="3" fillId="29" fontId="189" numFmtId="0" xfId="0" applyAlignment="1" applyBorder="1" applyFont="1">
      <alignment horizontal="left" vertical="center"/>
    </xf>
    <xf borderId="3" fillId="29" fontId="110" numFmtId="0" xfId="0" applyAlignment="1" applyBorder="1" applyFont="1">
      <alignment horizontal="center" vertical="center"/>
    </xf>
    <xf borderId="3" fillId="54" fontId="21" numFmtId="0" xfId="0" applyAlignment="1" applyBorder="1" applyFont="1">
      <alignment horizontal="center" vertical="center"/>
    </xf>
    <xf borderId="3" fillId="29" fontId="110" numFmtId="180" xfId="0" applyAlignment="1" applyBorder="1" applyFont="1" applyNumberFormat="1">
      <alignment horizontal="center" vertical="center"/>
    </xf>
    <xf borderId="3" fillId="29" fontId="110" numFmtId="167" xfId="0" applyAlignment="1" applyBorder="1" applyFont="1" applyNumberFormat="1">
      <alignment horizontal="center" vertical="center"/>
    </xf>
    <xf borderId="3" fillId="29" fontId="110" numFmtId="164" xfId="0" applyAlignment="1" applyBorder="1" applyFont="1" applyNumberFormat="1">
      <alignment horizontal="center" vertical="center"/>
    </xf>
    <xf borderId="3" fillId="29" fontId="110" numFmtId="178" xfId="0" applyAlignment="1" applyBorder="1" applyFont="1" applyNumberFormat="1">
      <alignment horizontal="center" vertical="center"/>
    </xf>
    <xf borderId="3" fillId="29" fontId="110" numFmtId="179" xfId="0" applyAlignment="1" applyBorder="1" applyFont="1" applyNumberFormat="1">
      <alignment horizontal="center" vertical="center"/>
    </xf>
    <xf borderId="3" fillId="29" fontId="110" numFmtId="165" xfId="0" applyAlignment="1" applyBorder="1" applyFont="1" applyNumberFormat="1">
      <alignment horizontal="center" vertical="center"/>
    </xf>
    <xf borderId="3" fillId="29" fontId="110" numFmtId="10" xfId="0" applyAlignment="1" applyBorder="1" applyFont="1" applyNumberFormat="1">
      <alignment horizontal="center" vertical="center"/>
    </xf>
    <xf borderId="3" fillId="29" fontId="110" numFmtId="2" xfId="0" applyAlignment="1" applyBorder="1" applyFont="1" applyNumberFormat="1">
      <alignment horizontal="center" vertical="center"/>
    </xf>
    <xf borderId="3" fillId="29" fontId="110" numFmtId="9" xfId="0" applyAlignment="1" applyBorder="1" applyFont="1" applyNumberFormat="1">
      <alignment horizontal="center" vertical="center"/>
    </xf>
    <xf borderId="3" fillId="29" fontId="190" numFmtId="164" xfId="0" applyAlignment="1" applyBorder="1" applyFont="1" applyNumberFormat="1">
      <alignment horizontal="center" vertical="center"/>
    </xf>
    <xf borderId="3" fillId="29" fontId="47" numFmtId="0" xfId="0" applyAlignment="1" applyBorder="1" applyFont="1">
      <alignment horizontal="center" vertical="center"/>
    </xf>
    <xf borderId="3" fillId="29" fontId="191" numFmtId="0" xfId="0" applyAlignment="1" applyBorder="1" applyFont="1">
      <alignment horizontal="left" shrinkToFit="0" vertical="center" wrapText="1"/>
    </xf>
    <xf borderId="3" fillId="29" fontId="192" numFmtId="0" xfId="0" applyAlignment="1" applyBorder="1" applyFont="1">
      <alignment horizontal="center" vertical="center"/>
    </xf>
    <xf borderId="3" fillId="29" fontId="193" numFmtId="0" xfId="0" applyAlignment="1" applyBorder="1" applyFont="1">
      <alignment horizontal="center" vertical="center"/>
    </xf>
    <xf borderId="3" fillId="26" fontId="192" numFmtId="0" xfId="0" applyAlignment="1" applyBorder="1" applyFont="1">
      <alignment horizontal="center" vertical="center"/>
    </xf>
    <xf borderId="3" fillId="22" fontId="194" numFmtId="0" xfId="0" applyAlignment="1" applyBorder="1" applyFont="1">
      <alignment horizontal="center" vertical="center"/>
    </xf>
    <xf borderId="0" fillId="0" fontId="195" numFmtId="9" xfId="0" applyAlignment="1" applyFont="1" applyNumberFormat="1">
      <alignment horizontal="center" vertical="center"/>
    </xf>
    <xf borderId="3" fillId="20" fontId="196" numFmtId="0" xfId="0" applyAlignment="1" applyBorder="1" applyFont="1">
      <alignment horizontal="center"/>
    </xf>
    <xf borderId="3" fillId="28" fontId="29" numFmtId="165" xfId="0" applyBorder="1" applyFont="1" applyNumberFormat="1"/>
    <xf borderId="3" fillId="29" fontId="189" numFmtId="1" xfId="0" applyAlignment="1" applyBorder="1" applyFont="1" applyNumberFormat="1">
      <alignment horizontal="left" vertical="center"/>
    </xf>
    <xf borderId="3" fillId="29" fontId="197" numFmtId="0" xfId="0" applyAlignment="1" applyBorder="1" applyFont="1">
      <alignment horizontal="center" vertical="center"/>
    </xf>
    <xf borderId="0" fillId="0" fontId="198" numFmtId="9" xfId="0" applyAlignment="1" applyFont="1" applyNumberFormat="1">
      <alignment horizontal="center" vertical="center"/>
    </xf>
    <xf borderId="3" fillId="27" fontId="29" numFmtId="165" xfId="0" applyBorder="1" applyFont="1" applyNumberFormat="1"/>
    <xf borderId="3" fillId="29" fontId="199" numFmtId="0" xfId="0" applyAlignment="1" applyBorder="1" applyFont="1">
      <alignment horizontal="center" vertical="center"/>
    </xf>
    <xf borderId="0" fillId="0" fontId="200" numFmtId="9" xfId="0" applyAlignment="1" applyFont="1" applyNumberFormat="1">
      <alignment horizontal="center" vertical="center"/>
    </xf>
    <xf borderId="3" fillId="29" fontId="201" numFmtId="0" xfId="0" applyAlignment="1" applyBorder="1" applyFont="1">
      <alignment horizontal="center" vertical="center"/>
    </xf>
    <xf borderId="3" fillId="26" fontId="25" numFmtId="1" xfId="0" applyAlignment="1" applyBorder="1" applyFont="1" applyNumberFormat="1">
      <alignment horizontal="left" vertical="center"/>
    </xf>
    <xf borderId="3" fillId="26" fontId="180" numFmtId="0" xfId="0" applyAlignment="1" applyBorder="1" applyFont="1">
      <alignment horizontal="center" vertical="center"/>
    </xf>
    <xf borderId="3" fillId="26" fontId="180" numFmtId="180" xfId="0" applyAlignment="1" applyBorder="1" applyFont="1" applyNumberFormat="1">
      <alignment horizontal="center" vertical="center"/>
    </xf>
    <xf borderId="3" fillId="26" fontId="180" numFmtId="167" xfId="0" applyAlignment="1" applyBorder="1" applyFont="1" applyNumberFormat="1">
      <alignment horizontal="center" vertical="center"/>
    </xf>
    <xf borderId="3" fillId="26" fontId="180" numFmtId="164" xfId="0" applyAlignment="1" applyBorder="1" applyFont="1" applyNumberFormat="1">
      <alignment horizontal="center" vertical="center"/>
    </xf>
    <xf borderId="3" fillId="26" fontId="180" numFmtId="178" xfId="0" applyAlignment="1" applyBorder="1" applyFont="1" applyNumberFormat="1">
      <alignment horizontal="center" vertical="center"/>
    </xf>
    <xf borderId="3" fillId="26" fontId="180" numFmtId="179" xfId="0" applyAlignment="1" applyBorder="1" applyFont="1" applyNumberFormat="1">
      <alignment horizontal="center" vertical="center"/>
    </xf>
    <xf borderId="3" fillId="26" fontId="180" numFmtId="165" xfId="0" applyAlignment="1" applyBorder="1" applyFont="1" applyNumberFormat="1">
      <alignment horizontal="center" vertical="center"/>
    </xf>
    <xf borderId="3" fillId="26" fontId="180" numFmtId="10" xfId="0" applyAlignment="1" applyBorder="1" applyFont="1" applyNumberFormat="1">
      <alignment horizontal="center" vertical="center"/>
    </xf>
    <xf borderId="3" fillId="26" fontId="180" numFmtId="2" xfId="0" applyAlignment="1" applyBorder="1" applyFont="1" applyNumberFormat="1">
      <alignment horizontal="center" vertical="center"/>
    </xf>
    <xf borderId="3" fillId="26" fontId="180" numFmtId="9" xfId="0" applyAlignment="1" applyBorder="1" applyFont="1" applyNumberFormat="1">
      <alignment horizontal="center" vertical="center"/>
    </xf>
    <xf borderId="3" fillId="26" fontId="190" numFmtId="164" xfId="0" applyAlignment="1" applyBorder="1" applyFont="1" applyNumberFormat="1">
      <alignment horizontal="center" vertical="center"/>
    </xf>
    <xf borderId="3" fillId="26" fontId="47" numFmtId="0" xfId="0" applyAlignment="1" applyBorder="1" applyFont="1">
      <alignment horizontal="center" vertical="center"/>
    </xf>
    <xf borderId="3" fillId="26" fontId="202" numFmtId="0" xfId="0" applyAlignment="1" applyBorder="1" applyFont="1">
      <alignment horizontal="left" shrinkToFit="0" vertical="center" wrapText="1"/>
    </xf>
    <xf borderId="3" fillId="26" fontId="197" numFmtId="0" xfId="0" applyAlignment="1" applyBorder="1" applyFont="1">
      <alignment horizontal="center" vertical="center"/>
    </xf>
    <xf borderId="3" fillId="26" fontId="193" numFmtId="0" xfId="0" applyAlignment="1" applyBorder="1" applyFont="1">
      <alignment horizontal="center" vertical="center"/>
    </xf>
    <xf borderId="3" fillId="26" fontId="203" numFmtId="0" xfId="0" applyAlignment="1" applyBorder="1" applyFont="1">
      <alignment horizontal="center" vertical="center"/>
    </xf>
    <xf borderId="3" fillId="20" fontId="199" numFmtId="0" xfId="0" applyAlignment="1" applyBorder="1" applyFont="1">
      <alignment horizontal="center" vertical="center"/>
    </xf>
    <xf borderId="3" fillId="65" fontId="204" numFmtId="1" xfId="0" applyAlignment="1" applyBorder="1" applyFont="1" applyNumberFormat="1">
      <alignment horizontal="left" vertical="center"/>
    </xf>
    <xf borderId="3" fillId="65" fontId="181" numFmtId="0" xfId="0" applyAlignment="1" applyBorder="1" applyFont="1">
      <alignment horizontal="center" vertical="center"/>
    </xf>
    <xf borderId="3" fillId="5" fontId="21" numFmtId="0" xfId="0" applyAlignment="1" applyBorder="1" applyFont="1">
      <alignment horizontal="center" vertical="center"/>
    </xf>
    <xf borderId="3" fillId="65" fontId="181" numFmtId="180" xfId="0" applyAlignment="1" applyBorder="1" applyFont="1" applyNumberFormat="1">
      <alignment horizontal="center" vertical="center"/>
    </xf>
    <xf borderId="3" fillId="65" fontId="181" numFmtId="167" xfId="0" applyAlignment="1" applyBorder="1" applyFont="1" applyNumberFormat="1">
      <alignment horizontal="center" vertical="center"/>
    </xf>
    <xf borderId="3" fillId="65" fontId="181" numFmtId="164" xfId="0" applyAlignment="1" applyBorder="1" applyFont="1" applyNumberFormat="1">
      <alignment horizontal="center" vertical="center"/>
    </xf>
    <xf borderId="3" fillId="65" fontId="181" numFmtId="178" xfId="0" applyAlignment="1" applyBorder="1" applyFont="1" applyNumberFormat="1">
      <alignment horizontal="center" vertical="center"/>
    </xf>
    <xf borderId="3" fillId="65" fontId="181" numFmtId="179" xfId="0" applyAlignment="1" applyBorder="1" applyFont="1" applyNumberFormat="1">
      <alignment horizontal="center" vertical="center"/>
    </xf>
    <xf borderId="3" fillId="65" fontId="181" numFmtId="165" xfId="0" applyAlignment="1" applyBorder="1" applyFont="1" applyNumberFormat="1">
      <alignment horizontal="center" vertical="center"/>
    </xf>
    <xf borderId="3" fillId="65" fontId="181" numFmtId="10" xfId="0" applyAlignment="1" applyBorder="1" applyFont="1" applyNumberFormat="1">
      <alignment horizontal="center" vertical="center"/>
    </xf>
    <xf borderId="3" fillId="65" fontId="181" numFmtId="2" xfId="0" applyAlignment="1" applyBorder="1" applyFont="1" applyNumberFormat="1">
      <alignment horizontal="center" vertical="center"/>
    </xf>
    <xf borderId="3" fillId="65" fontId="181" numFmtId="9" xfId="0" applyAlignment="1" applyBorder="1" applyFont="1" applyNumberFormat="1">
      <alignment horizontal="center" vertical="center"/>
    </xf>
    <xf borderId="3" fillId="65" fontId="190" numFmtId="164" xfId="0" applyAlignment="1" applyBorder="1" applyFont="1" applyNumberFormat="1">
      <alignment horizontal="center" vertical="center"/>
    </xf>
    <xf borderId="3" fillId="65" fontId="47" numFmtId="0" xfId="0" applyAlignment="1" applyBorder="1" applyFont="1">
      <alignment horizontal="center" vertical="center"/>
    </xf>
    <xf borderId="3" fillId="65" fontId="205" numFmtId="0" xfId="0" applyAlignment="1" applyBorder="1" applyFont="1">
      <alignment horizontal="left" shrinkToFit="0" vertical="center" wrapText="1"/>
    </xf>
    <xf borderId="3" fillId="65" fontId="206" numFmtId="0" xfId="0" applyAlignment="1" applyBorder="1" applyFont="1">
      <alignment horizontal="center" vertical="center"/>
    </xf>
    <xf borderId="3" fillId="65" fontId="193" numFmtId="0" xfId="0" applyAlignment="1" applyBorder="1" applyFont="1">
      <alignment horizontal="center" vertical="center"/>
    </xf>
    <xf borderId="0" fillId="0" fontId="206" numFmtId="0" xfId="0" applyAlignment="1" applyFont="1">
      <alignment horizontal="center" vertical="center"/>
    </xf>
    <xf borderId="3" fillId="65" fontId="203" numFmtId="0" xfId="0" applyAlignment="1" applyBorder="1" applyFont="1">
      <alignment horizontal="center" vertical="center"/>
    </xf>
    <xf borderId="3" fillId="65" fontId="207" numFmtId="0" xfId="0" applyAlignment="1" applyBorder="1" applyFont="1">
      <alignment horizontal="center" vertical="center"/>
    </xf>
    <xf borderId="3" fillId="6" fontId="26" numFmtId="1" xfId="0" applyAlignment="1" applyBorder="1" applyFont="1" applyNumberFormat="1">
      <alignment horizontal="left" vertical="center"/>
    </xf>
    <xf borderId="3" fillId="6" fontId="182" numFmtId="0" xfId="0" applyAlignment="1" applyBorder="1" applyFont="1">
      <alignment horizontal="center" vertical="center"/>
    </xf>
    <xf borderId="0" fillId="0" fontId="21" numFmtId="0" xfId="0" applyAlignment="1" applyFont="1">
      <alignment horizontal="center" vertical="center"/>
    </xf>
    <xf borderId="3" fillId="6" fontId="182" numFmtId="180" xfId="0" applyAlignment="1" applyBorder="1" applyFont="1" applyNumberFormat="1">
      <alignment horizontal="center" vertical="center"/>
    </xf>
    <xf borderId="3" fillId="6" fontId="182" numFmtId="167" xfId="0" applyAlignment="1" applyBorder="1" applyFont="1" applyNumberFormat="1">
      <alignment horizontal="center" vertical="center"/>
    </xf>
    <xf borderId="3" fillId="6" fontId="182" numFmtId="164" xfId="0" applyAlignment="1" applyBorder="1" applyFont="1" applyNumberFormat="1">
      <alignment horizontal="center" vertical="center"/>
    </xf>
    <xf borderId="3" fillId="6" fontId="182" numFmtId="178" xfId="0" applyAlignment="1" applyBorder="1" applyFont="1" applyNumberFormat="1">
      <alignment horizontal="center" vertical="center"/>
    </xf>
    <xf borderId="3" fillId="6" fontId="182" numFmtId="179" xfId="0" applyAlignment="1" applyBorder="1" applyFont="1" applyNumberFormat="1">
      <alignment horizontal="center" vertical="center"/>
    </xf>
    <xf borderId="3" fillId="6" fontId="182" numFmtId="165" xfId="0" applyAlignment="1" applyBorder="1" applyFont="1" applyNumberFormat="1">
      <alignment horizontal="center" vertical="center"/>
    </xf>
    <xf borderId="3" fillId="6" fontId="182" numFmtId="10" xfId="0" applyAlignment="1" applyBorder="1" applyFont="1" applyNumberFormat="1">
      <alignment horizontal="center" vertical="center"/>
    </xf>
    <xf borderId="3" fillId="6" fontId="182" numFmtId="2" xfId="0" applyAlignment="1" applyBorder="1" applyFont="1" applyNumberFormat="1">
      <alignment horizontal="center" vertical="center"/>
    </xf>
    <xf borderId="3" fillId="6" fontId="182" numFmtId="9" xfId="0" applyAlignment="1" applyBorder="1" applyFont="1" applyNumberFormat="1">
      <alignment horizontal="center" vertical="center"/>
    </xf>
    <xf borderId="3" fillId="6" fontId="190" numFmtId="164" xfId="0" applyAlignment="1" applyBorder="1" applyFont="1" applyNumberFormat="1">
      <alignment horizontal="center" vertical="center"/>
    </xf>
    <xf borderId="3" fillId="6" fontId="47" numFmtId="0" xfId="0" applyAlignment="1" applyBorder="1" applyFont="1">
      <alignment horizontal="center" vertical="center"/>
    </xf>
    <xf borderId="3" fillId="6" fontId="208" numFmtId="0" xfId="0" applyAlignment="1" applyBorder="1" applyFont="1">
      <alignment horizontal="left" shrinkToFit="0" vertical="center" wrapText="1"/>
    </xf>
    <xf borderId="3" fillId="6" fontId="201" numFmtId="0" xfId="0" applyAlignment="1" applyBorder="1" applyFont="1">
      <alignment horizontal="center" vertical="center"/>
    </xf>
    <xf borderId="3" fillId="6" fontId="193" numFmtId="0" xfId="0" applyAlignment="1" applyBorder="1" applyFont="1">
      <alignment horizontal="center" vertical="center"/>
    </xf>
    <xf borderId="3" fillId="6" fontId="206" numFmtId="0" xfId="0" applyAlignment="1" applyBorder="1" applyFont="1">
      <alignment horizontal="center" vertical="center"/>
    </xf>
    <xf borderId="3" fillId="6" fontId="209" numFmtId="0" xfId="0" applyAlignment="1" applyBorder="1" applyFont="1">
      <alignment horizontal="center" vertical="center"/>
    </xf>
    <xf borderId="3" fillId="29" fontId="210" numFmtId="0" xfId="0" applyAlignment="1" applyBorder="1" applyFont="1">
      <alignment horizontal="center" vertical="center"/>
    </xf>
    <xf borderId="3" fillId="26" fontId="210" numFmtId="0" xfId="0" applyAlignment="1" applyBorder="1" applyFont="1">
      <alignment horizontal="center" vertical="center"/>
    </xf>
    <xf borderId="3" fillId="27" fontId="211" numFmtId="1" xfId="0" applyAlignment="1" applyBorder="1" applyFont="1" applyNumberFormat="1">
      <alignment horizontal="center" vertical="center"/>
    </xf>
    <xf borderId="3" fillId="27" fontId="186" numFmtId="0" xfId="0" applyAlignment="1" applyBorder="1" applyFont="1">
      <alignment horizontal="center" vertical="center"/>
    </xf>
    <xf borderId="3" fillId="27" fontId="212" numFmtId="0" xfId="0" applyAlignment="1" applyBorder="1" applyFont="1">
      <alignment horizontal="left" vertical="center"/>
    </xf>
    <xf borderId="3" fillId="27" fontId="213" numFmtId="0" xfId="0" applyAlignment="1" applyBorder="1" applyFont="1">
      <alignment horizontal="center" vertical="center"/>
    </xf>
    <xf borderId="3" fillId="27" fontId="214" numFmtId="0" xfId="0" applyAlignment="1" applyBorder="1" applyFont="1">
      <alignment horizontal="center" vertical="center"/>
    </xf>
    <xf borderId="3" fillId="27" fontId="215" numFmtId="0" xfId="0" applyAlignment="1" applyBorder="1" applyFont="1">
      <alignment horizontal="center" vertical="center"/>
    </xf>
    <xf borderId="3" fillId="27" fontId="216" numFmtId="180" xfId="0" applyAlignment="1" applyBorder="1" applyFont="1" applyNumberFormat="1">
      <alignment horizontal="center" vertical="center"/>
    </xf>
    <xf borderId="3" fillId="27" fontId="217" numFmtId="167" xfId="0" applyAlignment="1" applyBorder="1" applyFont="1" applyNumberFormat="1">
      <alignment horizontal="center" vertical="center"/>
    </xf>
    <xf borderId="3" fillId="27" fontId="218" numFmtId="167" xfId="0" applyAlignment="1" applyBorder="1" applyFont="1" applyNumberFormat="1">
      <alignment horizontal="center" vertical="center"/>
    </xf>
    <xf borderId="3" fillId="27" fontId="215" numFmtId="167" xfId="0" applyAlignment="1" applyBorder="1" applyFont="1" applyNumberFormat="1">
      <alignment horizontal="center" vertical="center"/>
    </xf>
    <xf borderId="3" fillId="27" fontId="218" numFmtId="164" xfId="0" applyAlignment="1" applyBorder="1" applyFont="1" applyNumberFormat="1">
      <alignment horizontal="center" vertical="center"/>
    </xf>
    <xf borderId="3" fillId="27" fontId="215" numFmtId="164" xfId="0" applyAlignment="1" applyBorder="1" applyFont="1" applyNumberFormat="1">
      <alignment horizontal="center" vertical="center"/>
    </xf>
    <xf borderId="3" fillId="27" fontId="216" numFmtId="164" xfId="0" applyAlignment="1" applyBorder="1" applyFont="1" applyNumberFormat="1">
      <alignment horizontal="center" vertical="center"/>
    </xf>
    <xf borderId="3" fillId="27" fontId="214" numFmtId="165" xfId="0" applyAlignment="1" applyBorder="1" applyFont="1" applyNumberFormat="1">
      <alignment horizontal="center" vertical="center"/>
    </xf>
    <xf borderId="3" fillId="27" fontId="216" numFmtId="10" xfId="0" applyAlignment="1" applyBorder="1" applyFont="1" applyNumberFormat="1">
      <alignment horizontal="center" vertical="center"/>
    </xf>
    <xf borderId="3" fillId="27" fontId="219" numFmtId="167" xfId="0" applyAlignment="1" applyBorder="1" applyFont="1" applyNumberFormat="1">
      <alignment horizontal="center" vertical="center"/>
    </xf>
    <xf borderId="3" fillId="27" fontId="220" numFmtId="164" xfId="0" applyAlignment="1" applyBorder="1" applyFont="1" applyNumberFormat="1">
      <alignment horizontal="center" vertical="center"/>
    </xf>
    <xf borderId="3" fillId="27" fontId="221" numFmtId="0" xfId="0" applyAlignment="1" applyBorder="1" applyFont="1">
      <alignment horizontal="center" vertical="center"/>
    </xf>
    <xf borderId="3" fillId="27" fontId="210" numFmtId="0" xfId="0" applyAlignment="1" applyBorder="1" applyFont="1">
      <alignment horizontal="center" vertical="center"/>
    </xf>
    <xf borderId="3" fillId="13" fontId="78" numFmtId="0" xfId="0" applyBorder="1" applyFont="1"/>
    <xf borderId="3" fillId="13" fontId="78" numFmtId="0" xfId="0" applyAlignment="1" applyBorder="1" applyFont="1">
      <alignment horizontal="left" vertical="center"/>
    </xf>
    <xf borderId="3" fillId="13" fontId="78" numFmtId="0" xfId="0" applyAlignment="1" applyBorder="1" applyFont="1">
      <alignment horizontal="center" vertical="center"/>
    </xf>
    <xf borderId="3" fillId="13" fontId="78" numFmtId="167" xfId="0" applyAlignment="1" applyBorder="1" applyFont="1" applyNumberFormat="1">
      <alignment horizontal="center" vertical="center"/>
    </xf>
    <xf borderId="3" fillId="13" fontId="78" numFmtId="164" xfId="0" applyAlignment="1" applyBorder="1" applyFont="1" applyNumberFormat="1">
      <alignment horizontal="center" vertical="center"/>
    </xf>
    <xf borderId="3" fillId="13" fontId="78" numFmtId="178" xfId="0" applyAlignment="1" applyBorder="1" applyFont="1" applyNumberFormat="1">
      <alignment horizontal="center" vertical="center"/>
    </xf>
    <xf borderId="3" fillId="13" fontId="78" numFmtId="179" xfId="0" applyAlignment="1" applyBorder="1" applyFont="1" applyNumberFormat="1">
      <alignment horizontal="center" vertical="center"/>
    </xf>
    <xf borderId="3" fillId="13" fontId="78" numFmtId="165" xfId="0" applyAlignment="1" applyBorder="1" applyFont="1" applyNumberFormat="1">
      <alignment horizontal="center" vertical="center"/>
    </xf>
    <xf borderId="3" fillId="13" fontId="78" numFmtId="10" xfId="0" applyAlignment="1" applyBorder="1" applyFont="1" applyNumberFormat="1">
      <alignment horizontal="center" vertical="center"/>
    </xf>
    <xf borderId="3" fillId="13" fontId="78" numFmtId="9" xfId="0" applyAlignment="1" applyBorder="1" applyFont="1" applyNumberFormat="1">
      <alignment horizontal="center" vertical="center"/>
    </xf>
    <xf borderId="3" fillId="14" fontId="177" numFmtId="0" xfId="0" applyBorder="1" applyFont="1"/>
    <xf borderId="3" fillId="27" fontId="20" numFmtId="0" xfId="0" applyAlignment="1" applyBorder="1" applyFont="1">
      <alignment horizontal="center" vertical="center"/>
    </xf>
    <xf borderId="3" fillId="27" fontId="76" numFmtId="0" xfId="0" applyAlignment="1" applyBorder="1" applyFont="1">
      <alignment horizontal="center" vertical="center"/>
    </xf>
    <xf borderId="3" fillId="27" fontId="222" numFmtId="181" xfId="0" applyAlignment="1" applyBorder="1" applyFont="1" applyNumberFormat="1">
      <alignment horizontal="center" vertical="center"/>
    </xf>
    <xf borderId="3" fillId="27" fontId="222" numFmtId="164" xfId="0" applyAlignment="1" applyBorder="1" applyFont="1" applyNumberFormat="1">
      <alignment horizontal="center" vertical="center"/>
    </xf>
    <xf borderId="3" fillId="27" fontId="222" numFmtId="165" xfId="0" applyAlignment="1" applyBorder="1" applyFont="1" applyNumberFormat="1">
      <alignment horizontal="center" vertical="center"/>
    </xf>
    <xf borderId="3" fillId="27" fontId="222" numFmtId="0" xfId="0" applyAlignment="1" applyBorder="1" applyFont="1">
      <alignment horizontal="center" vertical="center"/>
    </xf>
    <xf borderId="3" fillId="27" fontId="184" numFmtId="0" xfId="0" applyAlignment="1" applyBorder="1" applyFont="1">
      <alignment horizontal="left" vertical="center"/>
    </xf>
    <xf borderId="3" fillId="27" fontId="184" numFmtId="167" xfId="0" applyAlignment="1" applyBorder="1" applyFont="1" applyNumberFormat="1">
      <alignment horizontal="center" vertical="center"/>
    </xf>
    <xf borderId="3" fillId="27" fontId="184" numFmtId="178" xfId="0" applyAlignment="1" applyBorder="1" applyFont="1" applyNumberFormat="1">
      <alignment horizontal="center" vertical="center"/>
    </xf>
    <xf borderId="3" fillId="27" fontId="184" numFmtId="179" xfId="0" applyAlignment="1" applyBorder="1" applyFont="1" applyNumberFormat="1">
      <alignment horizontal="center" vertical="center"/>
    </xf>
    <xf borderId="3" fillId="27" fontId="184" numFmtId="165" xfId="0" applyAlignment="1" applyBorder="1" applyFont="1" applyNumberFormat="1">
      <alignment horizontal="center" vertical="center"/>
    </xf>
    <xf borderId="3" fillId="27" fontId="184" numFmtId="10" xfId="0" applyAlignment="1" applyBorder="1" applyFont="1" applyNumberFormat="1">
      <alignment horizontal="center" vertical="center"/>
    </xf>
    <xf borderId="3" fillId="27" fontId="184" numFmtId="9" xfId="0" applyAlignment="1" applyBorder="1" applyFont="1" applyNumberFormat="1">
      <alignment horizontal="center" vertical="center"/>
    </xf>
    <xf borderId="3" fillId="28" fontId="184" numFmtId="0" xfId="0" applyAlignment="1" applyBorder="1" applyFont="1">
      <alignment horizontal="left" vertical="center"/>
    </xf>
    <xf borderId="3" fillId="28" fontId="184" numFmtId="167" xfId="0" applyAlignment="1" applyBorder="1" applyFont="1" applyNumberFormat="1">
      <alignment horizontal="center" vertical="center"/>
    </xf>
    <xf borderId="3" fillId="28" fontId="184" numFmtId="178" xfId="0" applyAlignment="1" applyBorder="1" applyFont="1" applyNumberFormat="1">
      <alignment horizontal="center" vertical="center"/>
    </xf>
    <xf borderId="3" fillId="28" fontId="184" numFmtId="179" xfId="0" applyAlignment="1" applyBorder="1" applyFont="1" applyNumberFormat="1">
      <alignment horizontal="center" vertical="center"/>
    </xf>
    <xf borderId="3" fillId="28" fontId="184" numFmtId="165" xfId="0" applyAlignment="1" applyBorder="1" applyFont="1" applyNumberFormat="1">
      <alignment horizontal="center" vertical="center"/>
    </xf>
    <xf borderId="3" fillId="28" fontId="184" numFmtId="10" xfId="0" applyAlignment="1" applyBorder="1" applyFont="1" applyNumberFormat="1">
      <alignment horizontal="center" vertical="center"/>
    </xf>
    <xf borderId="3" fillId="28" fontId="184" numFmtId="2" xfId="0" applyAlignment="1" applyBorder="1" applyFont="1" applyNumberFormat="1">
      <alignment horizontal="center" vertical="center"/>
    </xf>
    <xf borderId="3" fillId="28" fontId="184" numFmtId="9" xfId="0" applyAlignment="1" applyBorder="1" applyFont="1" applyNumberFormat="1">
      <alignment horizontal="center" vertical="center"/>
    </xf>
    <xf borderId="3" fillId="28" fontId="184" numFmtId="164" xfId="0" applyAlignment="1" applyBorder="1" applyFont="1" applyNumberFormat="1">
      <alignment horizontal="left" vertical="center"/>
    </xf>
    <xf borderId="3" fillId="28" fontId="184" numFmtId="1" xfId="0" applyAlignment="1" applyBorder="1" applyFont="1" applyNumberFormat="1">
      <alignment horizontal="center" vertical="center"/>
    </xf>
    <xf borderId="3" fillId="27" fontId="184" numFmtId="164" xfId="0" applyAlignment="1" applyBorder="1" applyFont="1" applyNumberFormat="1">
      <alignment horizontal="left" vertical="center"/>
    </xf>
    <xf borderId="3" fillId="27" fontId="184" numFmtId="1" xfId="0" applyAlignment="1" applyBorder="1" applyFont="1" applyNumberFormat="1">
      <alignment horizontal="center" vertical="center"/>
    </xf>
    <xf borderId="3" fillId="27" fontId="184" numFmtId="10" xfId="0" applyAlignment="1" applyBorder="1" applyFont="1" applyNumberFormat="1">
      <alignment horizontal="left" vertical="center"/>
    </xf>
    <xf borderId="3" fillId="27" fontId="184" numFmtId="3" xfId="0" applyAlignment="1" applyBorder="1" applyFont="1" applyNumberFormat="1">
      <alignment horizontal="left" vertical="center"/>
    </xf>
    <xf borderId="3" fillId="28" fontId="184" numFmtId="3" xfId="0" applyAlignment="1" applyBorder="1" applyFont="1" applyNumberFormat="1">
      <alignment horizontal="left" vertical="center"/>
    </xf>
    <xf borderId="3" fillId="27" fontId="184" numFmtId="165" xfId="0" applyAlignment="1" applyBorder="1" applyFont="1" applyNumberFormat="1">
      <alignment horizontal="left" vertical="center"/>
    </xf>
    <xf borderId="3" fillId="28" fontId="184" numFmtId="165" xfId="0" applyAlignment="1" applyBorder="1" applyFont="1" applyNumberFormat="1">
      <alignment horizontal="left" vertical="center"/>
    </xf>
    <xf borderId="3" fillId="27" fontId="184" numFmtId="49" xfId="0" applyAlignment="1" applyBorder="1" applyFont="1" applyNumberFormat="1">
      <alignment horizontal="left" vertical="center"/>
    </xf>
    <xf borderId="3" fillId="27" fontId="184" numFmtId="3" xfId="0" applyAlignment="1" applyBorder="1" applyFont="1" applyNumberFormat="1">
      <alignment horizontal="center" vertical="center"/>
    </xf>
    <xf borderId="3" fillId="27" fontId="184" numFmtId="167" xfId="0" applyAlignment="1" applyBorder="1" applyFont="1" applyNumberFormat="1">
      <alignment horizontal="center" shrinkToFit="0" vertical="center" wrapText="1"/>
    </xf>
    <xf borderId="1" fillId="32" fontId="223" numFmtId="0" xfId="0" applyAlignment="1" applyBorder="1" applyFont="1">
      <alignment horizontal="left" shrinkToFit="0" vertical="center" wrapText="1"/>
    </xf>
    <xf borderId="1" fillId="14" fontId="224" numFmtId="0" xfId="0" applyAlignment="1" applyBorder="1" applyFont="1">
      <alignment horizontal="left" shrinkToFit="0" vertical="center" wrapText="1"/>
    </xf>
    <xf borderId="1" fillId="30" fontId="20" numFmtId="0" xfId="0" applyAlignment="1" applyBorder="1" applyFont="1">
      <alignment horizontal="center" shrinkToFit="0" vertical="center" wrapText="1"/>
    </xf>
    <xf borderId="1" fillId="13" fontId="20" numFmtId="0" xfId="0" applyAlignment="1" applyBorder="1" applyFont="1">
      <alignment horizontal="center" shrinkToFit="0" vertical="center" wrapText="1"/>
    </xf>
    <xf borderId="1" fillId="57" fontId="20" numFmtId="0" xfId="0" applyAlignment="1" applyBorder="1" applyFont="1">
      <alignment horizontal="center" shrinkToFit="0" vertical="center" wrapText="1"/>
    </xf>
    <xf borderId="1" fillId="56" fontId="29" numFmtId="0" xfId="0" applyAlignment="1" applyBorder="1" applyFont="1">
      <alignment horizontal="left" shrinkToFit="0" vertical="center" wrapText="1"/>
    </xf>
    <xf borderId="1" fillId="60" fontId="30" numFmtId="0" xfId="0" applyAlignment="1" applyBorder="1" applyFont="1">
      <alignment horizontal="left" shrinkToFit="0" vertical="center" wrapText="1"/>
    </xf>
    <xf borderId="1" fillId="61" fontId="30" numFmtId="0" xfId="0" applyAlignment="1" applyBorder="1" applyFont="1">
      <alignment horizontal="left" shrinkToFit="0" vertical="center" wrapText="1"/>
    </xf>
    <xf borderId="1" fillId="62" fontId="30" numFmtId="0" xfId="0" applyAlignment="1" applyBorder="1" applyFont="1">
      <alignment horizontal="left" shrinkToFit="0" vertical="center" wrapText="1"/>
    </xf>
    <xf borderId="1" fillId="66" fontId="30" numFmtId="0" xfId="0" applyAlignment="1" applyBorder="1" applyFill="1" applyFont="1">
      <alignment horizontal="left" shrinkToFit="0" vertical="center" wrapText="1"/>
    </xf>
    <xf borderId="1" fillId="27" fontId="29" numFmtId="0" xfId="0" applyAlignment="1" applyBorder="1" applyFont="1">
      <alignment horizontal="left" shrinkToFit="0" vertical="center" wrapText="1"/>
    </xf>
    <xf borderId="1" fillId="30" fontId="21" numFmtId="0" xfId="0" applyAlignment="1" applyBorder="1" applyFont="1">
      <alignment horizontal="left" shrinkToFit="0" vertical="center" wrapText="1"/>
    </xf>
    <xf borderId="3" fillId="56" fontId="225" numFmtId="0" xfId="0" applyAlignment="1" applyBorder="1" applyFont="1">
      <alignment horizontal="center" shrinkToFit="0" vertical="center" wrapText="1"/>
    </xf>
    <xf borderId="3" fillId="26" fontId="30" numFmtId="9" xfId="0" applyAlignment="1" applyBorder="1" applyFont="1" applyNumberFormat="1">
      <alignment horizontal="center" shrinkToFit="0" vertical="center" wrapText="1"/>
    </xf>
    <xf borderId="3" fillId="7" fontId="30" numFmtId="0" xfId="0" applyAlignment="1" applyBorder="1" applyFont="1">
      <alignment horizontal="center" shrinkToFit="0" vertical="center" wrapText="1"/>
    </xf>
    <xf borderId="3" fillId="19" fontId="30" numFmtId="0" xfId="0" applyAlignment="1" applyBorder="1" applyFont="1">
      <alignment horizontal="center" shrinkToFit="0" vertical="center" wrapText="1"/>
    </xf>
    <xf borderId="1" fillId="56" fontId="118" numFmtId="0" xfId="0" applyAlignment="1" applyBorder="1" applyFont="1">
      <alignment horizontal="left" shrinkToFit="0" vertical="center" wrapText="1"/>
    </xf>
    <xf borderId="3" fillId="27" fontId="225" numFmtId="0" xfId="0" applyAlignment="1" applyBorder="1" applyFont="1">
      <alignment horizontal="center" shrinkToFit="0" vertical="center" wrapText="1"/>
    </xf>
    <xf borderId="1" fillId="27" fontId="118" numFmtId="0" xfId="0" applyAlignment="1" applyBorder="1" applyFont="1">
      <alignment horizontal="left" shrinkToFit="0" vertical="center" wrapText="1"/>
    </xf>
    <xf borderId="1" fillId="34" fontId="20" numFmtId="0" xfId="0" applyAlignment="1" applyBorder="1" applyFont="1">
      <alignment horizontal="left" shrinkToFit="0" vertical="center" wrapText="1"/>
    </xf>
    <xf borderId="3" fillId="34" fontId="20" numFmtId="0" xfId="0" applyAlignment="1" applyBorder="1" applyFont="1">
      <alignment horizontal="center" shrinkToFit="0" vertical="center" wrapText="1"/>
    </xf>
    <xf borderId="1" fillId="34" fontId="226" numFmtId="0" xfId="0" applyAlignment="1" applyBorder="1" applyFont="1">
      <alignment horizontal="center" shrinkToFit="0" vertical="center" wrapText="1"/>
    </xf>
    <xf borderId="1" fillId="32" fontId="20" numFmtId="0" xfId="0" applyAlignment="1" applyBorder="1" applyFont="1">
      <alignment horizontal="left" shrinkToFit="0" vertical="center" wrapText="1"/>
    </xf>
    <xf borderId="1" fillId="20" fontId="227" numFmtId="0" xfId="0" applyAlignment="1" applyBorder="1" applyFont="1">
      <alignment horizontal="left" shrinkToFit="0" vertical="center" wrapText="1"/>
    </xf>
    <xf borderId="25" fillId="34" fontId="126" numFmtId="0" xfId="0" applyAlignment="1" applyBorder="1" applyFont="1">
      <alignment horizontal="center" shrinkToFit="0" vertical="center" wrapText="1"/>
    </xf>
    <xf borderId="4" fillId="31" fontId="41" numFmtId="0" xfId="0" applyAlignment="1" applyBorder="1" applyFont="1">
      <alignment horizontal="center" vertical="center"/>
    </xf>
    <xf borderId="4" fillId="31" fontId="157" numFmtId="0" xfId="0" applyAlignment="1" applyBorder="1" applyFont="1">
      <alignment horizontal="left" shrinkToFit="0" vertical="center" wrapText="1"/>
    </xf>
    <xf borderId="4" fillId="31" fontId="228" numFmtId="0" xfId="0" applyAlignment="1" applyBorder="1" applyFont="1">
      <alignment horizontal="center" vertical="center"/>
    </xf>
    <xf borderId="1" fillId="31" fontId="229" numFmtId="0" xfId="0" applyAlignment="1" applyBorder="1" applyFont="1">
      <alignment horizontal="left" shrinkToFit="0" vertical="center" wrapText="1"/>
    </xf>
    <xf borderId="4" fillId="27" fontId="41" numFmtId="0" xfId="0" applyAlignment="1" applyBorder="1" applyFont="1">
      <alignment horizontal="center" vertical="center"/>
    </xf>
    <xf borderId="4" fillId="27" fontId="157" numFmtId="0" xfId="0" applyAlignment="1" applyBorder="1" applyFont="1">
      <alignment horizontal="left" shrinkToFit="0" vertical="center" wrapText="1"/>
    </xf>
    <xf borderId="4" fillId="27" fontId="228" numFmtId="0" xfId="0" applyAlignment="1" applyBorder="1" applyFont="1">
      <alignment horizontal="center" vertical="center"/>
    </xf>
    <xf borderId="1" fillId="27" fontId="229" numFmtId="0" xfId="0" applyAlignment="1" applyBorder="1" applyFont="1">
      <alignment horizontal="left" shrinkToFit="0" vertical="center" wrapText="1"/>
    </xf>
    <xf borderId="4" fillId="31" fontId="124" numFmtId="0" xfId="0" applyAlignment="1" applyBorder="1" applyFont="1">
      <alignment horizontal="center" vertical="center"/>
    </xf>
    <xf borderId="4" fillId="31" fontId="230" numFmtId="0" xfId="0" applyAlignment="1" applyBorder="1" applyFont="1">
      <alignment horizontal="center" vertical="center"/>
    </xf>
    <xf borderId="4" fillId="27" fontId="230" numFmtId="0" xfId="0" applyAlignment="1" applyBorder="1" applyFont="1">
      <alignment horizontal="center" vertical="center"/>
    </xf>
    <xf borderId="3" fillId="61" fontId="29" numFmtId="0" xfId="0" applyAlignment="1" applyBorder="1" applyFont="1">
      <alignment horizontal="left" shrinkToFit="0" vertical="center" wrapText="1"/>
    </xf>
    <xf borderId="3" fillId="61" fontId="30" numFmtId="0" xfId="0" applyAlignment="1" applyBorder="1" applyFont="1">
      <alignment horizontal="left" shrinkToFit="0" vertical="center" wrapText="1"/>
    </xf>
    <xf borderId="3" fillId="61" fontId="29" numFmtId="0" xfId="0" applyAlignment="1" applyBorder="1" applyFont="1">
      <alignment horizontal="center" shrinkToFit="0" vertical="center" wrapText="1"/>
    </xf>
    <xf borderId="3" fillId="7" fontId="118" numFmtId="0" xfId="0" applyAlignment="1" applyBorder="1" applyFont="1">
      <alignment horizontal="left" shrinkToFit="0" vertical="center" wrapText="1"/>
    </xf>
    <xf borderId="3" fillId="22" fontId="30" numFmtId="0" xfId="0" applyAlignment="1" applyBorder="1" applyFont="1">
      <alignment horizontal="center" shrinkToFit="0" vertical="center" wrapText="1"/>
    </xf>
    <xf borderId="3" fillId="26" fontId="30" numFmtId="0" xfId="0" applyAlignment="1" applyBorder="1" applyFont="1">
      <alignment horizontal="center" shrinkToFit="0" vertical="center" wrapText="1"/>
    </xf>
    <xf borderId="3" fillId="62" fontId="29" numFmtId="0" xfId="0" applyAlignment="1" applyBorder="1" applyFont="1">
      <alignment horizontal="left" shrinkToFit="0" vertical="center" wrapText="1"/>
    </xf>
    <xf borderId="3" fillId="62" fontId="30" numFmtId="0" xfId="0" applyAlignment="1" applyBorder="1" applyFont="1">
      <alignment horizontal="left" shrinkToFit="0" vertical="center" wrapText="1"/>
    </xf>
    <xf borderId="3" fillId="62" fontId="29" numFmtId="0" xfId="0" applyAlignment="1" applyBorder="1" applyFont="1">
      <alignment horizontal="center" shrinkToFit="0" vertical="center" wrapText="1"/>
    </xf>
    <xf borderId="3" fillId="66" fontId="29" numFmtId="0" xfId="0" applyAlignment="1" applyBorder="1" applyFont="1">
      <alignment horizontal="left" shrinkToFit="0" vertical="center" wrapText="1"/>
    </xf>
    <xf borderId="3" fillId="66" fontId="30" numFmtId="0" xfId="0" applyAlignment="1" applyBorder="1" applyFont="1">
      <alignment horizontal="left" shrinkToFit="0" vertical="center" wrapText="1"/>
    </xf>
    <xf borderId="3" fillId="66" fontId="29" numFmtId="0" xfId="0" applyAlignment="1" applyBorder="1" applyFont="1">
      <alignment horizontal="center" shrinkToFit="0" vertical="center" wrapText="1"/>
    </xf>
    <xf borderId="1" fillId="27" fontId="30" numFmtId="0" xfId="0" applyAlignment="1" applyBorder="1" applyFont="1">
      <alignment horizontal="left" shrinkToFit="0" vertical="center" wrapText="1"/>
    </xf>
    <xf borderId="1" fillId="56" fontId="30" numFmtId="0" xfId="0" applyAlignment="1" applyBorder="1" applyFont="1">
      <alignment horizontal="left" shrinkToFit="0" vertical="center" wrapText="1"/>
    </xf>
    <xf borderId="0" fillId="0" fontId="231" numFmtId="0" xfId="0" applyAlignment="1" applyFont="1">
      <alignment horizontal="left" shrinkToFit="0" vertical="center" wrapText="1"/>
    </xf>
    <xf borderId="1" fillId="14" fontId="1" numFmtId="0" xfId="0" applyAlignment="1" applyBorder="1" applyFont="1">
      <alignment horizontal="left" vertical="center"/>
    </xf>
    <xf borderId="1" fillId="36" fontId="4" numFmtId="0" xfId="0" applyAlignment="1" applyBorder="1" applyFont="1">
      <alignment horizontal="left" vertical="center"/>
    </xf>
    <xf borderId="3" fillId="15" fontId="76" numFmtId="0" xfId="0" applyAlignment="1" applyBorder="1" applyFont="1">
      <alignment horizontal="left" vertical="center"/>
    </xf>
    <xf borderId="3" fillId="7" fontId="75" numFmtId="0" xfId="0" applyAlignment="1" applyBorder="1" applyFont="1">
      <alignment horizontal="left" vertical="center"/>
    </xf>
    <xf borderId="3" fillId="17" fontId="39" numFmtId="0" xfId="0" applyBorder="1" applyFont="1"/>
    <xf borderId="3" fillId="17" fontId="39" numFmtId="164" xfId="0" applyBorder="1" applyFont="1" applyNumberFormat="1"/>
    <xf borderId="3" fillId="16" fontId="39" numFmtId="0" xfId="0" applyBorder="1" applyFont="1"/>
    <xf borderId="3" fillId="16" fontId="39" numFmtId="164" xfId="0" applyBorder="1" applyFont="1" applyNumberFormat="1"/>
    <xf borderId="3" fillId="15" fontId="39" numFmtId="0" xfId="0" applyBorder="1" applyFont="1"/>
    <xf borderId="3" fillId="15" fontId="39" numFmtId="164" xfId="0" applyBorder="1" applyFont="1" applyNumberFormat="1"/>
    <xf borderId="3" fillId="19" fontId="75" numFmtId="0" xfId="0" applyAlignment="1" applyBorder="1" applyFont="1">
      <alignment horizontal="left" shrinkToFit="0" vertical="center" wrapText="1"/>
    </xf>
    <xf borderId="3" fillId="19" fontId="76" numFmtId="0" xfId="0" applyAlignment="1" applyBorder="1" applyFont="1">
      <alignment horizontal="left" shrinkToFit="0" vertical="center" wrapText="1"/>
    </xf>
    <xf borderId="1" fillId="24" fontId="4" numFmtId="0" xfId="0" applyAlignment="1" applyBorder="1" applyFont="1">
      <alignment horizontal="left" vertical="center"/>
    </xf>
    <xf borderId="3" fillId="29" fontId="189" numFmtId="0" xfId="0" applyBorder="1" applyFont="1"/>
    <xf borderId="3" fillId="29" fontId="110" numFmtId="0" xfId="0" applyBorder="1" applyFont="1"/>
    <xf borderId="3" fillId="20" fontId="232" numFmtId="0" xfId="0" applyBorder="1" applyFont="1"/>
    <xf borderId="1" fillId="14" fontId="4" numFmtId="0" xfId="0" applyAlignment="1" applyBorder="1" applyFont="1">
      <alignment horizontal="left" vertical="center"/>
    </xf>
    <xf borderId="1" fillId="15" fontId="39" numFmtId="0" xfId="0" applyBorder="1" applyFont="1"/>
    <xf borderId="1" fillId="15" fontId="76" numFmtId="0" xfId="0" applyAlignment="1" applyBorder="1" applyFont="1">
      <alignment horizontal="left" shrinkToFit="0" vertical="center" wrapText="1"/>
    </xf>
    <xf borderId="1" fillId="16" fontId="39" numFmtId="0" xfId="0" applyBorder="1" applyFont="1"/>
    <xf borderId="1" fillId="16" fontId="76" numFmtId="0" xfId="0" applyAlignment="1" applyBorder="1" applyFont="1">
      <alignment horizontal="left" shrinkToFit="0" vertical="center" wrapText="1"/>
    </xf>
    <xf borderId="1" fillId="36" fontId="233" numFmtId="0" xfId="0" applyAlignment="1" applyBorder="1" applyFont="1">
      <alignment horizontal="left" vertical="center"/>
    </xf>
    <xf borderId="1" fillId="36" fontId="21" numFmtId="0" xfId="0" applyAlignment="1" applyBorder="1" applyFont="1">
      <alignment horizontal="center" vertical="center"/>
    </xf>
    <xf borderId="3" fillId="36" fontId="21" numFmtId="0" xfId="0" applyAlignment="1" applyBorder="1" applyFont="1">
      <alignment horizontal="center" vertical="center"/>
    </xf>
    <xf borderId="1" fillId="53" fontId="39" numFmtId="0" xfId="0" applyBorder="1" applyFont="1"/>
    <xf borderId="3" fillId="53" fontId="39" numFmtId="0" xfId="0" applyBorder="1" applyFont="1"/>
    <xf borderId="1" fillId="24" fontId="109" numFmtId="0" xfId="0" applyAlignment="1" applyBorder="1" applyFont="1">
      <alignment horizontal="left" vertical="center"/>
    </xf>
    <xf borderId="1" fillId="16" fontId="17" numFmtId="0" xfId="0" applyAlignment="1" applyBorder="1" applyFont="1">
      <alignment horizontal="left" shrinkToFit="0" vertical="center" wrapText="1"/>
    </xf>
    <xf borderId="3" fillId="16" fontId="39" numFmtId="167" xfId="0" applyBorder="1" applyFont="1" applyNumberFormat="1"/>
    <xf borderId="3" fillId="53" fontId="39" numFmtId="167" xfId="0" applyBorder="1" applyFont="1" applyNumberFormat="1"/>
    <xf borderId="0" fillId="0" fontId="39" numFmtId="167" xfId="0" applyFont="1" applyNumberFormat="1"/>
    <xf borderId="1" fillId="14" fontId="20" numFmtId="0" xfId="0" applyBorder="1" applyFont="1"/>
    <xf borderId="1" fillId="20" fontId="34" numFmtId="0" xfId="0" applyAlignment="1" applyBorder="1" applyFont="1">
      <alignment horizontal="center" vertical="center"/>
    </xf>
    <xf borderId="3" fillId="20" fontId="113" numFmtId="0" xfId="0" applyAlignment="1" applyBorder="1" applyFont="1">
      <alignment horizontal="center" vertical="center"/>
    </xf>
    <xf borderId="1" fillId="20" fontId="113" numFmtId="0" xfId="0" applyAlignment="1" applyBorder="1" applyFont="1">
      <alignment horizontal="center" vertical="center"/>
    </xf>
    <xf borderId="1" fillId="8" fontId="114" numFmtId="0" xfId="0" applyBorder="1" applyFont="1"/>
    <xf borderId="0" fillId="0" fontId="39" numFmtId="0" xfId="0" applyFont="1"/>
    <xf borderId="1" fillId="54" fontId="234" numFmtId="0" xfId="0" applyAlignment="1" applyBorder="1" applyFont="1">
      <alignment horizontal="left" vertical="center"/>
    </xf>
    <xf borderId="1" fillId="54" fontId="21" numFmtId="0" xfId="0" applyAlignment="1" applyBorder="1" applyFont="1">
      <alignment horizontal="center" vertical="center"/>
    </xf>
    <xf borderId="3" fillId="67" fontId="39" numFmtId="0" xfId="0" applyBorder="1" applyFill="1" applyFont="1"/>
    <xf borderId="3" fillId="67" fontId="76" numFmtId="0" xfId="0" applyAlignment="1" applyBorder="1" applyFont="1">
      <alignment horizontal="left" shrinkToFit="0" vertical="center" wrapText="1"/>
    </xf>
    <xf borderId="1" fillId="19" fontId="39" numFmtId="0" xfId="0" applyBorder="1" applyFont="1"/>
    <xf borderId="1" fillId="67" fontId="39" numFmtId="0" xfId="0" applyBorder="1" applyFont="1"/>
    <xf borderId="1" fillId="67" fontId="76" numFmtId="0" xfId="0" applyAlignment="1" applyBorder="1" applyFont="1">
      <alignment horizontal="left" shrinkToFit="0" vertical="center" wrapText="1"/>
    </xf>
    <xf borderId="1" fillId="19" fontId="76" numFmtId="0" xfId="0" applyAlignment="1" applyBorder="1" applyFont="1">
      <alignment horizontal="left" shrinkToFit="0" vertical="center" wrapText="1"/>
    </xf>
    <xf borderId="3" fillId="54" fontId="4" numFmtId="0" xfId="0" applyAlignment="1" applyBorder="1" applyFont="1">
      <alignment horizontal="left" vertical="center"/>
    </xf>
    <xf borderId="3" fillId="26" fontId="39" numFmtId="0" xfId="0" applyBorder="1" applyFont="1"/>
    <xf borderId="3" fillId="26" fontId="39" numFmtId="176" xfId="0" applyBorder="1" applyFont="1" applyNumberFormat="1"/>
    <xf borderId="3" fillId="26" fontId="76" numFmtId="0" xfId="0" applyAlignment="1" applyBorder="1" applyFont="1">
      <alignment horizontal="left" shrinkToFit="0" vertical="center" wrapText="1"/>
    </xf>
    <xf borderId="3" fillId="19" fontId="39" numFmtId="0" xfId="0" applyBorder="1" applyFont="1"/>
    <xf borderId="3" fillId="19" fontId="39" numFmtId="176" xfId="0" applyBorder="1" applyFont="1" applyNumberFormat="1"/>
    <xf borderId="3" fillId="26" fontId="39" numFmtId="165" xfId="0" applyBorder="1" applyFont="1" applyNumberFormat="1"/>
    <xf borderId="1" fillId="14" fontId="21" numFmtId="0" xfId="0" applyBorder="1" applyFont="1"/>
    <xf borderId="1" fillId="15" fontId="55" numFmtId="0" xfId="0" applyAlignment="1" applyBorder="1" applyFont="1">
      <alignment horizontal="left" shrinkToFit="0" vertical="center" wrapText="1"/>
    </xf>
    <xf borderId="3" fillId="7" fontId="29" numFmtId="0" xfId="0" applyAlignment="1" applyBorder="1" applyFont="1">
      <alignment horizontal="left" shrinkToFit="0" vertical="center" wrapText="1"/>
    </xf>
    <xf borderId="3" fillId="7" fontId="235" numFmtId="0" xfId="0" applyAlignment="1" applyBorder="1" applyFont="1">
      <alignment horizontal="left" shrinkToFit="0" vertical="center" wrapText="1"/>
    </xf>
    <xf borderId="1" fillId="7" fontId="236" numFmtId="0" xfId="0" applyAlignment="1" applyBorder="1" applyFont="1">
      <alignment horizontal="left" shrinkToFit="0" vertical="center" wrapText="1"/>
    </xf>
    <xf borderId="3" fillId="60" fontId="29" numFmtId="0" xfId="0" applyAlignment="1" applyBorder="1" applyFont="1">
      <alignment horizontal="left" shrinkToFit="0" vertical="center" wrapText="1"/>
    </xf>
    <xf borderId="3" fillId="60" fontId="237" numFmtId="0" xfId="0" applyAlignment="1" applyBorder="1" applyFont="1">
      <alignment horizontal="left" shrinkToFit="0" vertical="center" wrapText="1"/>
    </xf>
    <xf borderId="1" fillId="60" fontId="236" numFmtId="0" xfId="0" applyAlignment="1" applyBorder="1" applyFont="1">
      <alignment horizontal="left" shrinkToFit="0" vertical="center" wrapText="1"/>
    </xf>
    <xf borderId="3" fillId="19" fontId="75" numFmtId="0" xfId="0" applyAlignment="1" applyBorder="1" applyFont="1">
      <alignment horizontal="left" vertical="center"/>
    </xf>
    <xf borderId="3" fillId="15" fontId="39" numFmtId="10" xfId="0" applyBorder="1" applyFont="1" applyNumberFormat="1"/>
    <xf borderId="1" fillId="15" fontId="76" numFmtId="0" xfId="0" applyAlignment="1" applyBorder="1" applyFont="1">
      <alignment horizontal="left" vertical="center"/>
    </xf>
    <xf borderId="3" fillId="16" fontId="39" numFmtId="10" xfId="0" applyBorder="1" applyFont="1" applyNumberFormat="1"/>
    <xf borderId="1" fillId="16" fontId="76" numFmtId="0" xfId="0" applyAlignment="1" applyBorder="1" applyFont="1">
      <alignment horizontal="left" vertical="center"/>
    </xf>
    <xf borderId="1" fillId="36" fontId="39" numFmtId="0" xfId="0" applyBorder="1" applyFont="1"/>
    <xf borderId="3" fillId="36" fontId="39" numFmtId="164" xfId="0" applyBorder="1" applyFont="1" applyNumberFormat="1"/>
    <xf borderId="1" fillId="19" fontId="39" numFmtId="164" xfId="0" applyBorder="1" applyFont="1" applyNumberFormat="1"/>
    <xf borderId="0" fillId="0" fontId="34" numFmtId="0" xfId="0" applyFont="1"/>
    <xf borderId="3" fillId="17" fontId="111" numFmtId="0" xfId="0" applyAlignment="1" applyBorder="1" applyFont="1">
      <alignment horizontal="left" shrinkToFit="0" vertical="center" wrapText="1"/>
    </xf>
    <xf borderId="0" fillId="0" fontId="39" numFmtId="164" xfId="0" applyFont="1" applyNumberFormat="1"/>
    <xf borderId="1" fillId="54" fontId="109" numFmtId="0" xfId="0" applyAlignment="1" applyBorder="1" applyFont="1">
      <alignment horizontal="left" vertical="center"/>
    </xf>
    <xf borderId="0" fillId="0" fontId="238" numFmtId="0" xfId="0" applyAlignment="1" applyFont="1">
      <alignment horizontal="left" shrinkToFit="0" vertical="center" wrapText="1"/>
    </xf>
    <xf borderId="1" fillId="14" fontId="21" numFmtId="0" xfId="0" applyAlignment="1" applyBorder="1" applyFont="1">
      <alignment horizontal="center" vertical="center"/>
    </xf>
    <xf borderId="3" fillId="15" fontId="34" numFmtId="0" xfId="0" applyAlignment="1" applyBorder="1" applyFont="1">
      <alignment horizontal="center" vertical="center"/>
    </xf>
    <xf borderId="3" fillId="15" fontId="113" numFmtId="0" xfId="0" applyAlignment="1" applyBorder="1" applyFont="1">
      <alignment horizontal="center" vertical="center"/>
    </xf>
    <xf borderId="3" fillId="16" fontId="34" numFmtId="0" xfId="0" applyAlignment="1" applyBorder="1" applyFont="1">
      <alignment horizontal="center" vertical="center"/>
    </xf>
    <xf borderId="3" fillId="16" fontId="113" numFmtId="0" xfId="0" applyAlignment="1" applyBorder="1" applyFont="1">
      <alignment horizontal="center" vertical="center"/>
    </xf>
    <xf borderId="3" fillId="54" fontId="234" numFmtId="0" xfId="0" applyAlignment="1" applyBorder="1" applyFont="1">
      <alignment horizontal="left" vertical="center"/>
    </xf>
    <xf borderId="5" fillId="7" fontId="98" numFmtId="49" xfId="0" applyAlignment="1" applyBorder="1" applyFont="1" applyNumberFormat="1">
      <alignment horizontal="right" vertical="center"/>
    </xf>
    <xf borderId="5" fillId="3" fontId="18" numFmtId="0" xfId="0" applyAlignment="1" applyBorder="1" applyFont="1">
      <alignment horizontal="left" shrinkToFit="0" vertical="center" wrapText="1"/>
    </xf>
    <xf borderId="5" fillId="3" fontId="39" numFmtId="0" xfId="0" applyBorder="1" applyFont="1"/>
    <xf borderId="5" fillId="3" fontId="74" numFmtId="0" xfId="0" applyAlignment="1" applyBorder="1" applyFont="1">
      <alignment horizontal="center" shrinkToFit="0" vertical="center" wrapText="1"/>
    </xf>
    <xf borderId="5" fillId="68" fontId="94" numFmtId="0" xfId="0" applyAlignment="1" applyBorder="1" applyFill="1" applyFont="1">
      <alignment horizontal="left" shrinkToFit="0" vertical="center" wrapText="1"/>
    </xf>
    <xf borderId="5" fillId="68" fontId="100" numFmtId="0" xfId="0" applyAlignment="1" applyBorder="1" applyFont="1">
      <alignment horizontal="center" shrinkToFit="0" vertical="center" wrapText="1"/>
    </xf>
    <xf borderId="5" fillId="52" fontId="104" numFmtId="164" xfId="0" applyAlignment="1" applyBorder="1" applyFont="1" applyNumberFormat="1">
      <alignment horizontal="right" vertical="center"/>
    </xf>
    <xf borderId="5" fillId="36" fontId="100" numFmtId="0" xfId="0" applyAlignment="1" applyBorder="1" applyFont="1">
      <alignment horizontal="center" shrinkToFit="0" vertical="center" wrapText="1"/>
    </xf>
    <xf borderId="5" fillId="36" fontId="74" numFmtId="164" xfId="0" applyAlignment="1" applyBorder="1" applyFont="1" applyNumberFormat="1">
      <alignment horizontal="right" vertical="center"/>
    </xf>
    <xf borderId="5" fillId="52" fontId="239" numFmtId="0" xfId="0" applyAlignment="1" applyBorder="1" applyFont="1">
      <alignment horizontal="left" shrinkToFit="0" vertical="center" wrapText="1"/>
    </xf>
    <xf borderId="0" fillId="0" fontId="1" numFmtId="0" xfId="0" applyAlignment="1" applyFont="1">
      <alignment horizontal="left" vertical="center"/>
    </xf>
    <xf borderId="3" fillId="27" fontId="240" numFmtId="0" xfId="0" applyAlignment="1" applyBorder="1" applyFont="1">
      <alignment horizontal="left" vertical="center"/>
    </xf>
    <xf borderId="0" fillId="0" fontId="241" numFmtId="0" xfId="0" applyAlignment="1" applyFont="1">
      <alignment horizontal="left" vertical="center"/>
    </xf>
    <xf borderId="3" fillId="54" fontId="177" numFmtId="0" xfId="0" applyBorder="1" applyFont="1"/>
    <xf borderId="3" fillId="54" fontId="51" numFmtId="0" xfId="0" applyAlignment="1" applyBorder="1" applyFont="1">
      <alignment horizontal="center" shrinkToFit="0" vertical="center" wrapText="1"/>
    </xf>
    <xf borderId="3" fillId="27" fontId="184" numFmtId="0" xfId="0" applyAlignment="1" applyBorder="1" applyFont="1">
      <alignment horizontal="left" shrinkToFit="0" vertical="center" wrapText="1"/>
    </xf>
    <xf borderId="3" fillId="28" fontId="184" numFmtId="0" xfId="0" applyAlignment="1" applyBorder="1" applyFont="1">
      <alignment horizontal="left" shrinkToFit="0" vertical="center" wrapText="1"/>
    </xf>
    <xf borderId="3" fillId="54" fontId="21" numFmtId="0" xfId="0" applyAlignment="1" applyBorder="1" applyFont="1">
      <alignment horizontal="left" vertical="center"/>
    </xf>
    <xf borderId="3" fillId="54" fontId="21" numFmtId="164" xfId="0" applyAlignment="1" applyBorder="1" applyFont="1" applyNumberFormat="1">
      <alignment horizontal="center" vertical="center"/>
    </xf>
    <xf borderId="3" fillId="54" fontId="21" numFmtId="165" xfId="0" applyAlignment="1" applyBorder="1" applyFont="1" applyNumberFormat="1">
      <alignment horizontal="center" vertical="center"/>
    </xf>
    <xf borderId="1" fillId="14" fontId="241" numFmtId="0" xfId="0" applyAlignment="1" applyBorder="1" applyFont="1">
      <alignment horizontal="left" vertical="center"/>
    </xf>
    <xf borderId="3" fillId="28" fontId="184" numFmtId="0" xfId="0" applyAlignment="1" applyBorder="1" applyFont="1">
      <alignment horizontal="center" shrinkToFit="0" vertical="center" wrapText="1"/>
    </xf>
    <xf borderId="3" fillId="15" fontId="34" numFmtId="0" xfId="0" applyBorder="1" applyFont="1"/>
    <xf borderId="3" fillId="15" fontId="113" numFmtId="0" xfId="0" applyBorder="1" applyFont="1"/>
    <xf borderId="3" fillId="15" fontId="242" numFmtId="0" xfId="0" applyBorder="1" applyFont="1"/>
    <xf borderId="3" fillId="29" fontId="34" numFmtId="0" xfId="0" applyBorder="1" applyFont="1"/>
    <xf borderId="3" fillId="29" fontId="113" numFmtId="0" xfId="0" applyBorder="1" applyFont="1"/>
    <xf borderId="3" fillId="29" fontId="189" numFmtId="0" xfId="0" applyAlignment="1" applyBorder="1" applyFont="1">
      <alignment horizontal="center" vertical="center"/>
    </xf>
    <xf borderId="3" fillId="29" fontId="242" numFmtId="0" xfId="0" applyBorder="1" applyFont="1"/>
    <xf borderId="1" fillId="36" fontId="109" numFmtId="0" xfId="0" applyAlignment="1" applyBorder="1" applyFont="1">
      <alignment horizontal="left" vertical="center"/>
    </xf>
    <xf borderId="1" fillId="18" fontId="243" numFmtId="0" xfId="0" applyAlignment="1" applyBorder="1" applyFont="1">
      <alignment horizontal="left" shrinkToFit="0" vertical="center" wrapText="1"/>
    </xf>
    <xf borderId="0" fillId="0" fontId="4" numFmtId="0" xfId="0" applyAlignment="1" applyFont="1">
      <alignment horizontal="left" vertical="center"/>
    </xf>
    <xf borderId="3" fillId="34" fontId="51" numFmtId="0" xfId="0" applyAlignment="1" applyBorder="1" applyFont="1">
      <alignment horizontal="center" vertical="center"/>
    </xf>
    <xf borderId="3" fillId="27" fontId="244" numFmtId="0" xfId="0" applyAlignment="1" applyBorder="1" applyFont="1">
      <alignment horizontal="left" vertical="center"/>
    </xf>
    <xf borderId="3" fillId="27" fontId="245" numFmtId="0" xfId="0" applyAlignment="1" applyBorder="1" applyFont="1">
      <alignment horizontal="right" vertical="center"/>
    </xf>
    <xf borderId="3" fillId="27" fontId="246" numFmtId="0" xfId="0" applyAlignment="1" applyBorder="1" applyFont="1">
      <alignment horizontal="right" vertical="center"/>
    </xf>
    <xf borderId="3" fillId="27" fontId="247" numFmtId="0" xfId="0" applyAlignment="1" applyBorder="1" applyFont="1">
      <alignment horizontal="right" vertical="center"/>
    </xf>
    <xf borderId="3" fillId="23" fontId="244" numFmtId="0" xfId="0" applyAlignment="1" applyBorder="1" applyFont="1">
      <alignment horizontal="left" vertical="center"/>
    </xf>
    <xf borderId="3" fillId="23" fontId="245" numFmtId="164" xfId="0" applyAlignment="1" applyBorder="1" applyFont="1" applyNumberFormat="1">
      <alignment horizontal="right" vertical="center"/>
    </xf>
    <xf borderId="3" fillId="23" fontId="246" numFmtId="0" xfId="0" applyAlignment="1" applyBorder="1" applyFont="1">
      <alignment horizontal="right" vertical="center"/>
    </xf>
    <xf borderId="3" fillId="23" fontId="247" numFmtId="0" xfId="0" applyAlignment="1" applyBorder="1" applyFont="1">
      <alignment horizontal="right" vertical="center"/>
    </xf>
    <xf borderId="3" fillId="27" fontId="245" numFmtId="164" xfId="0" applyAlignment="1" applyBorder="1" applyFont="1" applyNumberFormat="1">
      <alignment horizontal="right" vertical="center"/>
    </xf>
    <xf borderId="3" fillId="23" fontId="245" numFmtId="165" xfId="0" applyAlignment="1" applyBorder="1" applyFont="1" applyNumberFormat="1">
      <alignment horizontal="right" vertical="center"/>
    </xf>
    <xf borderId="3" fillId="27" fontId="245" numFmtId="165" xfId="0" applyAlignment="1" applyBorder="1" applyFont="1" applyNumberFormat="1">
      <alignment horizontal="right" vertical="center"/>
    </xf>
    <xf borderId="3" fillId="23" fontId="245" numFmtId="0" xfId="0" applyAlignment="1" applyBorder="1" applyFont="1">
      <alignment horizontal="right" vertical="center"/>
    </xf>
    <xf borderId="3" fillId="27" fontId="246" numFmtId="164" xfId="0" applyAlignment="1" applyBorder="1" applyFont="1" applyNumberFormat="1">
      <alignment horizontal="right" vertical="center"/>
    </xf>
    <xf borderId="1" fillId="27" fontId="4" numFmtId="0" xfId="0" applyAlignment="1" applyBorder="1" applyFont="1">
      <alignment horizontal="left" vertical="center"/>
    </xf>
    <xf borderId="1" fillId="23" fontId="20" numFmtId="0" xfId="0" applyAlignment="1" applyBorder="1" applyFont="1">
      <alignment horizontal="left" vertical="center"/>
    </xf>
    <xf borderId="3" fillId="27" fontId="23" numFmtId="0" xfId="0" applyAlignment="1" applyBorder="1" applyFont="1">
      <alignment horizontal="left" vertical="center"/>
    </xf>
    <xf borderId="3" fillId="27" fontId="23" numFmtId="0" xfId="0" applyAlignment="1" applyBorder="1" applyFont="1">
      <alignment horizontal="right" vertical="center"/>
    </xf>
    <xf borderId="3" fillId="27" fontId="23" numFmtId="164" xfId="0" applyAlignment="1" applyBorder="1" applyFont="1" applyNumberFormat="1">
      <alignment horizontal="right" vertical="center"/>
    </xf>
    <xf borderId="3" fillId="23" fontId="23" numFmtId="0" xfId="0" applyAlignment="1" applyBorder="1" applyFont="1">
      <alignment horizontal="left" vertical="center"/>
    </xf>
    <xf borderId="3" fillId="23" fontId="23" numFmtId="0" xfId="0" applyAlignment="1" applyBorder="1" applyFont="1">
      <alignment horizontal="right" vertical="center"/>
    </xf>
    <xf borderId="3" fillId="23" fontId="23" numFmtId="164" xfId="0" applyAlignment="1" applyBorder="1" applyFont="1" applyNumberFormat="1">
      <alignment horizontal="right" vertical="center"/>
    </xf>
    <xf borderId="3" fillId="27" fontId="244" numFmtId="0" xfId="0" applyAlignment="1" applyBorder="1" applyFont="1">
      <alignment horizontal="right" vertical="center"/>
    </xf>
    <xf borderId="3" fillId="27" fontId="244" numFmtId="164" xfId="0" applyAlignment="1" applyBorder="1" applyFont="1" applyNumberFormat="1">
      <alignment horizontal="right" vertical="center"/>
    </xf>
    <xf borderId="3" fillId="27" fontId="248" numFmtId="164" xfId="0" applyAlignment="1" applyBorder="1" applyFont="1" applyNumberFormat="1">
      <alignment horizontal="right" vertical="center"/>
    </xf>
    <xf borderId="3" fillId="33" fontId="23" numFmtId="0" xfId="0" applyBorder="1" applyFont="1"/>
    <xf borderId="3" fillId="33" fontId="177" numFmtId="0" xfId="0" applyBorder="1" applyFont="1"/>
    <xf borderId="3" fillId="23" fontId="240" numFmtId="0" xfId="0" applyAlignment="1" applyBorder="1" applyFont="1">
      <alignment horizontal="left" vertical="center"/>
    </xf>
    <xf borderId="3" fillId="27" fontId="23" numFmtId="0" xfId="0" applyBorder="1" applyFont="1"/>
    <xf borderId="3" fillId="8" fontId="23" numFmtId="0" xfId="0" applyBorder="1" applyFont="1"/>
    <xf borderId="3" fillId="8" fontId="23" numFmtId="0" xfId="0" applyAlignment="1" applyBorder="1" applyFont="1">
      <alignment horizontal="left" vertical="center"/>
    </xf>
    <xf borderId="3" fillId="52" fontId="249" numFmtId="0" xfId="0" applyAlignment="1" applyBorder="1" applyFont="1">
      <alignment horizontal="left" vertical="center"/>
    </xf>
    <xf borderId="3" fillId="52" fontId="249" numFmtId="0" xfId="0" applyBorder="1" applyFont="1"/>
    <xf borderId="3" fillId="27" fontId="183" numFmtId="0" xfId="0" applyAlignment="1" applyBorder="1" applyFont="1">
      <alignment horizontal="right" vertical="center"/>
    </xf>
    <xf borderId="3" fillId="27" fontId="184" numFmtId="0" xfId="0" applyAlignment="1" applyBorder="1" applyFont="1">
      <alignment horizontal="right" vertical="center"/>
    </xf>
    <xf borderId="3" fillId="23" fontId="183" numFmtId="0" xfId="0" applyAlignment="1" applyBorder="1" applyFont="1">
      <alignment horizontal="right" vertical="center"/>
    </xf>
    <xf borderId="3" fillId="23" fontId="184" numFmtId="164" xfId="0" applyAlignment="1" applyBorder="1" applyFont="1" applyNumberFormat="1">
      <alignment horizontal="right" vertical="center"/>
    </xf>
    <xf borderId="3" fillId="27" fontId="184" numFmtId="164" xfId="0" applyAlignment="1" applyBorder="1" applyFont="1" applyNumberFormat="1">
      <alignment horizontal="right" vertical="center"/>
    </xf>
    <xf borderId="3" fillId="23" fontId="184" numFmtId="165" xfId="0" applyAlignment="1" applyBorder="1" applyFont="1" applyNumberFormat="1">
      <alignment horizontal="right" vertical="center"/>
    </xf>
    <xf borderId="3" fillId="27" fontId="184" numFmtId="165" xfId="0" applyAlignment="1" applyBorder="1" applyFont="1" applyNumberFormat="1">
      <alignment horizontal="right" vertical="center"/>
    </xf>
    <xf borderId="3" fillId="27" fontId="23" numFmtId="0" xfId="0" applyAlignment="1" applyBorder="1" applyFont="1">
      <alignment horizontal="center" vertical="center"/>
    </xf>
    <xf borderId="3" fillId="27" fontId="23" numFmtId="0" xfId="0" applyAlignment="1" applyBorder="1" applyFont="1">
      <alignment horizontal="left" shrinkToFit="0" vertical="center" wrapText="1"/>
    </xf>
    <xf borderId="3" fillId="27" fontId="23" numFmtId="164" xfId="0" applyAlignment="1" applyBorder="1" applyFont="1" applyNumberFormat="1">
      <alignment horizontal="center" vertical="center"/>
    </xf>
    <xf borderId="3" fillId="27" fontId="23" numFmtId="164" xfId="0" applyAlignment="1" applyBorder="1" applyFont="1" applyNumberFormat="1">
      <alignment horizontal="left" shrinkToFit="0" vertical="center" wrapText="1"/>
    </xf>
    <xf borderId="3" fillId="27" fontId="241" numFmtId="0" xfId="0" applyAlignment="1" applyBorder="1" applyFont="1">
      <alignment horizontal="left" vertical="center"/>
    </xf>
    <xf borderId="3" fillId="23" fontId="184" numFmtId="0" xfId="0" applyAlignment="1" applyBorder="1" applyFont="1">
      <alignment horizontal="right" vertical="center"/>
    </xf>
    <xf borderId="3" fillId="23" fontId="184" numFmtId="164" xfId="0" applyAlignment="1" applyBorder="1" applyFont="1" applyNumberFormat="1">
      <alignment horizontal="right" shrinkToFit="0" vertical="center" wrapText="1"/>
    </xf>
    <xf borderId="3" fillId="23" fontId="184" numFmtId="0" xfId="0" applyAlignment="1" applyBorder="1" applyFont="1">
      <alignment horizontal="right" shrinkToFit="0" vertical="center" wrapText="1"/>
    </xf>
    <xf borderId="3" fillId="23" fontId="21" numFmtId="164" xfId="0" applyAlignment="1" applyBorder="1" applyFont="1" applyNumberFormat="1">
      <alignment horizontal="right" vertical="center"/>
    </xf>
    <xf borderId="3" fillId="23" fontId="21" numFmtId="0" xfId="0" applyAlignment="1" applyBorder="1" applyFont="1">
      <alignment horizontal="right" vertical="center"/>
    </xf>
    <xf borderId="3" fillId="23" fontId="21" numFmtId="0" xfId="0" applyAlignment="1" applyBorder="1" applyFont="1">
      <alignment horizontal="right" shrinkToFit="0" vertical="center" wrapText="1"/>
    </xf>
    <xf borderId="3" fillId="27" fontId="76" numFmtId="164" xfId="0" applyAlignment="1" applyBorder="1" applyFont="1" applyNumberFormat="1">
      <alignment horizontal="right" vertical="center"/>
    </xf>
    <xf borderId="3" fillId="27" fontId="31" numFmtId="0" xfId="0" applyAlignment="1" applyBorder="1" applyFont="1">
      <alignment horizontal="right" vertical="center"/>
    </xf>
    <xf borderId="3" fillId="23" fontId="241" numFmtId="0" xfId="0" applyAlignment="1" applyBorder="1" applyFont="1">
      <alignment horizontal="left" vertical="center"/>
    </xf>
    <xf borderId="3" fillId="27" fontId="218" numFmtId="0" xfId="0" applyAlignment="1" applyBorder="1" applyFont="1">
      <alignment horizontal="right" vertical="center"/>
    </xf>
    <xf borderId="3" fillId="34" fontId="184" numFmtId="164" xfId="0" applyAlignment="1" applyBorder="1" applyFont="1" applyNumberFormat="1">
      <alignment horizontal="center" vertical="center"/>
    </xf>
    <xf borderId="3" fillId="23" fontId="189" numFmtId="0" xfId="0" applyAlignment="1" applyBorder="1" applyFont="1">
      <alignment horizontal="right" vertical="center"/>
    </xf>
    <xf borderId="3" fillId="23" fontId="52" numFmtId="164" xfId="0" applyAlignment="1" applyBorder="1" applyFont="1" applyNumberFormat="1">
      <alignment horizontal="right" vertical="center"/>
    </xf>
    <xf borderId="3" fillId="23" fontId="250" numFmtId="164" xfId="0" applyAlignment="1" applyBorder="1" applyFont="1" applyNumberFormat="1">
      <alignment horizontal="right" vertical="center"/>
    </xf>
    <xf borderId="3" fillId="23" fontId="110" numFmtId="164" xfId="0" applyAlignment="1" applyBorder="1" applyFont="1" applyNumberFormat="1">
      <alignment horizontal="right" vertical="center"/>
    </xf>
    <xf borderId="3" fillId="23" fontId="191" numFmtId="164" xfId="0" applyAlignment="1" applyBorder="1" applyFont="1" applyNumberFormat="1">
      <alignment horizontal="right" vertical="center"/>
    </xf>
    <xf borderId="3" fillId="29" fontId="184" numFmtId="164" xfId="0" applyAlignment="1" applyBorder="1" applyFont="1" applyNumberFormat="1">
      <alignment horizontal="center" vertical="center"/>
    </xf>
    <xf borderId="3" fillId="27" fontId="251" numFmtId="0" xfId="0" applyAlignment="1" applyBorder="1" applyFont="1">
      <alignment horizontal="right" vertical="center"/>
    </xf>
    <xf borderId="3" fillId="27" fontId="252" numFmtId="164" xfId="0" applyAlignment="1" applyBorder="1" applyFont="1" applyNumberFormat="1">
      <alignment horizontal="right" vertical="center"/>
    </xf>
    <xf borderId="3" fillId="27" fontId="250" numFmtId="164" xfId="0" applyAlignment="1" applyBorder="1" applyFont="1" applyNumberFormat="1">
      <alignment horizontal="right" vertical="center"/>
    </xf>
    <xf borderId="3" fillId="27" fontId="190" numFmtId="164" xfId="0" applyAlignment="1" applyBorder="1" applyFont="1" applyNumberFormat="1">
      <alignment horizontal="right" vertical="center"/>
    </xf>
    <xf borderId="3" fillId="27" fontId="253" numFmtId="164" xfId="0" applyAlignment="1" applyBorder="1" applyFont="1" applyNumberFormat="1">
      <alignment horizontal="right" vertical="center"/>
    </xf>
    <xf borderId="3" fillId="23" fontId="204" numFmtId="0" xfId="0" applyAlignment="1" applyBorder="1" applyFont="1">
      <alignment horizontal="right" vertical="center"/>
    </xf>
    <xf borderId="3" fillId="23" fontId="254" numFmtId="164" xfId="0" applyAlignment="1" applyBorder="1" applyFont="1" applyNumberFormat="1">
      <alignment horizontal="right" vertical="center"/>
    </xf>
    <xf borderId="3" fillId="23" fontId="181" numFmtId="164" xfId="0" applyAlignment="1" applyBorder="1" applyFont="1" applyNumberFormat="1">
      <alignment horizontal="right" vertical="center"/>
    </xf>
    <xf borderId="3" fillId="23" fontId="205" numFmtId="164" xfId="0" applyAlignment="1" applyBorder="1" applyFont="1" applyNumberFormat="1">
      <alignment horizontal="right" vertical="center"/>
    </xf>
    <xf borderId="3" fillId="65" fontId="184" numFmtId="164" xfId="0" applyAlignment="1" applyBorder="1" applyFont="1" applyNumberFormat="1">
      <alignment horizontal="center" vertical="center"/>
    </xf>
    <xf borderId="3" fillId="14" fontId="167" numFmtId="0" xfId="0" applyAlignment="1" applyBorder="1" applyFont="1">
      <alignment horizontal="left" shrinkToFit="0" vertical="center" wrapText="1"/>
    </xf>
    <xf borderId="3" fillId="14" fontId="184" numFmtId="164" xfId="0" applyAlignment="1" applyBorder="1" applyFont="1" applyNumberFormat="1">
      <alignment horizontal="center" vertical="center"/>
    </xf>
    <xf borderId="3" fillId="14" fontId="23" numFmtId="0" xfId="0" applyBorder="1" applyFont="1"/>
    <xf borderId="3" fillId="34" fontId="108" numFmtId="0" xfId="0" applyAlignment="1" applyBorder="1" applyFont="1">
      <alignment horizontal="left" shrinkToFit="0" vertical="center" wrapText="1"/>
    </xf>
    <xf borderId="3" fillId="34" fontId="4" numFmtId="164" xfId="0" applyAlignment="1" applyBorder="1" applyFont="1" applyNumberFormat="1">
      <alignment horizontal="center" vertical="center"/>
    </xf>
    <xf borderId="0" fillId="0" fontId="255" numFmtId="0" xfId="0" applyAlignment="1" applyFont="1">
      <alignment horizontal="left" vertical="center"/>
    </xf>
    <xf borderId="0" fillId="0" fontId="256" numFmtId="164" xfId="0" applyAlignment="1" applyFont="1" applyNumberFormat="1">
      <alignment horizontal="center" vertical="center"/>
    </xf>
    <xf borderId="0" fillId="0" fontId="109" numFmtId="164" xfId="0" applyAlignment="1" applyFont="1" applyNumberFormat="1">
      <alignment horizontal="center" vertical="center"/>
    </xf>
    <xf borderId="0" fillId="0" fontId="257" numFmtId="0" xfId="0" applyAlignment="1" applyFont="1">
      <alignment horizontal="left" vertical="center"/>
    </xf>
    <xf borderId="3" fillId="27" fontId="108" numFmtId="0" xfId="0" applyAlignment="1" applyBorder="1" applyFont="1">
      <alignment horizontal="left" shrinkToFit="0" vertical="center" wrapText="1"/>
    </xf>
    <xf borderId="0" fillId="0" fontId="20" numFmtId="0" xfId="0" applyFont="1"/>
    <xf borderId="3" fillId="36" fontId="74" numFmtId="0" xfId="0" applyAlignment="1" applyBorder="1" applyFont="1">
      <alignment horizontal="left" shrinkToFit="0" vertical="center" wrapText="1"/>
    </xf>
    <xf borderId="31" fillId="36" fontId="51" numFmtId="0" xfId="0" applyAlignment="1" applyBorder="1" applyFont="1">
      <alignment horizontal="center" shrinkToFit="0" vertical="center" wrapText="1"/>
    </xf>
    <xf borderId="31" fillId="36" fontId="23" numFmtId="0" xfId="0" applyBorder="1" applyFont="1"/>
    <xf borderId="3" fillId="30" fontId="93" numFmtId="0" xfId="0" applyAlignment="1" applyBorder="1" applyFont="1">
      <alignment horizontal="left" shrinkToFit="0" vertical="center" wrapText="1"/>
    </xf>
    <xf borderId="3" fillId="30" fontId="95" numFmtId="164" xfId="0" applyAlignment="1" applyBorder="1" applyFont="1" applyNumberFormat="1">
      <alignment horizontal="center" shrinkToFit="0" vertical="center" wrapText="1"/>
    </xf>
    <xf borderId="3" fillId="30" fontId="96" numFmtId="0" xfId="0" applyAlignment="1" applyBorder="1" applyFont="1">
      <alignment horizontal="left" shrinkToFit="0" vertical="center" wrapText="1"/>
    </xf>
    <xf borderId="3" fillId="30" fontId="23" numFmtId="0" xfId="0" applyBorder="1" applyFont="1"/>
    <xf borderId="0" fillId="0" fontId="93" numFmtId="0" xfId="0" applyAlignment="1" applyFont="1">
      <alignment horizontal="left" shrinkToFit="0" vertical="center" wrapText="1"/>
    </xf>
    <xf borderId="3" fillId="7" fontId="98" numFmtId="164" xfId="0" applyAlignment="1" applyBorder="1" applyFont="1" applyNumberFormat="1">
      <alignment horizontal="center" shrinkToFit="0" vertical="center" wrapText="1"/>
    </xf>
    <xf borderId="3" fillId="27" fontId="96" numFmtId="0" xfId="0" applyAlignment="1" applyBorder="1" applyFont="1">
      <alignment horizontal="left" shrinkToFit="0" vertical="center" wrapText="1"/>
    </xf>
    <xf borderId="0" fillId="0" fontId="94" numFmtId="0" xfId="0" applyAlignment="1" applyFont="1">
      <alignment horizontal="left" shrinkToFit="0" vertical="center" wrapText="1"/>
    </xf>
    <xf borderId="0" fillId="0" fontId="258" numFmtId="0" xfId="0" applyAlignment="1" applyFont="1">
      <alignment horizontal="center" shrinkToFit="0" vertical="center" wrapText="1"/>
    </xf>
    <xf borderId="5" fillId="54" fontId="74" numFmtId="164" xfId="0" applyAlignment="1" applyBorder="1" applyFont="1" applyNumberFormat="1">
      <alignment horizontal="center" shrinkToFit="0" vertical="center" wrapText="1"/>
    </xf>
    <xf borderId="3" fillId="3" fontId="20" numFmtId="0" xfId="0" applyBorder="1" applyFont="1"/>
    <xf borderId="5" fillId="52" fontId="93" numFmtId="0" xfId="0" applyAlignment="1" applyBorder="1" applyFont="1">
      <alignment horizontal="center" shrinkToFit="0" vertical="center" wrapText="1"/>
    </xf>
    <xf borderId="5" fillId="52" fontId="98" numFmtId="165" xfId="0" applyAlignment="1" applyBorder="1" applyFont="1" applyNumberFormat="1">
      <alignment horizontal="center" shrinkToFit="0" vertical="center" wrapText="1"/>
    </xf>
    <xf borderId="5" fillId="27" fontId="95" numFmtId="165" xfId="0" applyAlignment="1" applyBorder="1" applyFont="1" applyNumberFormat="1">
      <alignment horizontal="center" shrinkToFit="0" vertical="center" wrapText="1"/>
    </xf>
    <xf borderId="5" fillId="52" fontId="95" numFmtId="165" xfId="0" applyAlignment="1" applyBorder="1" applyFont="1" applyNumberFormat="1">
      <alignment horizontal="center" shrinkToFit="0" vertical="center" wrapText="1"/>
    </xf>
    <xf borderId="3" fillId="3" fontId="96" numFmtId="0" xfId="0" applyAlignment="1" applyBorder="1" applyFont="1">
      <alignment horizontal="left" shrinkToFit="0" vertical="center" wrapText="1"/>
    </xf>
    <xf borderId="5" fillId="4" fontId="94" numFmtId="10" xfId="0" applyAlignment="1" applyBorder="1" applyFont="1" applyNumberFormat="1">
      <alignment horizontal="left" shrinkToFit="0" vertical="center" wrapText="1"/>
    </xf>
    <xf borderId="3" fillId="8" fontId="96" numFmtId="164" xfId="0" applyAlignment="1" applyBorder="1" applyFont="1" applyNumberFormat="1">
      <alignment horizontal="left" shrinkToFit="0" vertical="center" wrapText="1"/>
    </xf>
    <xf borderId="5" fillId="52" fontId="98" numFmtId="1" xfId="0" applyAlignment="1" applyBorder="1" applyFont="1" applyNumberFormat="1">
      <alignment horizontal="center" shrinkToFit="0" vertical="center" wrapText="1"/>
    </xf>
    <xf borderId="5" fillId="52" fontId="95" numFmtId="164" xfId="0" applyAlignment="1" applyBorder="1" applyFont="1" applyNumberFormat="1">
      <alignment horizontal="center" shrinkToFit="0" vertical="center" wrapText="1"/>
    </xf>
    <xf borderId="5" fillId="52" fontId="98" numFmtId="164" xfId="0" applyAlignment="1" applyBorder="1" applyFont="1" applyNumberFormat="1">
      <alignment horizontal="center" shrinkToFit="0" vertical="center" wrapText="1"/>
    </xf>
    <xf borderId="3" fillId="26" fontId="96" numFmtId="164" xfId="0" applyAlignment="1" applyBorder="1" applyFont="1" applyNumberFormat="1">
      <alignment horizontal="left" shrinkToFit="0" vertical="center" wrapText="1"/>
    </xf>
    <xf borderId="5" fillId="27" fontId="95" numFmtId="164" xfId="0" applyAlignment="1" applyBorder="1" applyFont="1" applyNumberFormat="1">
      <alignment horizontal="center" shrinkToFit="0" vertical="center" wrapText="1"/>
    </xf>
    <xf borderId="3" fillId="27" fontId="94" numFmtId="0" xfId="0" applyAlignment="1" applyBorder="1" applyFont="1">
      <alignment horizontal="left" shrinkToFit="0" vertical="center" wrapText="1"/>
    </xf>
    <xf borderId="3" fillId="27" fontId="93" numFmtId="0" xfId="0" applyAlignment="1" applyBorder="1" applyFont="1">
      <alignment horizontal="left" shrinkToFit="0" vertical="center" wrapText="1"/>
    </xf>
    <xf borderId="3" fillId="52" fontId="259" numFmtId="0" xfId="0" applyAlignment="1" applyBorder="1" applyFont="1">
      <alignment horizontal="left" shrinkToFit="0" vertical="center" wrapText="1"/>
    </xf>
    <xf borderId="3" fillId="12" fontId="74" numFmtId="0" xfId="0" applyAlignment="1" applyBorder="1" applyFont="1">
      <alignment horizontal="center" shrinkToFit="0" vertical="center" wrapText="1"/>
    </xf>
    <xf borderId="3" fillId="12" fontId="23" numFmtId="0" xfId="0" applyBorder="1" applyFont="1"/>
    <xf borderId="3" fillId="34" fontId="74" numFmtId="0" xfId="0" applyAlignment="1" applyBorder="1" applyFont="1">
      <alignment horizontal="center" shrinkToFit="0" vertical="center" wrapText="1"/>
    </xf>
    <xf borderId="3" fillId="34" fontId="23" numFmtId="0" xfId="0" applyBorder="1" applyFont="1"/>
    <xf borderId="3" fillId="14" fontId="74" numFmtId="0" xfId="0" applyAlignment="1" applyBorder="1" applyFont="1">
      <alignment horizontal="center" shrinkToFit="0" vertical="center" wrapText="1"/>
    </xf>
    <xf borderId="31" fillId="36" fontId="74" numFmtId="0" xfId="0" applyAlignment="1" applyBorder="1" applyFont="1">
      <alignment horizontal="center" shrinkToFit="0" vertical="center" wrapText="1"/>
    </xf>
    <xf borderId="31" fillId="4" fontId="94" numFmtId="164" xfId="0" applyAlignment="1" applyBorder="1" applyFont="1" applyNumberFormat="1">
      <alignment horizontal="center" shrinkToFit="0" vertical="center" wrapText="1"/>
    </xf>
    <xf borderId="31" fillId="4" fontId="100" numFmtId="1" xfId="0" applyAlignment="1" applyBorder="1" applyFont="1" applyNumberFormat="1">
      <alignment horizontal="center" shrinkToFit="0" vertical="center" wrapText="1"/>
    </xf>
    <xf borderId="31" fillId="27" fontId="260" numFmtId="164" xfId="0" applyAlignment="1" applyBorder="1" applyFont="1" applyNumberFormat="1">
      <alignment horizontal="right" vertical="center"/>
    </xf>
    <xf borderId="31" fillId="27" fontId="99" numFmtId="164" xfId="0" applyAlignment="1" applyBorder="1" applyFont="1" applyNumberFormat="1">
      <alignment horizontal="right" vertical="center"/>
    </xf>
    <xf borderId="31" fillId="4" fontId="261" numFmtId="49" xfId="0" applyAlignment="1" applyBorder="1" applyFont="1" applyNumberFormat="1">
      <alignment horizontal="center" shrinkToFit="0" vertical="center" wrapText="1"/>
    </xf>
    <xf borderId="31" fillId="27" fontId="262" numFmtId="164" xfId="0" applyAlignment="1" applyBorder="1" applyFont="1" applyNumberFormat="1">
      <alignment horizontal="right" vertical="center"/>
    </xf>
    <xf borderId="31" fillId="27" fontId="263" numFmtId="164" xfId="0" applyAlignment="1" applyBorder="1" applyFont="1" applyNumberFormat="1">
      <alignment horizontal="right" vertical="center"/>
    </xf>
    <xf borderId="31" fillId="27" fontId="94" numFmtId="182" xfId="0" applyAlignment="1" applyBorder="1" applyFont="1" applyNumberFormat="1">
      <alignment horizontal="right" vertical="center"/>
    </xf>
    <xf borderId="31" fillId="27" fontId="100" numFmtId="49" xfId="0" applyAlignment="1" applyBorder="1" applyFont="1" applyNumberFormat="1">
      <alignment horizontal="center" shrinkToFit="0" vertical="center" wrapText="1"/>
    </xf>
    <xf borderId="31" fillId="66" fontId="99" numFmtId="164" xfId="0" applyAlignment="1" applyBorder="1" applyFont="1" applyNumberFormat="1">
      <alignment horizontal="center" shrinkToFit="0" vertical="center" wrapText="1"/>
    </xf>
    <xf borderId="31" fillId="66" fontId="260" numFmtId="164" xfId="0" applyAlignment="1" applyBorder="1" applyFont="1" applyNumberFormat="1">
      <alignment horizontal="right" vertical="center"/>
    </xf>
    <xf borderId="31" fillId="66" fontId="99" numFmtId="164" xfId="0" applyAlignment="1" applyBorder="1" applyFont="1" applyNumberFormat="1">
      <alignment horizontal="right" vertical="center"/>
    </xf>
    <xf borderId="31" fillId="66" fontId="262" numFmtId="164" xfId="0" applyAlignment="1" applyBorder="1" applyFont="1" applyNumberFormat="1">
      <alignment horizontal="right" vertical="center"/>
    </xf>
    <xf borderId="31" fillId="66" fontId="263" numFmtId="164" xfId="0" applyAlignment="1" applyBorder="1" applyFont="1" applyNumberFormat="1">
      <alignment horizontal="right" vertical="center"/>
    </xf>
    <xf borderId="31" fillId="66" fontId="94" numFmtId="182" xfId="0" applyAlignment="1" applyBorder="1" applyFont="1" applyNumberFormat="1">
      <alignment horizontal="right" vertical="center"/>
    </xf>
    <xf borderId="31" fillId="66" fontId="100" numFmtId="49" xfId="0" applyAlignment="1" applyBorder="1" applyFont="1" applyNumberFormat="1">
      <alignment horizontal="center" shrinkToFit="0" vertical="center" wrapText="1"/>
    </xf>
    <xf borderId="0" fillId="0" fontId="21" numFmtId="0" xfId="0" applyAlignment="1" applyFont="1">
      <alignment horizontal="center" shrinkToFit="0" vertical="center" wrapText="1"/>
    </xf>
    <xf borderId="3" fillId="4" fontId="76" numFmtId="0" xfId="0" applyAlignment="1" applyBorder="1" applyFont="1">
      <alignment horizontal="left" shrinkToFit="0" vertical="center" wrapText="1"/>
    </xf>
    <xf borderId="3" fillId="27" fontId="76" numFmtId="0" xfId="0" applyAlignment="1" applyBorder="1" applyFont="1">
      <alignment horizontal="left" shrinkToFit="0" vertical="center" wrapText="1"/>
    </xf>
    <xf borderId="31" fillId="52" fontId="260" numFmtId="164" xfId="0" applyAlignment="1" applyBorder="1" applyFont="1" applyNumberFormat="1">
      <alignment horizontal="right" vertical="center"/>
    </xf>
    <xf borderId="31" fillId="52" fontId="99" numFmtId="164" xfId="0" applyAlignment="1" applyBorder="1" applyFont="1" applyNumberFormat="1">
      <alignment horizontal="right" vertical="center"/>
    </xf>
    <xf borderId="31" fillId="52" fontId="262" numFmtId="164" xfId="0" applyAlignment="1" applyBorder="1" applyFont="1" applyNumberFormat="1">
      <alignment horizontal="right" vertical="center"/>
    </xf>
    <xf borderId="31" fillId="52" fontId="263" numFmtId="164" xfId="0" applyAlignment="1" applyBorder="1" applyFont="1" applyNumberFormat="1">
      <alignment horizontal="right" vertical="center"/>
    </xf>
    <xf borderId="31" fillId="52" fontId="94" numFmtId="182" xfId="0" applyAlignment="1" applyBorder="1" applyFont="1" applyNumberFormat="1">
      <alignment horizontal="right" vertical="center"/>
    </xf>
    <xf borderId="31" fillId="52" fontId="100" numFmtId="49" xfId="0" applyAlignment="1" applyBorder="1" applyFont="1" applyNumberFormat="1">
      <alignment horizontal="center" shrinkToFit="0" vertical="center" wrapText="1"/>
    </xf>
    <xf borderId="31" fillId="36" fontId="39" numFmtId="0" xfId="0" applyBorder="1" applyFont="1"/>
    <xf borderId="3" fillId="52" fontId="264" numFmtId="164" xfId="0" applyAlignment="1" applyBorder="1" applyFont="1" applyNumberFormat="1">
      <alignment horizontal="right" vertical="center"/>
    </xf>
    <xf borderId="3" fillId="52" fontId="264" numFmtId="182" xfId="0" applyAlignment="1" applyBorder="1" applyFont="1" applyNumberFormat="1">
      <alignment horizontal="right" vertical="center"/>
    </xf>
    <xf borderId="3" fillId="52" fontId="264" numFmtId="49" xfId="0" applyAlignment="1" applyBorder="1" applyFont="1" applyNumberFormat="1">
      <alignment horizontal="right" vertical="center"/>
    </xf>
    <xf borderId="3" fillId="36" fontId="74" numFmtId="0" xfId="0" applyBorder="1" applyFont="1"/>
    <xf borderId="3" fillId="18" fontId="99" numFmtId="0" xfId="0" applyAlignment="1" applyBorder="1" applyFont="1">
      <alignment horizontal="center"/>
    </xf>
    <xf borderId="3" fillId="16" fontId="263" numFmtId="0" xfId="0" applyAlignment="1" applyBorder="1" applyFont="1">
      <alignment horizontal="center"/>
    </xf>
    <xf borderId="3" fillId="18" fontId="102" numFmtId="0" xfId="0" applyAlignment="1" applyBorder="1" applyFont="1">
      <alignment horizontal="center"/>
    </xf>
    <xf borderId="36" fillId="36" fontId="18" numFmtId="0" xfId="0" applyAlignment="1" applyBorder="1" applyFont="1">
      <alignment horizontal="left" shrinkToFit="0" vertical="center" wrapText="1"/>
    </xf>
    <xf borderId="36" fillId="36" fontId="39" numFmtId="0" xfId="0" applyBorder="1" applyFont="1"/>
    <xf borderId="36" fillId="4" fontId="94" numFmtId="0" xfId="0" applyAlignment="1" applyBorder="1" applyFont="1">
      <alignment horizontal="left" shrinkToFit="0" vertical="center" wrapText="1"/>
    </xf>
    <xf borderId="36" fillId="7" fontId="98" numFmtId="164" xfId="0" applyAlignment="1" applyBorder="1" applyFont="1" applyNumberFormat="1">
      <alignment horizontal="right" vertical="center"/>
    </xf>
    <xf borderId="36" fillId="0" fontId="96" numFmtId="0" xfId="0" applyAlignment="1" applyBorder="1" applyFont="1">
      <alignment horizontal="left" shrinkToFit="0" vertical="center" wrapText="1"/>
    </xf>
    <xf borderId="36" fillId="0" fontId="39" numFmtId="0" xfId="0" applyBorder="1" applyFont="1"/>
    <xf borderId="36" fillId="52" fontId="95" numFmtId="165" xfId="0" applyAlignment="1" applyBorder="1" applyFont="1" applyNumberFormat="1">
      <alignment horizontal="right" vertical="center"/>
    </xf>
    <xf borderId="36" fillId="52" fontId="95" numFmtId="164" xfId="0" applyAlignment="1" applyBorder="1" applyFont="1" applyNumberFormat="1">
      <alignment horizontal="right" vertical="center"/>
    </xf>
    <xf borderId="36" fillId="7" fontId="98" numFmtId="49" xfId="0" applyAlignment="1" applyBorder="1" applyFont="1" applyNumberFormat="1">
      <alignment horizontal="right" vertical="center"/>
    </xf>
    <xf borderId="1" fillId="12" fontId="109" numFmtId="0" xfId="0" applyAlignment="1" applyBorder="1" applyFont="1">
      <alignment horizontal="left" vertical="center"/>
    </xf>
    <xf borderId="6" fillId="12" fontId="51" numFmtId="0" xfId="0" applyAlignment="1" applyBorder="1" applyFont="1">
      <alignment horizontal="center" vertical="center"/>
    </xf>
    <xf borderId="7" fillId="12" fontId="51" numFmtId="0" xfId="0" applyAlignment="1" applyBorder="1" applyFont="1">
      <alignment horizontal="center" vertical="center"/>
    </xf>
    <xf borderId="7" fillId="14" fontId="21" numFmtId="0" xfId="0" applyAlignment="1" applyBorder="1" applyFont="1">
      <alignment horizontal="center" vertical="center"/>
    </xf>
    <xf borderId="8" fillId="14" fontId="21" numFmtId="0" xfId="0" applyAlignment="1" applyBorder="1" applyFont="1">
      <alignment horizontal="center" vertical="center"/>
    </xf>
    <xf borderId="15" fillId="4" fontId="231" numFmtId="0" xfId="0" applyAlignment="1" applyBorder="1" applyFont="1">
      <alignment horizontal="left" vertical="center"/>
    </xf>
    <xf borderId="3" fillId="4" fontId="39" numFmtId="0" xfId="0" applyAlignment="1" applyBorder="1" applyFont="1">
      <alignment horizontal="right" vertical="center"/>
    </xf>
    <xf borderId="9" fillId="27" fontId="113" numFmtId="0" xfId="0" applyAlignment="1" applyBorder="1" applyFont="1">
      <alignment horizontal="left" vertical="center"/>
    </xf>
    <xf borderId="10" fillId="27" fontId="34" numFmtId="0" xfId="0" applyAlignment="1" applyBorder="1" applyFont="1">
      <alignment horizontal="left" vertical="center"/>
    </xf>
    <xf borderId="10" fillId="27" fontId="113" numFmtId="0" xfId="0" applyAlignment="1" applyBorder="1" applyFont="1">
      <alignment horizontal="left" vertical="center"/>
    </xf>
    <xf borderId="10" fillId="27" fontId="113" numFmtId="0" xfId="0" applyAlignment="1" applyBorder="1" applyFont="1">
      <alignment horizontal="right" vertical="center"/>
    </xf>
    <xf borderId="11" fillId="27" fontId="113" numFmtId="0" xfId="0" applyAlignment="1" applyBorder="1" applyFont="1">
      <alignment horizontal="right" vertical="center"/>
    </xf>
    <xf borderId="3" fillId="27" fontId="39" numFmtId="0" xfId="0" applyAlignment="1" applyBorder="1" applyFont="1">
      <alignment horizontal="right" vertical="center"/>
    </xf>
    <xf borderId="9" fillId="4" fontId="113" numFmtId="0" xfId="0" applyAlignment="1" applyBorder="1" applyFont="1">
      <alignment horizontal="left" vertical="center"/>
    </xf>
    <xf borderId="10" fillId="4" fontId="34" numFmtId="0" xfId="0" applyAlignment="1" applyBorder="1" applyFont="1">
      <alignment horizontal="left" vertical="center"/>
    </xf>
    <xf borderId="10" fillId="4" fontId="113" numFmtId="0" xfId="0" applyAlignment="1" applyBorder="1" applyFont="1">
      <alignment horizontal="left" vertical="center"/>
    </xf>
    <xf borderId="10" fillId="4" fontId="113" numFmtId="0" xfId="0" applyAlignment="1" applyBorder="1" applyFont="1">
      <alignment horizontal="right" vertical="center"/>
    </xf>
    <xf borderId="11" fillId="4" fontId="113" numFmtId="0" xfId="0" applyAlignment="1" applyBorder="1" applyFont="1">
      <alignment horizontal="right" vertical="center"/>
    </xf>
    <xf borderId="15" fillId="27" fontId="231" numFmtId="0" xfId="0" applyAlignment="1" applyBorder="1" applyFont="1">
      <alignment horizontal="left" vertical="center"/>
    </xf>
    <xf borderId="15" fillId="4" fontId="113" numFmtId="0" xfId="0" applyAlignment="1" applyBorder="1" applyFont="1">
      <alignment horizontal="left" vertical="center"/>
    </xf>
    <xf borderId="15" fillId="27" fontId="113" numFmtId="0" xfId="0" applyAlignment="1" applyBorder="1" applyFont="1">
      <alignment horizontal="left" vertical="center"/>
    </xf>
    <xf borderId="20" fillId="27" fontId="34" numFmtId="0" xfId="0" applyAlignment="1" applyBorder="1" applyFont="1">
      <alignment horizontal="left" vertical="center"/>
    </xf>
    <xf borderId="20" fillId="4" fontId="34" numFmtId="0" xfId="0" applyAlignment="1" applyBorder="1" applyFont="1">
      <alignment horizontal="left" vertical="center"/>
    </xf>
    <xf borderId="37" fillId="27" fontId="113" numFmtId="0" xfId="0" applyAlignment="1" applyBorder="1" applyFont="1">
      <alignment horizontal="left" vertical="center"/>
    </xf>
    <xf borderId="38" fillId="27" fontId="34" numFmtId="0" xfId="0" applyAlignment="1" applyBorder="1" applyFont="1">
      <alignment horizontal="left" vertical="center"/>
    </xf>
    <xf borderId="38" fillId="27" fontId="113" numFmtId="0" xfId="0" applyAlignment="1" applyBorder="1" applyFont="1">
      <alignment horizontal="left" vertical="center"/>
    </xf>
    <xf borderId="38" fillId="27" fontId="113" numFmtId="0" xfId="0" applyAlignment="1" applyBorder="1" applyFont="1">
      <alignment horizontal="right" vertical="center"/>
    </xf>
    <xf borderId="24" fillId="27" fontId="113" numFmtId="0" xfId="0" applyAlignment="1" applyBorder="1" applyFont="1">
      <alignment horizontal="right" vertical="center"/>
    </xf>
    <xf borderId="1" fillId="4" fontId="231" numFmtId="0" xfId="0" applyAlignment="1" applyBorder="1" applyFont="1">
      <alignment horizontal="left" vertical="center"/>
    </xf>
    <xf borderId="3" fillId="27" fontId="113" numFmtId="0" xfId="0" applyAlignment="1" applyBorder="1" applyFont="1">
      <alignment horizontal="left" vertical="center"/>
    </xf>
    <xf borderId="3" fillId="27" fontId="34" numFmtId="0" xfId="0" applyAlignment="1" applyBorder="1" applyFont="1">
      <alignment horizontal="left" vertical="center"/>
    </xf>
    <xf borderId="3" fillId="27" fontId="113" numFmtId="0" xfId="0" applyAlignment="1" applyBorder="1" applyFont="1">
      <alignment horizontal="right" vertical="center"/>
    </xf>
    <xf borderId="3" fillId="4" fontId="113" numFmtId="0" xfId="0" applyAlignment="1" applyBorder="1" applyFont="1">
      <alignment horizontal="left" vertical="center"/>
    </xf>
    <xf borderId="3" fillId="4" fontId="34" numFmtId="0" xfId="0" applyAlignment="1" applyBorder="1" applyFont="1">
      <alignment horizontal="left" vertical="center"/>
    </xf>
    <xf borderId="3" fillId="4" fontId="113" numFmtId="0" xfId="0" applyAlignment="1" applyBorder="1" applyFont="1">
      <alignment horizontal="right" vertical="center"/>
    </xf>
    <xf borderId="1" fillId="27" fontId="231" numFmtId="0" xfId="0" applyAlignment="1" applyBorder="1" applyFont="1">
      <alignment horizontal="left" vertical="center"/>
    </xf>
    <xf borderId="3" fillId="27" fontId="39" numFmtId="0" xfId="0" applyAlignment="1" applyBorder="1" applyFont="1">
      <alignment horizontal="left" vertical="center"/>
    </xf>
    <xf borderId="3" fillId="4" fontId="39" numFmtId="0" xfId="0" applyAlignment="1" applyBorder="1" applyFont="1">
      <alignment horizontal="left" vertical="center"/>
    </xf>
    <xf borderId="3" fillId="27" fontId="4" numFmtId="0" xfId="0" applyAlignment="1" applyBorder="1" applyFont="1">
      <alignment horizontal="left" vertical="center"/>
    </xf>
    <xf borderId="1" fillId="27" fontId="20" numFmtId="0" xfId="0" applyAlignment="1" applyBorder="1" applyFont="1">
      <alignment horizontal="left" vertical="center"/>
    </xf>
    <xf borderId="1" fillId="4" fontId="21" numFmtId="0" xfId="0" applyAlignment="1" applyBorder="1" applyFont="1">
      <alignment horizontal="left" vertical="center"/>
    </xf>
    <xf borderId="3" fillId="27" fontId="51" numFmtId="0" xfId="0" applyAlignment="1" applyBorder="1" applyFont="1">
      <alignment horizontal="left" vertical="center"/>
    </xf>
    <xf borderId="3" fillId="27" fontId="51" numFmtId="0" xfId="0" applyAlignment="1" applyBorder="1" applyFont="1">
      <alignment horizontal="right" vertical="center"/>
    </xf>
    <xf borderId="3" fillId="4" fontId="36" numFmtId="0" xfId="0" applyAlignment="1" applyBorder="1" applyFont="1">
      <alignment horizontal="left" vertical="center"/>
    </xf>
    <xf borderId="3" fillId="4" fontId="36" numFmtId="164" xfId="0" applyAlignment="1" applyBorder="1" applyFont="1" applyNumberFormat="1">
      <alignment horizontal="left" vertical="center"/>
    </xf>
    <xf borderId="3" fillId="4" fontId="47" numFmtId="0" xfId="0" applyAlignment="1" applyBorder="1" applyFont="1">
      <alignment horizontal="left" vertical="center"/>
    </xf>
    <xf borderId="3" fillId="4" fontId="47" numFmtId="0" xfId="0" applyAlignment="1" applyBorder="1" applyFont="1">
      <alignment horizontal="right" vertical="center"/>
    </xf>
    <xf borderId="1" fillId="4" fontId="50" numFmtId="0" xfId="0" applyAlignment="1" applyBorder="1" applyFont="1">
      <alignment horizontal="right" vertical="center"/>
    </xf>
    <xf borderId="3" fillId="27" fontId="26" numFmtId="10" xfId="0" applyAlignment="1" applyBorder="1" applyFont="1" applyNumberFormat="1">
      <alignment horizontal="left" vertical="center"/>
    </xf>
    <xf borderId="3" fillId="27" fontId="47" numFmtId="0" xfId="0" applyAlignment="1" applyBorder="1" applyFont="1">
      <alignment horizontal="right" vertical="center"/>
    </xf>
    <xf borderId="1" fillId="27" fontId="50" numFmtId="0" xfId="0" applyAlignment="1" applyBorder="1" applyFont="1">
      <alignment horizontal="right" vertical="center"/>
    </xf>
    <xf borderId="3" fillId="4" fontId="35" numFmtId="0" xfId="0" applyAlignment="1" applyBorder="1" applyFont="1">
      <alignment horizontal="left" vertical="center"/>
    </xf>
    <xf borderId="3" fillId="4" fontId="36" numFmtId="167" xfId="0" applyAlignment="1" applyBorder="1" applyFont="1" applyNumberFormat="1">
      <alignment horizontal="left" vertical="center"/>
    </xf>
    <xf borderId="3" fillId="4" fontId="231" numFmtId="0" xfId="0" applyAlignment="1" applyBorder="1" applyFont="1">
      <alignment horizontal="left" vertical="center"/>
    </xf>
    <xf borderId="3" fillId="4" fontId="189" numFmtId="173" xfId="0" applyAlignment="1" applyBorder="1" applyFont="1" applyNumberFormat="1">
      <alignment horizontal="right" vertical="center"/>
    </xf>
    <xf borderId="3" fillId="4" fontId="49" numFmtId="0" xfId="0" applyAlignment="1" applyBorder="1" applyFont="1">
      <alignment horizontal="right" vertical="center"/>
    </xf>
    <xf borderId="3" fillId="4" fontId="265" numFmtId="0" xfId="0" applyAlignment="1" applyBorder="1" applyFont="1">
      <alignment horizontal="right" vertical="center"/>
    </xf>
    <xf borderId="1" fillId="4" fontId="35" numFmtId="0" xfId="0" applyAlignment="1" applyBorder="1" applyFont="1">
      <alignment horizontal="right" vertical="center"/>
    </xf>
    <xf borderId="3" fillId="27" fontId="35" numFmtId="0" xfId="0" applyAlignment="1" applyBorder="1" applyFont="1">
      <alignment horizontal="left" vertical="center"/>
    </xf>
    <xf borderId="3" fillId="27" fontId="36" numFmtId="167" xfId="0" applyAlignment="1" applyBorder="1" applyFont="1" applyNumberFormat="1">
      <alignment horizontal="left" vertical="center"/>
    </xf>
    <xf borderId="3" fillId="27" fontId="231" numFmtId="0" xfId="0" applyAlignment="1" applyBorder="1" applyFont="1">
      <alignment horizontal="left" vertical="center"/>
    </xf>
    <xf borderId="3" fillId="27" fontId="189" numFmtId="173" xfId="0" applyAlignment="1" applyBorder="1" applyFont="1" applyNumberFormat="1">
      <alignment horizontal="right" vertical="center"/>
    </xf>
    <xf borderId="3" fillId="27" fontId="49" numFmtId="0" xfId="0" applyAlignment="1" applyBorder="1" applyFont="1">
      <alignment horizontal="right" vertical="center"/>
    </xf>
    <xf borderId="3" fillId="27" fontId="265" numFmtId="0" xfId="0" applyAlignment="1" applyBorder="1" applyFont="1">
      <alignment horizontal="right" vertical="center"/>
    </xf>
    <xf borderId="1" fillId="27" fontId="35" numFmtId="0" xfId="0" applyAlignment="1" applyBorder="1" applyFont="1">
      <alignment horizontal="right" vertical="center"/>
    </xf>
    <xf borderId="3" fillId="4" fontId="26" numFmtId="173" xfId="0" applyAlignment="1" applyBorder="1" applyFont="1" applyNumberFormat="1">
      <alignment horizontal="right" vertical="center"/>
    </xf>
    <xf borderId="3" fillId="27" fontId="36" numFmtId="164" xfId="0" applyAlignment="1" applyBorder="1" applyFont="1" applyNumberFormat="1">
      <alignment horizontal="left" vertical="center"/>
    </xf>
    <xf borderId="3" fillId="27" fontId="26" numFmtId="173" xfId="0" applyAlignment="1" applyBorder="1" applyFont="1" applyNumberFormat="1">
      <alignment horizontal="right" vertical="center"/>
    </xf>
    <xf borderId="1" fillId="27" fontId="21" numFmtId="0" xfId="0" applyAlignment="1" applyBorder="1" applyFont="1">
      <alignment horizontal="left" vertical="center"/>
    </xf>
    <xf borderId="3" fillId="27" fontId="266" numFmtId="0" xfId="0" applyAlignment="1" applyBorder="1" applyFont="1">
      <alignment horizontal="right" vertical="center"/>
    </xf>
    <xf borderId="3" fillId="27" fontId="267" numFmtId="0" xfId="0" applyAlignment="1" applyBorder="1" applyFont="1">
      <alignment horizontal="right" vertical="center"/>
    </xf>
    <xf borderId="3" fillId="27" fontId="268" numFmtId="0" xfId="0" applyAlignment="1" applyBorder="1" applyFont="1">
      <alignment horizontal="right" vertical="center"/>
    </xf>
    <xf borderId="1" fillId="27" fontId="54" numFmtId="0" xfId="0" applyAlignment="1" applyBorder="1" applyFont="1">
      <alignment horizontal="left" vertical="center"/>
    </xf>
    <xf borderId="3" fillId="4" fontId="21" numFmtId="0" xfId="0" applyAlignment="1" applyBorder="1" applyFont="1">
      <alignment horizontal="left" vertical="center"/>
    </xf>
    <xf borderId="3" fillId="4" fontId="21" numFmtId="0" xfId="0" applyAlignment="1" applyBorder="1" applyFont="1">
      <alignment horizontal="right" vertical="center"/>
    </xf>
    <xf borderId="3" fillId="27" fontId="39" numFmtId="164" xfId="0" applyAlignment="1" applyBorder="1" applyFont="1" applyNumberFormat="1">
      <alignment horizontal="right" vertical="center"/>
    </xf>
    <xf borderId="3" fillId="27" fontId="39" numFmtId="167" xfId="0" applyAlignment="1" applyBorder="1" applyFont="1" applyNumberFormat="1">
      <alignment horizontal="right" vertical="center"/>
    </xf>
    <xf borderId="3" fillId="14" fontId="74" numFmtId="0" xfId="0" applyBorder="1" applyFont="1"/>
    <xf borderId="3" fillId="36" fontId="74" numFmtId="0" xfId="0" applyAlignment="1" applyBorder="1" applyFont="1">
      <alignment horizontal="center" vertical="center"/>
    </xf>
    <xf borderId="3" fillId="4" fontId="39" numFmtId="0" xfId="0" applyBorder="1" applyFont="1"/>
    <xf borderId="0" fillId="0" fontId="269" numFmtId="164" xfId="0" applyFont="1" applyNumberFormat="1"/>
    <xf borderId="0" fillId="0" fontId="39" numFmtId="2" xfId="0" applyFont="1" applyNumberFormat="1"/>
    <xf borderId="0" fillId="0" fontId="39" numFmtId="183" xfId="0" applyFont="1" applyNumberFormat="1"/>
    <xf borderId="3" fillId="30" fontId="74" numFmtId="0" xfId="0" applyBorder="1" applyFont="1"/>
    <xf borderId="3" fillId="54" fontId="74" numFmtId="0" xfId="0" applyAlignment="1" applyBorder="1" applyFont="1">
      <alignment horizontal="center" vertical="center"/>
    </xf>
    <xf borderId="3" fillId="17" fontId="102" numFmtId="0" xfId="0" applyBorder="1" applyFont="1"/>
    <xf borderId="1" fillId="14" fontId="109" numFmtId="0" xfId="0" applyAlignment="1" applyBorder="1" applyFont="1">
      <alignment horizontal="left" vertical="center"/>
    </xf>
    <xf borderId="1" fillId="54" fontId="4" numFmtId="0" xfId="0" applyAlignment="1" applyBorder="1" applyFont="1">
      <alignment horizontal="center" vertical="center"/>
    </xf>
    <xf borderId="1" fillId="14" fontId="270" numFmtId="0" xfId="0" applyAlignment="1" applyBorder="1" applyFont="1">
      <alignment horizontal="left" vertical="center"/>
    </xf>
    <xf borderId="3" fillId="16" fontId="76" numFmtId="0" xfId="0" applyAlignment="1" applyBorder="1" applyFont="1">
      <alignment horizontal="left" vertical="center"/>
    </xf>
    <xf borderId="1" fillId="14" fontId="109" numFmtId="0" xfId="0" applyAlignment="1" applyBorder="1" applyFont="1">
      <alignment horizontal="center" vertical="center"/>
    </xf>
    <xf borderId="1" fillId="15" fontId="76" numFmtId="164" xfId="0" applyAlignment="1" applyBorder="1" applyFont="1" applyNumberFormat="1">
      <alignment horizontal="left" vertical="center"/>
    </xf>
    <xf borderId="3" fillId="15" fontId="76" numFmtId="164" xfId="0" applyAlignment="1" applyBorder="1" applyFont="1" applyNumberFormat="1">
      <alignment horizontal="left" vertical="center"/>
    </xf>
    <xf borderId="1" fillId="16" fontId="76" numFmtId="164" xfId="0" applyAlignment="1" applyBorder="1" applyFont="1" applyNumberFormat="1">
      <alignment horizontal="left" vertical="center"/>
    </xf>
    <xf borderId="3" fillId="16" fontId="76" numFmtId="164" xfId="0" applyAlignment="1" applyBorder="1" applyFont="1" applyNumberFormat="1">
      <alignment horizontal="left" vertical="center"/>
    </xf>
    <xf borderId="3" fillId="67" fontId="76" numFmtId="0" xfId="0" applyAlignment="1" applyBorder="1" applyFont="1">
      <alignment horizontal="left" vertical="center"/>
    </xf>
    <xf borderId="1" fillId="67" fontId="76" numFmtId="164" xfId="0" applyAlignment="1" applyBorder="1" applyFont="1" applyNumberFormat="1">
      <alignment horizontal="left" vertical="center"/>
    </xf>
    <xf borderId="3" fillId="67" fontId="76" numFmtId="164" xfId="0" applyAlignment="1" applyBorder="1" applyFont="1" applyNumberFormat="1">
      <alignment horizontal="left" vertical="center"/>
    </xf>
    <xf borderId="1" fillId="67" fontId="75" numFmtId="0" xfId="0" applyAlignment="1" applyBorder="1" applyFont="1">
      <alignment horizontal="left" vertical="center"/>
    </xf>
    <xf borderId="1" fillId="14" fontId="51" numFmtId="0" xfId="0" applyAlignment="1" applyBorder="1" applyFont="1">
      <alignment horizontal="center" vertical="center"/>
    </xf>
    <xf borderId="20" fillId="15" fontId="34" numFmtId="0" xfId="0" applyAlignment="1" applyBorder="1" applyFont="1">
      <alignment horizontal="left" vertical="center"/>
    </xf>
    <xf borderId="10" fillId="15" fontId="34" numFmtId="0" xfId="0" applyAlignment="1" applyBorder="1" applyFont="1">
      <alignment horizontal="left" vertical="center"/>
    </xf>
    <xf borderId="20" fillId="23" fontId="267" numFmtId="0" xfId="0" applyAlignment="1" applyBorder="1" applyFont="1">
      <alignment horizontal="center" vertical="center"/>
    </xf>
    <xf borderId="20" fillId="15" fontId="47" numFmtId="0" xfId="0" applyAlignment="1" applyBorder="1" applyFont="1">
      <alignment horizontal="center" vertical="center"/>
    </xf>
    <xf borderId="10" fillId="21" fontId="34" numFmtId="0" xfId="0" applyAlignment="1" applyBorder="1" applyFont="1">
      <alignment horizontal="left" vertical="center"/>
    </xf>
    <xf borderId="20" fillId="21" fontId="271" numFmtId="169" xfId="0" applyAlignment="1" applyBorder="1" applyFont="1" applyNumberFormat="1">
      <alignment horizontal="center" vertical="center"/>
    </xf>
    <xf borderId="20" fillId="21" fontId="47" numFmtId="0" xfId="0" applyAlignment="1" applyBorder="1" applyFont="1">
      <alignment horizontal="center" vertical="center"/>
    </xf>
    <xf borderId="3" fillId="8" fontId="35" numFmtId="0" xfId="0" applyAlignment="1" applyBorder="1" applyFont="1">
      <alignment horizontal="left" vertical="center"/>
    </xf>
    <xf borderId="3" fillId="36" fontId="51" numFmtId="0" xfId="0" applyAlignment="1" applyBorder="1" applyFont="1">
      <alignment horizontal="center" vertical="center"/>
    </xf>
    <xf borderId="1" fillId="36" fontId="51" numFmtId="0" xfId="0" applyAlignment="1" applyBorder="1" applyFont="1">
      <alignment horizontal="center" vertical="center"/>
    </xf>
    <xf borderId="10" fillId="23" fontId="34" numFmtId="0" xfId="0" applyAlignment="1" applyBorder="1" applyFont="1">
      <alignment horizontal="center" vertical="center"/>
    </xf>
    <xf borderId="20" fillId="23" fontId="113" numFmtId="0" xfId="0" applyAlignment="1" applyBorder="1" applyFont="1">
      <alignment horizontal="center" vertical="center"/>
    </xf>
    <xf borderId="10" fillId="23" fontId="113" numFmtId="0" xfId="0" applyAlignment="1" applyBorder="1" applyFont="1">
      <alignment horizontal="left" vertical="center"/>
    </xf>
    <xf borderId="10" fillId="15" fontId="34" numFmtId="0" xfId="0" applyAlignment="1" applyBorder="1" applyFont="1">
      <alignment horizontal="center" vertical="center"/>
    </xf>
    <xf borderId="20" fillId="15" fontId="113" numFmtId="0" xfId="0" applyAlignment="1" applyBorder="1" applyFont="1">
      <alignment horizontal="center" vertical="center"/>
    </xf>
    <xf borderId="10" fillId="15" fontId="113" numFmtId="0" xfId="0" applyAlignment="1" applyBorder="1" applyFont="1">
      <alignment horizontal="left" vertical="center"/>
    </xf>
    <xf borderId="10" fillId="22" fontId="272" numFmtId="0" xfId="0" applyAlignment="1" applyBorder="1" applyFont="1">
      <alignment horizontal="center" vertical="center"/>
    </xf>
    <xf borderId="20" fillId="22" fontId="273" numFmtId="0" xfId="0" applyAlignment="1" applyBorder="1" applyFont="1">
      <alignment horizontal="center" vertical="center"/>
    </xf>
    <xf borderId="10" fillId="22" fontId="273" numFmtId="0" xfId="0" applyAlignment="1" applyBorder="1" applyFont="1">
      <alignment horizontal="left" vertical="center"/>
    </xf>
    <xf borderId="20" fillId="22" fontId="272" numFmtId="0" xfId="0" applyAlignment="1" applyBorder="1" applyFont="1">
      <alignment horizontal="center" vertical="center"/>
    </xf>
    <xf borderId="1" fillId="19" fontId="54" numFmtId="0" xfId="0" applyAlignment="1" applyBorder="1" applyFont="1">
      <alignment horizontal="left" shrinkToFit="0" vertical="center" wrapText="1"/>
    </xf>
    <xf borderId="3" fillId="14" fontId="109" numFmtId="0" xfId="0" applyAlignment="1" applyBorder="1" applyFont="1">
      <alignment horizontal="center" vertical="center"/>
    </xf>
    <xf borderId="3" fillId="15" fontId="75" numFmtId="0" xfId="0" applyAlignment="1" applyBorder="1" applyFont="1">
      <alignment horizontal="left" shrinkToFit="0" vertical="center" wrapText="1"/>
    </xf>
    <xf borderId="3" fillId="16" fontId="75" numFmtId="0" xfId="0" applyAlignment="1" applyBorder="1" applyFont="1">
      <alignment horizontal="left" shrinkToFit="0" vertical="center" wrapText="1"/>
    </xf>
    <xf borderId="3" fillId="16" fontId="113" numFmtId="0" xfId="0" applyAlignment="1" applyBorder="1" applyFont="1">
      <alignment horizontal="left" shrinkToFit="0" vertical="center" wrapText="1"/>
    </xf>
    <xf borderId="3" fillId="16" fontId="76" numFmtId="0" xfId="0" applyAlignment="1" applyBorder="1" applyFont="1">
      <alignment horizontal="left" shrinkToFit="0" vertical="center" wrapText="1"/>
    </xf>
    <xf borderId="3" fillId="29" fontId="110" numFmtId="0" xfId="0" applyAlignment="1" applyBorder="1" applyFont="1">
      <alignment horizontal="left" shrinkToFit="0" vertical="center" wrapText="1"/>
    </xf>
    <xf borderId="3" fillId="15" fontId="76" numFmtId="0" xfId="0" applyAlignment="1" applyBorder="1" applyFont="1">
      <alignment horizontal="left" shrinkToFit="0" vertical="center" wrapText="1"/>
    </xf>
    <xf borderId="1" fillId="19" fontId="76" numFmtId="0" xfId="0" applyAlignment="1" applyBorder="1" applyFont="1">
      <alignment horizontal="left" vertical="center"/>
    </xf>
    <xf borderId="1" fillId="67" fontId="76" numFmtId="0" xfId="0" applyAlignment="1" applyBorder="1" applyFont="1">
      <alignment horizontal="left" vertical="center"/>
    </xf>
    <xf borderId="3" fillId="67" fontId="75" numFmtId="0" xfId="0" applyAlignment="1" applyBorder="1" applyFont="1">
      <alignment horizontal="left" shrinkToFit="0" vertical="center" wrapText="1"/>
    </xf>
    <xf borderId="3" fillId="19" fontId="76" numFmtId="0" xfId="0" applyAlignment="1" applyBorder="1" applyFont="1">
      <alignment horizontal="left" vertical="center"/>
    </xf>
    <xf borderId="3" fillId="36" fontId="20" numFmtId="0" xfId="0" applyAlignment="1" applyBorder="1" applyFont="1">
      <alignment horizontal="left" vertical="center"/>
    </xf>
    <xf borderId="3" fillId="18" fontId="76" numFmtId="0" xfId="0" applyAlignment="1" applyBorder="1" applyFont="1">
      <alignment horizontal="left" shrinkToFit="0" vertical="center" wrapText="1"/>
    </xf>
    <xf borderId="3" fillId="53" fontId="76" numFmtId="0" xfId="0" applyAlignment="1" applyBorder="1" applyFont="1">
      <alignment horizontal="left" shrinkToFit="0" vertical="center" wrapText="1"/>
    </xf>
    <xf borderId="3" fillId="14" fontId="20" numFmtId="0" xfId="0" applyBorder="1" applyFont="1"/>
    <xf borderId="3" fillId="29" fontId="34" numFmtId="0" xfId="0" applyAlignment="1" applyBorder="1" applyFont="1">
      <alignment horizontal="center" vertical="center"/>
    </xf>
    <xf borderId="3" fillId="29" fontId="113" numFmtId="0" xfId="0" applyAlignment="1" applyBorder="1" applyFont="1">
      <alignment horizontal="center" vertical="center"/>
    </xf>
    <xf borderId="3" fillId="20" fontId="34" numFmtId="0" xfId="0" applyAlignment="1" applyBorder="1" applyFont="1">
      <alignment horizontal="center" vertical="center"/>
    </xf>
    <xf borderId="3" fillId="19" fontId="274" numFmtId="169" xfId="0" applyAlignment="1" applyBorder="1" applyFont="1" applyNumberFormat="1">
      <alignment horizontal="center" vertical="center"/>
    </xf>
    <xf borderId="3" fillId="28" fontId="178" numFmtId="0" xfId="0" applyAlignment="1" applyBorder="1" applyFont="1">
      <alignment horizontal="left" vertical="center"/>
    </xf>
    <xf borderId="3" fillId="8" fontId="54" numFmtId="0" xfId="0" applyAlignment="1" applyBorder="1" applyFont="1">
      <alignment horizontal="center" vertical="center"/>
    </xf>
    <xf borderId="3" fillId="28" fontId="186" numFmtId="0" xfId="0" applyAlignment="1" applyBorder="1" applyFont="1">
      <alignment horizontal="center" vertical="center"/>
    </xf>
    <xf borderId="3" fillId="20" fontId="275" numFmtId="164" xfId="0" applyAlignment="1" applyBorder="1" applyFont="1" applyNumberFormat="1">
      <alignment horizontal="center" vertical="center"/>
    </xf>
    <xf borderId="3" fillId="27" fontId="178" numFmtId="0" xfId="0" applyAlignment="1" applyBorder="1" applyFont="1">
      <alignment horizontal="left" vertical="center"/>
    </xf>
    <xf borderId="0" fillId="0" fontId="247" numFmtId="0" xfId="0" applyFont="1"/>
    <xf borderId="3" fillId="4" fontId="276" numFmtId="167" xfId="0" applyBorder="1" applyFont="1" applyNumberFormat="1"/>
    <xf borderId="3" fillId="20" fontId="275" numFmtId="10" xfId="0" applyAlignment="1" applyBorder="1" applyFont="1" applyNumberFormat="1">
      <alignment horizontal="center" vertical="center"/>
    </xf>
    <xf borderId="3" fillId="27" fontId="186" numFmtId="164" xfId="0" applyAlignment="1" applyBorder="1" applyFont="1" applyNumberFormat="1">
      <alignment horizontal="center" vertical="center"/>
    </xf>
    <xf borderId="3" fillId="28" fontId="186" numFmtId="164" xfId="0" applyAlignment="1" applyBorder="1" applyFont="1" applyNumberFormat="1">
      <alignment horizontal="center" vertical="center"/>
    </xf>
    <xf borderId="3" fillId="68" fontId="39" numFmtId="0" xfId="0" applyBorder="1" applyFont="1"/>
    <xf borderId="3" fillId="68" fontId="244" numFmtId="0" xfId="0" applyAlignment="1" applyBorder="1" applyFont="1">
      <alignment horizontal="left" shrinkToFit="0" vertical="center" wrapText="1"/>
    </xf>
    <xf borderId="3" fillId="68" fontId="17" numFmtId="0" xfId="0" applyAlignment="1" applyBorder="1" applyFont="1">
      <alignment horizontal="left" shrinkToFit="0" vertical="center" wrapText="1"/>
    </xf>
    <xf borderId="1" fillId="68" fontId="17" numFmtId="0" xfId="0" applyAlignment="1" applyBorder="1" applyFont="1">
      <alignment horizontal="left" shrinkToFit="0" vertical="center" wrapText="1"/>
    </xf>
    <xf borderId="3" fillId="27" fontId="244" numFmtId="0" xfId="0" applyAlignment="1" applyBorder="1" applyFont="1">
      <alignment horizontal="left" shrinkToFit="0" vertical="center" wrapText="1"/>
    </xf>
    <xf borderId="3" fillId="27" fontId="245" numFmtId="164" xfId="0" applyBorder="1" applyFont="1" applyNumberFormat="1"/>
    <xf borderId="1" fillId="27" fontId="247" numFmtId="0" xfId="0" applyAlignment="1" applyBorder="1" applyFont="1">
      <alignment horizontal="left" shrinkToFit="0" vertical="center" wrapText="1"/>
    </xf>
    <xf borderId="3" fillId="68" fontId="245" numFmtId="0" xfId="0" applyBorder="1" applyFont="1"/>
    <xf borderId="1" fillId="68" fontId="247" numFmtId="0" xfId="0" applyAlignment="1" applyBorder="1" applyFont="1">
      <alignment horizontal="left" shrinkToFit="0" vertical="center" wrapText="1"/>
    </xf>
    <xf borderId="3" fillId="68" fontId="245" numFmtId="164" xfId="0" applyBorder="1" applyFont="1" applyNumberFormat="1"/>
    <xf borderId="3" fillId="64" fontId="245" numFmtId="164" xfId="0" applyBorder="1" applyFont="1" applyNumberFormat="1"/>
    <xf borderId="3" fillId="27" fontId="246" numFmtId="0" xfId="0" applyBorder="1" applyFont="1"/>
    <xf borderId="3" fillId="29" fontId="277" numFmtId="0" xfId="0" applyBorder="1" applyFont="1"/>
    <xf borderId="3" fillId="64" fontId="246" numFmtId="0" xfId="0" applyBorder="1" applyFont="1"/>
    <xf borderId="3" fillId="27" fontId="244" numFmtId="0" xfId="0" applyBorder="1" applyFont="1"/>
    <xf borderId="3" fillId="26" fontId="278" numFmtId="0" xfId="0" applyAlignment="1" applyBorder="1" applyFont="1">
      <alignment horizontal="center" vertical="center"/>
    </xf>
    <xf borderId="3" fillId="20" fontId="279" numFmtId="0" xfId="0" applyBorder="1" applyFont="1"/>
    <xf borderId="3" fillId="21" fontId="115" numFmtId="0" xfId="0" applyAlignment="1" applyBorder="1" applyFont="1">
      <alignment horizontal="center" vertical="center"/>
    </xf>
    <xf borderId="3" fillId="68" fontId="244" numFmtId="0" xfId="0" applyBorder="1" applyFont="1"/>
    <xf borderId="3" fillId="64" fontId="280" numFmtId="165" xfId="0" applyAlignment="1" applyBorder="1" applyFont="1" applyNumberFormat="1">
      <alignment horizontal="center"/>
    </xf>
    <xf borderId="3" fillId="27" fontId="281" numFmtId="165" xfId="0" applyAlignment="1" applyBorder="1" applyFont="1" applyNumberFormat="1">
      <alignment horizontal="center"/>
    </xf>
    <xf borderId="3" fillId="27" fontId="282" numFmtId="0" xfId="0" applyBorder="1" applyFont="1"/>
    <xf borderId="3" fillId="68" fontId="281" numFmtId="164" xfId="0" applyBorder="1" applyFont="1" applyNumberFormat="1"/>
    <xf borderId="3" fillId="68" fontId="282" numFmtId="0" xfId="0" applyBorder="1" applyFont="1"/>
    <xf borderId="3" fillId="19" fontId="189" numFmtId="164" xfId="0" applyBorder="1" applyFont="1" applyNumberFormat="1"/>
    <xf borderId="3" fillId="27" fontId="35" numFmtId="0" xfId="0" applyBorder="1" applyFont="1"/>
    <xf borderId="3" fillId="64" fontId="283" numFmtId="164" xfId="0" applyAlignment="1" applyBorder="1" applyFont="1" applyNumberFormat="1">
      <alignment horizontal="center" shrinkToFit="0" vertical="center" wrapText="1"/>
    </xf>
    <xf borderId="3" fillId="17" fontId="284" numFmtId="0" xfId="0" applyAlignment="1" applyBorder="1" applyFont="1">
      <alignment horizontal="left" shrinkToFit="0" vertical="center" wrapText="1"/>
    </xf>
    <xf borderId="3" fillId="8" fontId="285" numFmtId="0" xfId="0" applyAlignment="1" applyBorder="1" applyFont="1">
      <alignment horizontal="left" vertical="center"/>
    </xf>
    <xf borderId="3" fillId="23" fontId="251" numFmtId="4" xfId="0" applyBorder="1" applyFont="1" applyNumberFormat="1"/>
    <xf borderId="3" fillId="68" fontId="76" numFmtId="0" xfId="0" applyAlignment="1" applyBorder="1" applyFont="1">
      <alignment horizontal="left" vertical="center"/>
    </xf>
    <xf borderId="3" fillId="68" fontId="211" numFmtId="0" xfId="0" applyAlignment="1" applyBorder="1" applyFont="1">
      <alignment horizontal="left" vertical="center"/>
    </xf>
    <xf borderId="3" fillId="27" fontId="76" numFmtId="0" xfId="0" applyAlignment="1" applyBorder="1" applyFont="1">
      <alignment horizontal="left" vertical="center"/>
    </xf>
    <xf borderId="3" fillId="27" fontId="211" numFmtId="0" xfId="0" applyAlignment="1" applyBorder="1" applyFont="1">
      <alignment horizontal="left" vertical="center"/>
    </xf>
    <xf borderId="3" fillId="19" fontId="52" numFmtId="167" xfId="0" applyBorder="1" applyFont="1" applyNumberFormat="1"/>
    <xf borderId="3" fillId="68" fontId="35" numFmtId="0" xfId="0" applyBorder="1" applyFont="1"/>
    <xf borderId="3" fillId="23" fontId="286" numFmtId="167" xfId="0" applyBorder="1" applyFont="1" applyNumberFormat="1"/>
    <xf borderId="3" fillId="53" fontId="264" numFmtId="0" xfId="0" applyBorder="1" applyFont="1"/>
    <xf borderId="0" fillId="0" fontId="100" numFmtId="0" xfId="0" applyFont="1"/>
    <xf borderId="0" fillId="0" fontId="100" numFmtId="164" xfId="0" applyFont="1" applyNumberFormat="1"/>
    <xf borderId="3" fillId="14" fontId="100" numFmtId="0" xfId="0" applyAlignment="1" applyBorder="1" applyFont="1">
      <alignment horizontal="left" vertical="center"/>
    </xf>
    <xf borderId="0" fillId="0" fontId="100" numFmtId="165" xfId="0" applyFont="1" applyNumberFormat="1"/>
    <xf borderId="3" fillId="12" fontId="100" numFmtId="0" xfId="0" applyAlignment="1" applyBorder="1" applyFont="1">
      <alignment horizontal="left" vertical="center"/>
    </xf>
    <xf borderId="3" fillId="8" fontId="73" numFmtId="0" xfId="0" applyAlignment="1" applyBorder="1" applyFont="1">
      <alignment horizontal="left" vertical="center"/>
    </xf>
    <xf borderId="3" fillId="23" fontId="251" numFmtId="184" xfId="0" applyAlignment="1" applyBorder="1" applyFont="1" applyNumberFormat="1">
      <alignment horizontal="center" vertical="center"/>
    </xf>
    <xf borderId="1" fillId="22" fontId="50" numFmtId="0" xfId="0" applyAlignment="1" applyBorder="1" applyFont="1">
      <alignment horizontal="left" vertical="center"/>
    </xf>
    <xf borderId="3" fillId="19" fontId="189" numFmtId="184" xfId="0" applyAlignment="1" applyBorder="1" applyFont="1" applyNumberFormat="1">
      <alignment horizontal="center" vertical="center"/>
    </xf>
    <xf borderId="1" fillId="22" fontId="35" numFmtId="0" xfId="0" applyAlignment="1" applyBorder="1" applyFont="1">
      <alignment horizontal="left" vertical="center"/>
    </xf>
    <xf borderId="3" fillId="22" fontId="50" numFmtId="0" xfId="0" applyAlignment="1" applyBorder="1" applyFont="1">
      <alignment horizontal="left" vertical="center"/>
    </xf>
    <xf borderId="1" fillId="23" fontId="36" numFmtId="0" xfId="0" applyAlignment="1" applyBorder="1" applyFont="1">
      <alignment horizontal="center" vertical="center"/>
    </xf>
    <xf borderId="1" fillId="25" fontId="204" numFmtId="0" xfId="0" applyAlignment="1" applyBorder="1" applyFont="1">
      <alignment horizontal="center" vertical="center"/>
    </xf>
    <xf borderId="3" fillId="12" fontId="51" numFmtId="0" xfId="0" applyAlignment="1" applyBorder="1" applyFont="1">
      <alignment horizontal="left" vertical="center"/>
    </xf>
    <xf borderId="3" fillId="21" fontId="73" numFmtId="0" xfId="0" applyAlignment="1" applyBorder="1" applyFont="1">
      <alignment horizontal="left" vertical="center"/>
    </xf>
    <xf borderId="1" fillId="7" fontId="49" numFmtId="0" xfId="0" applyAlignment="1" applyBorder="1" applyFont="1">
      <alignment horizontal="left" vertical="center"/>
    </xf>
    <xf borderId="1" fillId="21" fontId="73" numFmtId="0" xfId="0" applyAlignment="1" applyBorder="1" applyFont="1">
      <alignment horizontal="left" vertical="center"/>
    </xf>
    <xf borderId="3" fillId="7" fontId="49" numFmtId="0" xfId="0" applyAlignment="1" applyBorder="1" applyFont="1">
      <alignment horizontal="left" vertical="center"/>
    </xf>
    <xf borderId="3" fillId="15" fontId="70" numFmtId="0" xfId="0" applyAlignment="1" applyBorder="1" applyFont="1">
      <alignment horizontal="center" vertical="center"/>
    </xf>
    <xf borderId="1" fillId="27" fontId="70" numFmtId="0" xfId="0" applyAlignment="1" applyBorder="1" applyFont="1">
      <alignment horizontal="center" vertical="center"/>
    </xf>
    <xf borderId="1" fillId="15" fontId="70" numFmtId="0" xfId="0" applyAlignment="1" applyBorder="1" applyFont="1">
      <alignment horizontal="center" vertical="center"/>
    </xf>
    <xf borderId="3" fillId="27" fontId="70" numFmtId="0" xfId="0" applyAlignment="1" applyBorder="1" applyFont="1">
      <alignment horizontal="center" vertical="center"/>
    </xf>
    <xf borderId="3" fillId="25" fontId="73" numFmtId="0" xfId="0" applyAlignment="1" applyBorder="1" applyFont="1">
      <alignment horizontal="left" vertical="center"/>
    </xf>
    <xf borderId="1" fillId="7" fontId="50" numFmtId="0" xfId="0" applyAlignment="1" applyBorder="1" applyFont="1">
      <alignment horizontal="left" vertical="center"/>
    </xf>
    <xf borderId="3" fillId="25" fontId="204" numFmtId="0" xfId="0" applyBorder="1" applyFont="1"/>
    <xf borderId="1" fillId="25" fontId="73" numFmtId="0" xfId="0" applyAlignment="1" applyBorder="1" applyFont="1">
      <alignment horizontal="left" vertical="center"/>
    </xf>
    <xf borderId="3" fillId="7" fontId="50" numFmtId="0" xfId="0" applyAlignment="1" applyBorder="1" applyFont="1">
      <alignment horizontal="left" vertical="center"/>
    </xf>
    <xf borderId="3" fillId="25" fontId="204" numFmtId="0" xfId="0" applyAlignment="1" applyBorder="1" applyFont="1">
      <alignment horizontal="center" vertical="center"/>
    </xf>
    <xf borderId="3" fillId="3" fontId="51" numFmtId="0" xfId="0" applyAlignment="1" applyBorder="1" applyFont="1">
      <alignment horizontal="left" vertical="center"/>
    </xf>
    <xf borderId="1" fillId="3" fontId="51" numFmtId="0" xfId="0" applyAlignment="1" applyBorder="1" applyFont="1">
      <alignment horizontal="center" vertical="center"/>
    </xf>
    <xf borderId="1" fillId="27" fontId="73" numFmtId="0" xfId="0" applyAlignment="1" applyBorder="1" applyFont="1">
      <alignment horizontal="left" vertical="center"/>
    </xf>
    <xf borderId="3" fillId="8" fontId="47" numFmtId="4" xfId="0" applyAlignment="1" applyBorder="1" applyFont="1" applyNumberFormat="1">
      <alignment horizontal="center" vertical="center"/>
    </xf>
    <xf borderId="1" fillId="23" fontId="73" numFmtId="4" xfId="0" applyAlignment="1" applyBorder="1" applyFont="1" applyNumberFormat="1">
      <alignment horizontal="center" vertical="center"/>
    </xf>
    <xf borderId="3" fillId="17" fontId="287" numFmtId="0" xfId="0" applyAlignment="1" applyBorder="1" applyFont="1">
      <alignment horizontal="left" shrinkToFit="0" vertical="center" wrapText="1"/>
    </xf>
    <xf borderId="3" fillId="18" fontId="73" numFmtId="0" xfId="0" applyAlignment="1" applyBorder="1" applyFont="1">
      <alignment horizontal="left" vertical="center"/>
    </xf>
    <xf borderId="3" fillId="22" fontId="49" numFmtId="0" xfId="0" applyAlignment="1" applyBorder="1" applyFont="1">
      <alignment horizontal="center" vertical="center"/>
    </xf>
    <xf borderId="1" fillId="18" fontId="73" numFmtId="0" xfId="0" applyAlignment="1" applyBorder="1" applyFont="1">
      <alignment horizontal="left" vertical="center"/>
    </xf>
    <xf borderId="3" fillId="54" fontId="51" numFmtId="0" xfId="0" applyAlignment="1" applyBorder="1" applyFont="1">
      <alignment horizontal="center" vertical="center"/>
    </xf>
    <xf borderId="3" fillId="67" fontId="73" numFmtId="0" xfId="0" applyAlignment="1" applyBorder="1" applyFont="1">
      <alignment horizontal="center" vertical="center"/>
    </xf>
    <xf borderId="3" fillId="67" fontId="47" numFmtId="0" xfId="0" applyAlignment="1" applyBorder="1" applyFont="1">
      <alignment horizontal="center" vertical="center"/>
    </xf>
    <xf borderId="3" fillId="67" fontId="28" numFmtId="0" xfId="0" applyAlignment="1" applyBorder="1" applyFont="1">
      <alignment horizontal="center" vertical="center"/>
    </xf>
    <xf borderId="3" fillId="67" fontId="288" numFmtId="0" xfId="0" applyAlignment="1" applyBorder="1" applyFont="1">
      <alignment horizontal="left" vertical="center"/>
    </xf>
    <xf borderId="3" fillId="27" fontId="73" numFmtId="0" xfId="0" applyAlignment="1" applyBorder="1" applyFont="1">
      <alignment horizontal="center" vertical="center"/>
    </xf>
    <xf borderId="3" fillId="27" fontId="28" numFmtId="0" xfId="0" applyAlignment="1" applyBorder="1" applyFont="1">
      <alignment horizontal="center" vertical="center"/>
    </xf>
    <xf borderId="3" fillId="27" fontId="288" numFmtId="0" xfId="0" applyAlignment="1" applyBorder="1" applyFont="1">
      <alignment horizontal="left" vertical="center"/>
    </xf>
    <xf borderId="1" fillId="67" fontId="73" numFmtId="0" xfId="0" applyAlignment="1" applyBorder="1" applyFont="1">
      <alignment horizontal="center" vertical="center"/>
    </xf>
    <xf borderId="1" fillId="67" fontId="70" numFmtId="0" xfId="0" applyAlignment="1" applyBorder="1" applyFont="1">
      <alignment horizontal="center" vertical="center"/>
    </xf>
    <xf borderId="3" fillId="27" fontId="289" numFmtId="0" xfId="0" applyAlignment="1" applyBorder="1" applyFont="1">
      <alignment horizontal="center" vertical="center"/>
    </xf>
    <xf borderId="3" fillId="19" fontId="35" numFmtId="0" xfId="0" applyAlignment="1" applyBorder="1" applyFont="1">
      <alignment horizontal="left" shrinkToFit="0" vertical="center" wrapText="1"/>
    </xf>
    <xf borderId="3" fillId="15" fontId="73" numFmtId="0" xfId="0" applyAlignment="1" applyBorder="1" applyFont="1">
      <alignment horizontal="left" vertical="center"/>
    </xf>
    <xf borderId="3" fillId="23" fontId="73" numFmtId="0" xfId="0" applyAlignment="1" applyBorder="1" applyFont="1">
      <alignment horizontal="center" vertical="center"/>
    </xf>
    <xf borderId="3" fillId="15" fontId="50" numFmtId="0" xfId="0" applyAlignment="1" applyBorder="1" applyFont="1">
      <alignment horizontal="left" vertical="center"/>
    </xf>
    <xf borderId="3" fillId="17" fontId="73" numFmtId="0" xfId="0" applyAlignment="1" applyBorder="1" applyFont="1">
      <alignment horizontal="left" vertical="center"/>
    </xf>
    <xf borderId="3" fillId="18" fontId="290" numFmtId="0" xfId="0" applyAlignment="1" applyBorder="1" applyFont="1">
      <alignment horizontal="center" vertical="center"/>
    </xf>
    <xf borderId="3" fillId="17" fontId="50" numFmtId="0" xfId="0" applyAlignment="1" applyBorder="1" applyFont="1">
      <alignment horizontal="left" vertical="center"/>
    </xf>
    <xf borderId="36" fillId="36" fontId="74" numFmtId="0" xfId="0" applyAlignment="1" applyBorder="1" applyFont="1">
      <alignment horizontal="center" shrinkToFit="0" vertical="center" wrapText="1"/>
    </xf>
    <xf borderId="36" fillId="7" fontId="269" numFmtId="164" xfId="0" applyAlignment="1" applyBorder="1" applyFont="1" applyNumberFormat="1">
      <alignment horizontal="right" vertical="center"/>
    </xf>
    <xf borderId="36" fillId="27" fontId="96" numFmtId="0" xfId="0" applyAlignment="1" applyBorder="1" applyFont="1">
      <alignment horizontal="left" shrinkToFit="0" vertical="center" wrapText="1"/>
    </xf>
    <xf borderId="36" fillId="26" fontId="291" numFmtId="1" xfId="0" applyAlignment="1" applyBorder="1" applyFont="1" applyNumberFormat="1">
      <alignment horizontal="right" vertical="center"/>
    </xf>
    <xf borderId="36" fillId="52" fontId="104" numFmtId="164" xfId="0" applyAlignment="1" applyBorder="1" applyFont="1" applyNumberFormat="1">
      <alignment horizontal="right" vertical="center"/>
    </xf>
    <xf borderId="36" fillId="26" fontId="291" numFmtId="164" xfId="0" applyAlignment="1" applyBorder="1" applyFont="1" applyNumberFormat="1">
      <alignment horizontal="right" vertical="center"/>
    </xf>
    <xf borderId="36" fillId="53" fontId="102" numFmtId="0" xfId="0" applyAlignment="1" applyBorder="1" applyFont="1">
      <alignment horizontal="left" shrinkToFit="0" vertical="center" wrapText="1"/>
    </xf>
    <xf borderId="36" fillId="53" fontId="102" numFmtId="166" xfId="0" applyAlignment="1" applyBorder="1" applyFont="1" applyNumberFormat="1">
      <alignment horizontal="right" vertical="center"/>
    </xf>
    <xf borderId="36" fillId="52" fontId="104" numFmtId="9" xfId="0" applyAlignment="1" applyBorder="1" applyFont="1" applyNumberFormat="1">
      <alignment horizontal="right" vertical="center"/>
    </xf>
    <xf borderId="5" fillId="0" fontId="94" numFmtId="0" xfId="0" applyAlignment="1" applyBorder="1" applyFont="1">
      <alignment horizontal="left" shrinkToFit="0" vertical="center" wrapText="1"/>
    </xf>
    <xf borderId="5" fillId="0" fontId="95" numFmtId="164" xfId="0" applyAlignment="1" applyBorder="1" applyFont="1" applyNumberFormat="1">
      <alignment horizontal="right" vertical="center"/>
    </xf>
    <xf borderId="5" fillId="0" fontId="96" numFmtId="0" xfId="0" applyAlignment="1" applyBorder="1" applyFont="1">
      <alignment horizontal="left" shrinkToFit="0" vertical="center" wrapText="1"/>
    </xf>
    <xf borderId="36" fillId="52" fontId="259" numFmtId="0" xfId="0" applyAlignment="1" applyBorder="1" applyFont="1">
      <alignment horizontal="left" shrinkToFit="0" vertical="center" wrapText="1"/>
    </xf>
    <xf borderId="36" fillId="52" fontId="96" numFmtId="0" xfId="0" applyAlignment="1" applyBorder="1" applyFont="1">
      <alignment horizontal="left" shrinkToFit="0" vertical="center" wrapText="1"/>
    </xf>
    <xf borderId="36" fillId="52" fontId="39" numFmtId="0" xfId="0" applyBorder="1" applyFont="1"/>
    <xf borderId="5" fillId="0" fontId="39" numFmtId="0" xfId="0" applyBorder="1" applyFont="1"/>
    <xf borderId="5" fillId="0" fontId="18" numFmtId="0" xfId="0" applyAlignment="1" applyBorder="1" applyFont="1">
      <alignment horizontal="left" shrinkToFit="0" vertical="center" wrapText="1"/>
    </xf>
    <xf borderId="5" fillId="0" fontId="98" numFmtId="164" xfId="0" applyAlignment="1" applyBorder="1" applyFont="1" applyNumberFormat="1">
      <alignment horizontal="right" vertical="center"/>
    </xf>
    <xf borderId="5" fillId="0" fontId="98" numFmtId="49" xfId="0" applyAlignment="1" applyBorder="1" applyFont="1" applyNumberFormat="1">
      <alignment horizontal="right" vertical="center"/>
    </xf>
    <xf borderId="5" fillId="0" fontId="95" numFmtId="165" xfId="0" applyAlignment="1" applyBorder="1" applyFont="1" applyNumberFormat="1">
      <alignment horizontal="right" vertical="center"/>
    </xf>
    <xf borderId="5" fillId="0" fontId="95" numFmtId="49" xfId="0" applyAlignment="1" applyBorder="1" applyFont="1" applyNumberFormat="1">
      <alignment horizontal="right" vertical="center"/>
    </xf>
    <xf borderId="5" fillId="0" fontId="102" numFmtId="9" xfId="0" applyAlignment="1" applyBorder="1" applyFont="1" applyNumberFormat="1">
      <alignment horizontal="right" vertical="center"/>
    </xf>
    <xf borderId="5" fillId="0" fontId="105" numFmtId="0" xfId="0" applyAlignment="1" applyBorder="1" applyFont="1">
      <alignment horizontal="left" shrinkToFit="0" vertical="center" wrapText="1"/>
    </xf>
    <xf borderId="36" fillId="24" fontId="18" numFmtId="0" xfId="0" applyAlignment="1" applyBorder="1" applyFont="1">
      <alignment horizontal="left" shrinkToFit="0" vertical="center" wrapText="1"/>
    </xf>
    <xf borderId="36" fillId="24" fontId="105" numFmtId="0" xfId="0" applyAlignment="1" applyBorder="1" applyFont="1">
      <alignment horizontal="left" shrinkToFit="0" vertical="center" wrapText="1"/>
    </xf>
    <xf borderId="36" fillId="24" fontId="96" numFmtId="0" xfId="0" applyAlignment="1" applyBorder="1" applyFont="1">
      <alignment horizontal="left" shrinkToFit="0" vertical="center" wrapText="1"/>
    </xf>
    <xf borderId="36" fillId="24" fontId="39" numFmtId="0" xfId="0" applyBorder="1" applyFont="1"/>
    <xf borderId="36" fillId="24" fontId="74" numFmtId="0" xfId="0" applyAlignment="1" applyBorder="1" applyFont="1">
      <alignment horizontal="center" shrinkToFit="0" vertical="center" wrapText="1"/>
    </xf>
    <xf borderId="36" fillId="7" fontId="292" numFmtId="0" xfId="0" applyAlignment="1" applyBorder="1" applyFont="1">
      <alignment horizontal="left" shrinkToFit="0" vertical="center" wrapText="1"/>
    </xf>
    <xf borderId="36" fillId="7" fontId="94" numFmtId="0" xfId="0" applyAlignment="1" applyBorder="1" applyFont="1">
      <alignment horizontal="left" shrinkToFit="0" vertical="center" wrapText="1"/>
    </xf>
    <xf borderId="36" fillId="7" fontId="104" numFmtId="0" xfId="0" applyAlignment="1" applyBorder="1" applyFont="1">
      <alignment horizontal="left" shrinkToFit="0" vertical="center" wrapText="1"/>
    </xf>
    <xf borderId="36" fillId="27" fontId="262" numFmtId="0" xfId="0" applyAlignment="1" applyBorder="1" applyFont="1">
      <alignment horizontal="left" shrinkToFit="0" vertical="center" wrapText="1"/>
    </xf>
    <xf borderId="36" fillId="22" fontId="96" numFmtId="0" xfId="0" applyAlignment="1" applyBorder="1" applyFont="1">
      <alignment horizontal="left" shrinkToFit="0" vertical="center" wrapText="1"/>
    </xf>
    <xf borderId="36" fillId="53" fontId="94" numFmtId="0" xfId="0" applyAlignment="1" applyBorder="1" applyFont="1">
      <alignment horizontal="left" shrinkToFit="0" vertical="center" wrapText="1"/>
    </xf>
    <xf borderId="3" fillId="13" fontId="74" numFmtId="0" xfId="0" applyAlignment="1" applyBorder="1" applyFont="1">
      <alignment vertical="center"/>
    </xf>
    <xf borderId="3" fillId="12" fontId="78" numFmtId="0" xfId="0" applyAlignment="1" applyBorder="1" applyFont="1">
      <alignment vertical="center"/>
    </xf>
    <xf borderId="3" fillId="61" fontId="293" numFmtId="0" xfId="0" applyBorder="1" applyFont="1"/>
    <xf borderId="0" fillId="0" fontId="294" numFmtId="0" xfId="0" applyAlignment="1" applyFont="1">
      <alignment horizontal="left" vertical="center"/>
    </xf>
    <xf borderId="1" fillId="13" fontId="295" numFmtId="0" xfId="0" applyAlignment="1" applyBorder="1" applyFont="1">
      <alignment horizontal="left" vertical="center"/>
    </xf>
    <xf borderId="1" fillId="3" fontId="296" numFmtId="0" xfId="0" applyAlignment="1" applyBorder="1" applyFont="1">
      <alignment horizontal="left" vertical="center"/>
    </xf>
    <xf borderId="1" fillId="63" fontId="297" numFmtId="0" xfId="0" applyAlignment="1" applyBorder="1" applyFont="1">
      <alignment horizontal="left" vertical="center"/>
    </xf>
    <xf borderId="39" fillId="13" fontId="126" numFmtId="0" xfId="0" applyAlignment="1" applyBorder="1" applyFont="1">
      <alignment horizontal="center" shrinkToFit="0" vertical="center" wrapText="1"/>
    </xf>
    <xf borderId="4" fillId="29" fontId="298" numFmtId="0" xfId="0" applyAlignment="1" applyBorder="1" applyFont="1">
      <alignment horizontal="center" vertical="center"/>
    </xf>
    <xf borderId="4" fillId="29" fontId="299" numFmtId="0" xfId="0" applyAlignment="1" applyBorder="1" applyFont="1">
      <alignment horizontal="center" vertical="center"/>
    </xf>
    <xf borderId="4" fillId="29" fontId="300" numFmtId="0" xfId="0" applyAlignment="1" applyBorder="1" applyFont="1">
      <alignment horizontal="left" shrinkToFit="0" vertical="center" wrapText="1"/>
    </xf>
    <xf borderId="4" fillId="29" fontId="122" numFmtId="0" xfId="0" applyAlignment="1" applyBorder="1" applyFont="1">
      <alignment horizontal="left" shrinkToFit="0" vertical="center" wrapText="1"/>
    </xf>
    <xf borderId="4" fillId="29" fontId="301" numFmtId="1" xfId="0" applyAlignment="1" applyBorder="1" applyFont="1" applyNumberFormat="1">
      <alignment horizontal="center" vertical="center"/>
    </xf>
    <xf borderId="4" fillId="29" fontId="160" numFmtId="0" xfId="0" applyAlignment="1" applyBorder="1" applyFont="1">
      <alignment horizontal="center" vertical="center"/>
    </xf>
    <xf borderId="4" fillId="29" fontId="163" numFmtId="0" xfId="0" applyAlignment="1" applyBorder="1" applyFont="1">
      <alignment horizontal="center" vertical="center"/>
    </xf>
    <xf borderId="4" fillId="29" fontId="122" numFmtId="0" xfId="0" applyAlignment="1" applyBorder="1" applyFont="1">
      <alignment horizontal="center" vertical="center"/>
    </xf>
    <xf borderId="4" fillId="7" fontId="302" numFmtId="0" xfId="0" applyAlignment="1" applyBorder="1" applyFont="1">
      <alignment horizontal="left" shrinkToFit="0" vertical="center" wrapText="1"/>
    </xf>
    <xf borderId="4" fillId="69" fontId="298" numFmtId="0" xfId="0" applyAlignment="1" applyBorder="1" applyFill="1" applyFont="1">
      <alignment horizontal="center" vertical="center"/>
    </xf>
    <xf borderId="4" fillId="69" fontId="299" numFmtId="0" xfId="0" applyAlignment="1" applyBorder="1" applyFont="1">
      <alignment horizontal="center" vertical="center"/>
    </xf>
    <xf borderId="4" fillId="69" fontId="300" numFmtId="0" xfId="0" applyAlignment="1" applyBorder="1" applyFont="1">
      <alignment horizontal="left" shrinkToFit="0" vertical="center" wrapText="1"/>
    </xf>
    <xf borderId="4" fillId="69" fontId="122" numFmtId="0" xfId="0" applyAlignment="1" applyBorder="1" applyFont="1">
      <alignment horizontal="left" shrinkToFit="0" vertical="center" wrapText="1"/>
    </xf>
    <xf borderId="4" fillId="69" fontId="301" numFmtId="1" xfId="0" applyAlignment="1" applyBorder="1" applyFont="1" applyNumberFormat="1">
      <alignment horizontal="center" vertical="center"/>
    </xf>
    <xf borderId="4" fillId="69" fontId="160" numFmtId="0" xfId="0" applyAlignment="1" applyBorder="1" applyFont="1">
      <alignment horizontal="center" vertical="center"/>
    </xf>
    <xf borderId="4" fillId="69" fontId="303" numFmtId="0" xfId="0" applyAlignment="1" applyBorder="1" applyFont="1">
      <alignment horizontal="center" vertical="center"/>
    </xf>
    <xf borderId="4" fillId="69" fontId="122" numFmtId="0" xfId="0" applyAlignment="1" applyBorder="1" applyFont="1">
      <alignment horizontal="center" vertical="center"/>
    </xf>
    <xf borderId="4" fillId="29" fontId="303" numFmtId="0" xfId="0" applyAlignment="1" applyBorder="1" applyFont="1">
      <alignment horizontal="center" vertical="center"/>
    </xf>
    <xf borderId="4" fillId="69" fontId="163" numFmtId="0" xfId="0" applyAlignment="1" applyBorder="1" applyFont="1">
      <alignment horizontal="center" vertical="center"/>
    </xf>
    <xf borderId="4" fillId="63" fontId="298" numFmtId="0" xfId="0" applyAlignment="1" applyBorder="1" applyFont="1">
      <alignment horizontal="center" vertical="center"/>
    </xf>
    <xf borderId="4" fillId="63" fontId="299" numFmtId="0" xfId="0" applyAlignment="1" applyBorder="1" applyFont="1">
      <alignment horizontal="center" vertical="center"/>
    </xf>
    <xf borderId="4" fillId="63" fontId="300" numFmtId="0" xfId="0" applyAlignment="1" applyBorder="1" applyFont="1">
      <alignment horizontal="left" shrinkToFit="0" vertical="center" wrapText="1"/>
    </xf>
    <xf borderId="4" fillId="63" fontId="122" numFmtId="0" xfId="0" applyAlignment="1" applyBorder="1" applyFont="1">
      <alignment horizontal="left" shrinkToFit="0" vertical="center" wrapText="1"/>
    </xf>
    <xf borderId="4" fillId="63" fontId="304" numFmtId="1" xfId="0" applyAlignment="1" applyBorder="1" applyFont="1" applyNumberFormat="1">
      <alignment horizontal="center" vertical="center"/>
    </xf>
    <xf borderId="4" fillId="63" fontId="305" numFmtId="0" xfId="0" applyAlignment="1" applyBorder="1" applyFont="1">
      <alignment horizontal="center" vertical="center"/>
    </xf>
    <xf borderId="4" fillId="63" fontId="163" numFmtId="0" xfId="0" applyAlignment="1" applyBorder="1" applyFont="1">
      <alignment horizontal="center" vertical="center"/>
    </xf>
    <xf borderId="4" fillId="63" fontId="122" numFmtId="0" xfId="0" applyAlignment="1" applyBorder="1" applyFont="1">
      <alignment horizontal="center" vertical="center"/>
    </xf>
    <xf borderId="4" fillId="26" fontId="298" numFmtId="0" xfId="0" applyAlignment="1" applyBorder="1" applyFont="1">
      <alignment horizontal="center" vertical="center"/>
    </xf>
    <xf borderId="4" fillId="26" fontId="299" numFmtId="0" xfId="0" applyAlignment="1" applyBorder="1" applyFont="1">
      <alignment horizontal="center" vertical="center"/>
    </xf>
    <xf borderId="4" fillId="26" fontId="300" numFmtId="0" xfId="0" applyAlignment="1" applyBorder="1" applyFont="1">
      <alignment horizontal="left" shrinkToFit="0" vertical="center" wrapText="1"/>
    </xf>
    <xf borderId="4" fillId="26" fontId="122" numFmtId="0" xfId="0" applyAlignment="1" applyBorder="1" applyFont="1">
      <alignment horizontal="left" shrinkToFit="0" vertical="center" wrapText="1"/>
    </xf>
    <xf borderId="4" fillId="26" fontId="304" numFmtId="1" xfId="0" applyAlignment="1" applyBorder="1" applyFont="1" applyNumberFormat="1">
      <alignment horizontal="center" vertical="center"/>
    </xf>
    <xf borderId="4" fillId="26" fontId="305" numFmtId="0" xfId="0" applyAlignment="1" applyBorder="1" applyFont="1">
      <alignment horizontal="center" vertical="center"/>
    </xf>
    <xf borderId="4" fillId="26" fontId="163" numFmtId="0" xfId="0" applyAlignment="1" applyBorder="1" applyFont="1">
      <alignment horizontal="center" vertical="center"/>
    </xf>
    <xf borderId="4" fillId="26" fontId="122" numFmtId="0" xfId="0" applyAlignment="1" applyBorder="1" applyFont="1">
      <alignment horizontal="center" vertical="center"/>
    </xf>
    <xf borderId="4" fillId="63" fontId="303" numFmtId="0" xfId="0" applyAlignment="1" applyBorder="1" applyFont="1">
      <alignment horizontal="center" vertical="center"/>
    </xf>
    <xf borderId="4" fillId="26" fontId="303" numFmtId="0" xfId="0" applyAlignment="1" applyBorder="1" applyFont="1">
      <alignment horizontal="center" vertical="center"/>
    </xf>
    <xf borderId="4" fillId="20" fontId="298" numFmtId="0" xfId="0" applyAlignment="1" applyBorder="1" applyFont="1">
      <alignment horizontal="center" vertical="center"/>
    </xf>
    <xf borderId="4" fillId="20" fontId="299" numFmtId="0" xfId="0" applyAlignment="1" applyBorder="1" applyFont="1">
      <alignment horizontal="center" vertical="center"/>
    </xf>
    <xf borderId="4" fillId="20" fontId="300" numFmtId="0" xfId="0" applyAlignment="1" applyBorder="1" applyFont="1">
      <alignment horizontal="left" shrinkToFit="0" vertical="center" wrapText="1"/>
    </xf>
    <xf borderId="4" fillId="20" fontId="122" numFmtId="0" xfId="0" applyAlignment="1" applyBorder="1" applyFont="1">
      <alignment horizontal="left" shrinkToFit="0" vertical="center" wrapText="1"/>
    </xf>
    <xf borderId="4" fillId="20" fontId="306" numFmtId="1" xfId="0" applyAlignment="1" applyBorder="1" applyFont="1" applyNumberFormat="1">
      <alignment horizontal="center" vertical="center"/>
    </xf>
    <xf borderId="4" fillId="20" fontId="307" numFmtId="0" xfId="0" applyAlignment="1" applyBorder="1" applyFont="1">
      <alignment horizontal="center" vertical="center"/>
    </xf>
    <xf borderId="4" fillId="20" fontId="163" numFmtId="0" xfId="0" applyAlignment="1" applyBorder="1" applyFont="1">
      <alignment horizontal="center" vertical="center"/>
    </xf>
    <xf borderId="4" fillId="20" fontId="122" numFmtId="0" xfId="0" applyAlignment="1" applyBorder="1" applyFont="1">
      <alignment horizontal="center" vertical="center"/>
    </xf>
    <xf borderId="4" fillId="58" fontId="298" numFmtId="0" xfId="0" applyAlignment="1" applyBorder="1" applyFont="1">
      <alignment horizontal="center" vertical="center"/>
    </xf>
    <xf borderId="4" fillId="58" fontId="299" numFmtId="0" xfId="0" applyAlignment="1" applyBorder="1" applyFont="1">
      <alignment horizontal="center" vertical="center"/>
    </xf>
    <xf borderId="4" fillId="58" fontId="300" numFmtId="0" xfId="0" applyAlignment="1" applyBorder="1" applyFont="1">
      <alignment horizontal="left" shrinkToFit="0" vertical="center" wrapText="1"/>
    </xf>
    <xf borderId="4" fillId="58" fontId="122" numFmtId="0" xfId="0" applyAlignment="1" applyBorder="1" applyFont="1">
      <alignment horizontal="left" shrinkToFit="0" vertical="center" wrapText="1"/>
    </xf>
    <xf borderId="4" fillId="58" fontId="306" numFmtId="1" xfId="0" applyAlignment="1" applyBorder="1" applyFont="1" applyNumberFormat="1">
      <alignment horizontal="center" vertical="center"/>
    </xf>
    <xf borderId="4" fillId="58" fontId="307" numFmtId="0" xfId="0" applyAlignment="1" applyBorder="1" applyFont="1">
      <alignment horizontal="center" vertical="center"/>
    </xf>
    <xf borderId="4" fillId="58" fontId="163" numFmtId="0" xfId="0" applyAlignment="1" applyBorder="1" applyFont="1">
      <alignment horizontal="center" vertical="center"/>
    </xf>
    <xf borderId="4" fillId="58" fontId="122" numFmtId="0" xfId="0" applyAlignment="1" applyBorder="1" applyFont="1">
      <alignment horizontal="center" vertical="center"/>
    </xf>
    <xf borderId="4" fillId="20" fontId="303" numFmtId="0" xfId="0" applyAlignment="1" applyBorder="1" applyFont="1">
      <alignment horizontal="center" vertical="center"/>
    </xf>
    <xf borderId="4" fillId="58" fontId="303" numFmtId="0" xfId="0" applyAlignment="1" applyBorder="1" applyFont="1">
      <alignment horizontal="center" vertical="center"/>
    </xf>
    <xf borderId="4" fillId="25" fontId="298" numFmtId="0" xfId="0" applyAlignment="1" applyBorder="1" applyFont="1">
      <alignment horizontal="center" vertical="center"/>
    </xf>
    <xf borderId="4" fillId="25" fontId="299" numFmtId="0" xfId="0" applyAlignment="1" applyBorder="1" applyFont="1">
      <alignment horizontal="center" vertical="center"/>
    </xf>
    <xf borderId="4" fillId="25" fontId="300" numFmtId="0" xfId="0" applyAlignment="1" applyBorder="1" applyFont="1">
      <alignment horizontal="left" shrinkToFit="0" vertical="center" wrapText="1"/>
    </xf>
    <xf borderId="4" fillId="25" fontId="122" numFmtId="0" xfId="0" applyAlignment="1" applyBorder="1" applyFont="1">
      <alignment horizontal="left" shrinkToFit="0" vertical="center" wrapText="1"/>
    </xf>
    <xf borderId="4" fillId="25" fontId="308" numFmtId="1" xfId="0" applyAlignment="1" applyBorder="1" applyFont="1" applyNumberFormat="1">
      <alignment horizontal="center" vertical="center"/>
    </xf>
    <xf borderId="4" fillId="25" fontId="303" numFmtId="0" xfId="0" applyAlignment="1" applyBorder="1" applyFont="1">
      <alignment horizontal="center" vertical="center"/>
    </xf>
    <xf borderId="4" fillId="25" fontId="122" numFmtId="0" xfId="0" applyAlignment="1" applyBorder="1" applyFont="1">
      <alignment horizontal="center" vertical="center"/>
    </xf>
    <xf borderId="4" fillId="62" fontId="298" numFmtId="0" xfId="0" applyAlignment="1" applyBorder="1" applyFont="1">
      <alignment horizontal="center" vertical="center"/>
    </xf>
    <xf borderId="4" fillId="62" fontId="299" numFmtId="0" xfId="0" applyAlignment="1" applyBorder="1" applyFont="1">
      <alignment horizontal="center" vertical="center"/>
    </xf>
    <xf borderId="4" fillId="62" fontId="300" numFmtId="0" xfId="0" applyAlignment="1" applyBorder="1" applyFont="1">
      <alignment horizontal="left" shrinkToFit="0" vertical="center" wrapText="1"/>
    </xf>
    <xf borderId="4" fillId="62" fontId="122" numFmtId="0" xfId="0" applyAlignment="1" applyBorder="1" applyFont="1">
      <alignment horizontal="left" shrinkToFit="0" vertical="center" wrapText="1"/>
    </xf>
    <xf borderId="4" fillId="62" fontId="308" numFmtId="1" xfId="0" applyAlignment="1" applyBorder="1" applyFont="1" applyNumberFormat="1">
      <alignment horizontal="center" vertical="center"/>
    </xf>
    <xf borderId="4" fillId="62" fontId="303" numFmtId="0" xfId="0" applyAlignment="1" applyBorder="1" applyFont="1">
      <alignment horizontal="center" vertical="center"/>
    </xf>
    <xf borderId="4" fillId="62" fontId="163" numFmtId="0" xfId="0" applyAlignment="1" applyBorder="1" applyFont="1">
      <alignment horizontal="center" vertical="center"/>
    </xf>
    <xf borderId="4" fillId="62" fontId="122" numFmtId="0" xfId="0" applyAlignment="1" applyBorder="1" applyFont="1">
      <alignment horizontal="center" vertical="center"/>
    </xf>
    <xf borderId="4" fillId="25" fontId="163" numFmtId="0" xfId="0" applyAlignment="1" applyBorder="1" applyFont="1">
      <alignment horizontal="center" vertical="center"/>
    </xf>
    <xf borderId="4" fillId="56" fontId="298" numFmtId="0" xfId="0" applyAlignment="1" applyBorder="1" applyFont="1">
      <alignment horizontal="center" vertical="center"/>
    </xf>
    <xf borderId="4" fillId="56" fontId="299" numFmtId="0" xfId="0" applyAlignment="1" applyBorder="1" applyFont="1">
      <alignment horizontal="center" vertical="center"/>
    </xf>
    <xf borderId="4" fillId="56" fontId="300" numFmtId="0" xfId="0" applyAlignment="1" applyBorder="1" applyFont="1">
      <alignment horizontal="left" shrinkToFit="0" vertical="center" wrapText="1"/>
    </xf>
    <xf borderId="4" fillId="56" fontId="122" numFmtId="0" xfId="0" applyAlignment="1" applyBorder="1" applyFont="1">
      <alignment horizontal="left" shrinkToFit="0" vertical="center" wrapText="1"/>
    </xf>
    <xf borderId="4" fillId="56" fontId="309" numFmtId="1" xfId="0" applyAlignment="1" applyBorder="1" applyFont="1" applyNumberFormat="1">
      <alignment horizontal="center" vertical="center"/>
    </xf>
    <xf borderId="4" fillId="56" fontId="161" numFmtId="0" xfId="0" applyAlignment="1" applyBorder="1" applyFont="1">
      <alignment horizontal="center" vertical="center"/>
    </xf>
    <xf borderId="4" fillId="56" fontId="163" numFmtId="0" xfId="0" applyAlignment="1" applyBorder="1" applyFont="1">
      <alignment horizontal="center" vertical="center"/>
    </xf>
    <xf borderId="4" fillId="56" fontId="122" numFmtId="0" xfId="0" applyAlignment="1" applyBorder="1" applyFont="1">
      <alignment horizontal="center" vertical="center"/>
    </xf>
    <xf borderId="4" fillId="69" fontId="309" numFmtId="1" xfId="0" applyAlignment="1" applyBorder="1" applyFont="1" applyNumberFormat="1">
      <alignment horizontal="center" vertical="center"/>
    </xf>
    <xf borderId="4" fillId="69" fontId="161" numFmtId="0" xfId="0" applyAlignment="1" applyBorder="1" applyFont="1">
      <alignment horizontal="center" vertical="center"/>
    </xf>
    <xf borderId="4" fillId="56" fontId="303" numFmtId="0" xfId="0" applyAlignment="1" applyBorder="1" applyFont="1">
      <alignment horizontal="center" vertical="center"/>
    </xf>
    <xf borderId="25" fillId="69" fontId="298" numFmtId="0" xfId="0" applyAlignment="1" applyBorder="1" applyFont="1">
      <alignment horizontal="center" vertical="center"/>
    </xf>
    <xf borderId="25" fillId="56" fontId="298" numFmtId="0" xfId="0" applyAlignment="1" applyBorder="1" applyFont="1">
      <alignment horizontal="center" vertical="center"/>
    </xf>
    <xf borderId="25" fillId="69" fontId="299" numFmtId="0" xfId="0" applyAlignment="1" applyBorder="1" applyFont="1">
      <alignment horizontal="center" vertical="center"/>
    </xf>
    <xf borderId="3" fillId="13" fontId="43" numFmtId="0" xfId="0" applyAlignment="1" applyBorder="1" applyFont="1">
      <alignment horizontal="left" vertical="center"/>
    </xf>
    <xf borderId="4" fillId="3" fontId="155" numFmtId="0" xfId="0" applyAlignment="1" applyBorder="1" applyFont="1">
      <alignment horizontal="center" vertical="center"/>
    </xf>
    <xf borderId="3" fillId="3" fontId="89" numFmtId="0" xfId="0" applyAlignment="1" applyBorder="1" applyFont="1">
      <alignment horizontal="left" vertical="center"/>
    </xf>
    <xf borderId="4" fillId="60" fontId="122" numFmtId="0" xfId="0" applyAlignment="1" applyBorder="1" applyFont="1">
      <alignment horizontal="left" shrinkToFit="0" vertical="center" wrapText="1"/>
    </xf>
    <xf borderId="26" fillId="0" fontId="39" numFmtId="0" xfId="0" applyBorder="1" applyFont="1"/>
    <xf borderId="27" fillId="0" fontId="39" numFmtId="0" xfId="0" applyBorder="1" applyFont="1"/>
    <xf borderId="4" fillId="53" fontId="122" numFmtId="0" xfId="0" applyAlignment="1" applyBorder="1" applyFont="1">
      <alignment horizontal="left" shrinkToFit="0" vertical="center" wrapText="1"/>
    </xf>
    <xf borderId="1" fillId="14" fontId="1" numFmtId="0" xfId="0" applyAlignment="1" applyBorder="1" applyFont="1">
      <alignment horizontal="left" shrinkToFit="0" vertical="center" wrapText="1"/>
    </xf>
    <xf borderId="0" fillId="0" fontId="310" numFmtId="0" xfId="0" applyAlignment="1" applyFont="1">
      <alignment horizontal="left" shrinkToFit="0" vertical="center" wrapText="1"/>
    </xf>
    <xf borderId="1" fillId="13" fontId="4" numFmtId="0" xfId="0" applyAlignment="1" applyBorder="1" applyFont="1">
      <alignment horizontal="left" vertical="center"/>
    </xf>
    <xf borderId="0" fillId="0" fontId="311" numFmtId="0" xfId="0" applyAlignment="1" applyFont="1">
      <alignment horizontal="left" shrinkToFit="0" vertical="center" wrapText="1"/>
    </xf>
    <xf borderId="0" fillId="0" fontId="131" numFmtId="0" xfId="0" applyFont="1"/>
    <xf borderId="0" fillId="0" fontId="217" numFmtId="0" xfId="0" applyFont="1"/>
    <xf borderId="3" fillId="3" fontId="20" numFmtId="0" xfId="0" applyAlignment="1" applyBorder="1" applyFont="1">
      <alignment horizontal="center" vertical="center"/>
    </xf>
    <xf borderId="3" fillId="13" fontId="4" numFmtId="0" xfId="0" applyAlignment="1" applyBorder="1" applyFont="1">
      <alignment horizontal="left" vertical="center"/>
    </xf>
    <xf borderId="0" fillId="0" fontId="238" numFmtId="0" xfId="0" applyFont="1"/>
    <xf borderId="1" fillId="3" fontId="20" numFmtId="0" xfId="0" applyAlignment="1" applyBorder="1" applyFont="1">
      <alignment horizontal="center" vertical="center"/>
    </xf>
    <xf borderId="0" fillId="0" fontId="312" numFmtId="0" xfId="0" applyFont="1"/>
    <xf borderId="1" fillId="46" fontId="89" numFmtId="0" xfId="0" applyBorder="1" applyFont="1"/>
    <xf borderId="3" fillId="70" fontId="126" numFmtId="0" xfId="0" applyAlignment="1" applyBorder="1" applyFill="1" applyFont="1">
      <alignment horizontal="left"/>
    </xf>
    <xf borderId="3" fillId="71" fontId="39" numFmtId="0" xfId="0" applyBorder="1" applyFill="1" applyFont="1"/>
    <xf borderId="3" fillId="71" fontId="313" numFmtId="0" xfId="0" applyBorder="1" applyFont="1"/>
    <xf borderId="3" fillId="71" fontId="39" numFmtId="0" xfId="0" applyAlignment="1" applyBorder="1" applyFont="1">
      <alignment shrinkToFit="0" wrapText="1"/>
    </xf>
    <xf borderId="3" fillId="72" fontId="39" numFmtId="0" xfId="0" applyBorder="1" applyFill="1" applyFont="1"/>
    <xf borderId="3" fillId="72" fontId="313" numFmtId="0" xfId="0" applyBorder="1" applyFont="1"/>
    <xf borderId="3" fillId="72" fontId="39" numFmtId="0" xfId="0" applyAlignment="1" applyBorder="1" applyFont="1">
      <alignment shrinkToFit="0" wrapText="1"/>
    </xf>
    <xf borderId="0" fillId="0" fontId="313" numFmtId="0" xfId="0" applyFont="1"/>
    <xf borderId="0" fillId="0" fontId="39" numFmtId="0" xfId="0" applyAlignment="1" applyFont="1">
      <alignment shrinkToFit="0" wrapText="1"/>
    </xf>
  </cellXfs>
  <cellStyles count="1">
    <cellStyle xfId="0" name="Normal" builtinId="0"/>
  </cellStyles>
  <dxfs count="2">
    <dxf>
      <font>
        <b/>
        <color rgb="FF375623"/>
      </font>
      <fill>
        <patternFill patternType="solid">
          <fgColor rgb="FFE2EFDA"/>
          <bgColor rgb="FFE2EFDA"/>
        </patternFill>
      </fill>
      <border/>
    </dxf>
    <dxf>
      <font>
        <b/>
        <color rgb="FFC00000"/>
      </font>
      <fill>
        <patternFill patternType="solid">
          <fgColor rgb="FFFCE4D6"/>
          <bgColor rgb="FFFCE4D6"/>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guide.michelin.com" TargetMode="External"/><Relationship Id="rId20" Type="http://schemas.openxmlformats.org/officeDocument/2006/relationships/hyperlink" Target="http://cochranelibrary.com" TargetMode="External"/><Relationship Id="rId42" Type="http://schemas.openxmlformats.org/officeDocument/2006/relationships/hyperlink" Target="http://harvardclassics.com" TargetMode="External"/><Relationship Id="rId41" Type="http://schemas.openxmlformats.org/officeDocument/2006/relationships/hyperlink" Target="http://chowhound.com" TargetMode="External"/><Relationship Id="rId22" Type="http://schemas.openxmlformats.org/officeDocument/2006/relationships/hyperlink" Target="http://evolving-hockey.com" TargetMode="External"/><Relationship Id="rId44" Type="http://schemas.openxmlformats.org/officeDocument/2006/relationships/hyperlink" Target="http://gutenberg.org" TargetMode="External"/><Relationship Id="rId21" Type="http://schemas.openxmlformats.org/officeDocument/2006/relationships/hyperlink" Target="http://nih.gov" TargetMode="External"/><Relationship Id="rId43" Type="http://schemas.openxmlformats.org/officeDocument/2006/relationships/hyperlink" Target="http://modernlibrary.com" TargetMode="External"/><Relationship Id="rId24" Type="http://schemas.openxmlformats.org/officeDocument/2006/relationships/hyperlink" Target="http://hockeyviz.com" TargetMode="External"/><Relationship Id="rId46" Type="http://schemas.openxmlformats.org/officeDocument/2006/relationships/drawing" Target="../drawings/drawing2.xml"/><Relationship Id="rId23" Type="http://schemas.openxmlformats.org/officeDocument/2006/relationships/hyperlink" Target="http://capfriendly.com" TargetMode="External"/><Relationship Id="rId45" Type="http://schemas.openxmlformats.org/officeDocument/2006/relationships/hyperlink" Target="http://theparisreview.org" TargetMode="External"/><Relationship Id="rId1" Type="http://schemas.openxmlformats.org/officeDocument/2006/relationships/hyperlink" Target="http://sec.gov" TargetMode="External"/><Relationship Id="rId2" Type="http://schemas.openxmlformats.org/officeDocument/2006/relationships/hyperlink" Target="http://morningstar.ca" TargetMode="External"/><Relationship Id="rId3" Type="http://schemas.openxmlformats.org/officeDocument/2006/relationships/hyperlink" Target="http://koyfin.com" TargetMode="External"/><Relationship Id="rId4" Type="http://schemas.openxmlformats.org/officeDocument/2006/relationships/hyperlink" Target="http://bloomberg.com" TargetMode="External"/><Relationship Id="rId9" Type="http://schemas.openxmlformats.org/officeDocument/2006/relationships/hyperlink" Target="http://examine.com" TargetMode="External"/><Relationship Id="rId26" Type="http://schemas.openxmlformats.org/officeDocument/2006/relationships/hyperlink" Target="http://puckpedia.com" TargetMode="External"/><Relationship Id="rId25" Type="http://schemas.openxmlformats.org/officeDocument/2006/relationships/hyperlink" Target="http://eliteprospects.com" TargetMode="External"/><Relationship Id="rId28" Type="http://schemas.openxmlformats.org/officeDocument/2006/relationships/hyperlink" Target="http://bfi.org.uk" TargetMode="External"/><Relationship Id="rId27" Type="http://schemas.openxmlformats.org/officeDocument/2006/relationships/hyperlink" Target="http://criterion.com" TargetMode="External"/><Relationship Id="rId5" Type="http://schemas.openxmlformats.org/officeDocument/2006/relationships/hyperlink" Target="http://seekingalpha.com" TargetMode="External"/><Relationship Id="rId6" Type="http://schemas.openxmlformats.org/officeDocument/2006/relationships/hyperlink" Target="http://renaissanceperiodization.com" TargetMode="External"/><Relationship Id="rId29" Type="http://schemas.openxmlformats.org/officeDocument/2006/relationships/hyperlink" Target="http://mubi.com" TargetMode="External"/><Relationship Id="rId7" Type="http://schemas.openxmlformats.org/officeDocument/2006/relationships/hyperlink" Target="http://strongerbyscience.com" TargetMode="External"/><Relationship Id="rId8" Type="http://schemas.openxmlformats.org/officeDocument/2006/relationships/hyperlink" Target="http://examine.com" TargetMode="External"/><Relationship Id="rId31" Type="http://schemas.openxmlformats.org/officeDocument/2006/relationships/hyperlink" Target="http://metacritic.com" TargetMode="External"/><Relationship Id="rId30" Type="http://schemas.openxmlformats.org/officeDocument/2006/relationships/hyperlink" Target="http://letterboxd.com" TargetMode="External"/><Relationship Id="rId11" Type="http://schemas.openxmlformats.org/officeDocument/2006/relationships/hyperlink" Target="http://jtsstrength.com" TargetMode="External"/><Relationship Id="rId33" Type="http://schemas.openxmlformats.org/officeDocument/2006/relationships/hyperlink" Target="http://atlasobscura.com" TargetMode="External"/><Relationship Id="rId10" Type="http://schemas.openxmlformats.org/officeDocument/2006/relationships/hyperlink" Target="http://pubmed.ncbi.nlm.nih.gov" TargetMode="External"/><Relationship Id="rId32" Type="http://schemas.openxmlformats.org/officeDocument/2006/relationships/hyperlink" Target="http://viamichelin.com" TargetMode="External"/><Relationship Id="rId13" Type="http://schemas.openxmlformats.org/officeDocument/2006/relationships/hyperlink" Target="http://pinnacle.com" TargetMode="External"/><Relationship Id="rId35" Type="http://schemas.openxmlformats.org/officeDocument/2006/relationships/hyperlink" Target="http://cntraveler.com" TargetMode="External"/><Relationship Id="rId12" Type="http://schemas.openxmlformats.org/officeDocument/2006/relationships/hyperlink" Target="http://kenpom.com" TargetMode="External"/><Relationship Id="rId34" Type="http://schemas.openxmlformats.org/officeDocument/2006/relationships/hyperlink" Target="http://monocle.com" TargetMode="External"/><Relationship Id="rId15" Type="http://schemas.openxmlformats.org/officeDocument/2006/relationships/hyperlink" Target="http://ftnfantasy.com" TargetMode="External"/><Relationship Id="rId37" Type="http://schemas.openxmlformats.org/officeDocument/2006/relationships/hyperlink" Target="http://lapresse.ca" TargetMode="External"/><Relationship Id="rId14" Type="http://schemas.openxmlformats.org/officeDocument/2006/relationships/hyperlink" Target="http://evolving-hockey.com" TargetMode="External"/><Relationship Id="rId36" Type="http://schemas.openxmlformats.org/officeDocument/2006/relationships/hyperlink" Target="http://wallpaper.com" TargetMode="External"/><Relationship Id="rId17" Type="http://schemas.openxmlformats.org/officeDocument/2006/relationships/hyperlink" Target="http://peterattiamd.com" TargetMode="External"/><Relationship Id="rId39" Type="http://schemas.openxmlformats.org/officeDocument/2006/relationships/hyperlink" Target="http://montreal.eater.com" TargetMode="External"/><Relationship Id="rId16" Type="http://schemas.openxmlformats.org/officeDocument/2006/relationships/hyperlink" Target="http://actionnetwork.com" TargetMode="External"/><Relationship Id="rId38" Type="http://schemas.openxmlformats.org/officeDocument/2006/relationships/hyperlink" Target="http://ledevoir.com" TargetMode="External"/><Relationship Id="rId19" Type="http://schemas.openxmlformats.org/officeDocument/2006/relationships/hyperlink" Target="http://mayoclinic.org" TargetMode="External"/><Relationship Id="rId18" Type="http://schemas.openxmlformats.org/officeDocument/2006/relationships/hyperlink" Target="http://my.clevelandclinic.or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374"/>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48.0"/>
    <col customWidth="1" min="3" max="3" width="52.0"/>
    <col customWidth="1" min="4" max="4" width="18.0"/>
    <col customWidth="1" min="5" max="6" width="8.57"/>
  </cols>
  <sheetData>
    <row r="1" ht="39.75" customHeight="1">
      <c r="A1" s="1" t="s">
        <v>0</v>
      </c>
      <c r="B1" s="2"/>
      <c r="C1" s="2"/>
      <c r="D1" s="2"/>
    </row>
    <row r="2" ht="19.5" customHeight="1">
      <c r="A2" s="3" t="s">
        <v>1</v>
      </c>
      <c r="B2" s="2"/>
      <c r="C2" s="2"/>
      <c r="D2" s="2"/>
    </row>
    <row r="3" ht="6.0" customHeight="1"/>
    <row r="4" ht="27.75" customHeight="1">
      <c r="A4" s="4" t="s">
        <v>2</v>
      </c>
      <c r="B4" s="2"/>
      <c r="C4" s="2"/>
      <c r="D4" s="2"/>
    </row>
    <row r="5" ht="19.5" customHeight="1">
      <c r="A5" s="5" t="s">
        <v>3</v>
      </c>
      <c r="B5" s="6" t="s">
        <v>4</v>
      </c>
      <c r="C5" s="7" t="s">
        <v>5</v>
      </c>
    </row>
    <row r="6" ht="19.5" customHeight="1">
      <c r="A6" s="5" t="s">
        <v>6</v>
      </c>
      <c r="B6" s="6" t="s">
        <v>7</v>
      </c>
      <c r="C6" s="7" t="s">
        <v>8</v>
      </c>
    </row>
    <row r="7" ht="19.5" customHeight="1">
      <c r="A7" s="5" t="s">
        <v>9</v>
      </c>
      <c r="B7" s="6" t="s">
        <v>10</v>
      </c>
    </row>
    <row r="8" ht="6.0" customHeight="1"/>
    <row r="9" ht="27.75" customHeight="1">
      <c r="A9" s="8" t="s">
        <v>11</v>
      </c>
      <c r="B9" s="2"/>
      <c r="C9" s="2"/>
      <c r="D9" s="2"/>
    </row>
    <row r="10" ht="19.5" customHeight="1">
      <c r="A10" s="5" t="s">
        <v>12</v>
      </c>
      <c r="B10" s="6" t="s">
        <v>13</v>
      </c>
      <c r="C10" s="7" t="s">
        <v>14</v>
      </c>
    </row>
    <row r="11" ht="19.5" customHeight="1">
      <c r="A11" s="5" t="s">
        <v>15</v>
      </c>
      <c r="B11" s="9" t="s">
        <v>16</v>
      </c>
    </row>
    <row r="12" ht="19.5" customHeight="1">
      <c r="A12" s="5" t="s">
        <v>17</v>
      </c>
      <c r="B12" s="6" t="s">
        <v>18</v>
      </c>
    </row>
    <row r="13" ht="19.5" customHeight="1">
      <c r="A13" s="5" t="s">
        <v>19</v>
      </c>
      <c r="B13" s="6" t="s">
        <v>20</v>
      </c>
      <c r="C13" s="7" t="s">
        <v>21</v>
      </c>
    </row>
    <row r="14" ht="19.5" customHeight="1">
      <c r="A14" s="5" t="s">
        <v>22</v>
      </c>
      <c r="B14" s="6" t="s">
        <v>23</v>
      </c>
      <c r="C14" s="7" t="s">
        <v>24</v>
      </c>
    </row>
    <row r="15" ht="19.5" customHeight="1">
      <c r="A15" s="5" t="s">
        <v>25</v>
      </c>
      <c r="B15" s="6" t="s">
        <v>26</v>
      </c>
      <c r="C15" s="7" t="s">
        <v>27</v>
      </c>
    </row>
    <row r="16" ht="19.5" customHeight="1">
      <c r="A16" s="5" t="s">
        <v>28</v>
      </c>
      <c r="B16" s="6" t="s">
        <v>29</v>
      </c>
      <c r="C16" s="7" t="s">
        <v>30</v>
      </c>
    </row>
    <row r="17" ht="19.5" customHeight="1">
      <c r="A17" s="5" t="s">
        <v>31</v>
      </c>
      <c r="B17" s="6" t="s">
        <v>32</v>
      </c>
      <c r="C17" s="7" t="s">
        <v>33</v>
      </c>
    </row>
    <row r="18" ht="19.5" customHeight="1">
      <c r="A18" s="5" t="s">
        <v>34</v>
      </c>
      <c r="B18" s="6" t="s">
        <v>35</v>
      </c>
      <c r="C18" s="7" t="s">
        <v>36</v>
      </c>
    </row>
    <row r="19" ht="6.0" customHeight="1"/>
    <row r="20" ht="27.75" customHeight="1">
      <c r="A20" s="10" t="s">
        <v>37</v>
      </c>
      <c r="B20" s="2"/>
      <c r="C20" s="2"/>
      <c r="D20" s="2"/>
    </row>
    <row r="21" ht="19.5" customHeight="1">
      <c r="A21" s="11" t="s">
        <v>38</v>
      </c>
      <c r="B21" s="12" t="s">
        <v>39</v>
      </c>
      <c r="C21" s="7" t="s">
        <v>40</v>
      </c>
    </row>
    <row r="22" ht="19.5" customHeight="1">
      <c r="A22" s="11" t="s">
        <v>38</v>
      </c>
      <c r="B22" s="12" t="s">
        <v>41</v>
      </c>
      <c r="C22" s="7" t="s">
        <v>42</v>
      </c>
    </row>
    <row r="23" ht="19.5" customHeight="1">
      <c r="A23" s="11" t="s">
        <v>38</v>
      </c>
      <c r="B23" s="12" t="s">
        <v>43</v>
      </c>
      <c r="C23" s="7" t="s">
        <v>44</v>
      </c>
    </row>
    <row r="24" ht="19.5" customHeight="1">
      <c r="A24" s="13" t="s">
        <v>45</v>
      </c>
      <c r="B24" s="14" t="s">
        <v>46</v>
      </c>
      <c r="C24" s="7" t="s">
        <v>47</v>
      </c>
    </row>
    <row r="25" ht="19.5" customHeight="1">
      <c r="A25" s="13" t="s">
        <v>45</v>
      </c>
      <c r="B25" s="14" t="s">
        <v>48</v>
      </c>
      <c r="C25" s="7" t="s">
        <v>49</v>
      </c>
    </row>
    <row r="26" ht="19.5" customHeight="1">
      <c r="A26" s="15" t="s">
        <v>50</v>
      </c>
      <c r="B26" s="16" t="s">
        <v>51</v>
      </c>
      <c r="C26" s="7" t="s">
        <v>52</v>
      </c>
    </row>
    <row r="27" ht="6.0" customHeight="1"/>
    <row r="28" ht="27.75" customHeight="1">
      <c r="A28" s="17" t="s">
        <v>53</v>
      </c>
      <c r="B28" s="2"/>
      <c r="C28" s="2"/>
      <c r="D28" s="2"/>
    </row>
    <row r="29" ht="19.5" customHeight="1">
      <c r="A29" s="5" t="s">
        <v>54</v>
      </c>
      <c r="B29" s="6" t="s">
        <v>55</v>
      </c>
      <c r="C29" s="7" t="s">
        <v>56</v>
      </c>
    </row>
    <row r="30" ht="19.5" customHeight="1">
      <c r="A30" s="5" t="s">
        <v>54</v>
      </c>
      <c r="B30" s="6" t="s">
        <v>57</v>
      </c>
      <c r="C30" s="7" t="s">
        <v>7</v>
      </c>
    </row>
    <row r="31" ht="19.5" customHeight="1">
      <c r="A31" s="5" t="s">
        <v>58</v>
      </c>
      <c r="B31" s="6" t="s">
        <v>59</v>
      </c>
      <c r="C31" s="7" t="s">
        <v>60</v>
      </c>
    </row>
    <row r="32" ht="19.5" customHeight="1">
      <c r="A32" s="5" t="s">
        <v>58</v>
      </c>
      <c r="B32" s="6" t="s">
        <v>61</v>
      </c>
      <c r="C32" s="7" t="s">
        <v>62</v>
      </c>
    </row>
    <row r="33" ht="19.5" customHeight="1">
      <c r="A33" s="5" t="s">
        <v>63</v>
      </c>
      <c r="B33" s="6" t="s">
        <v>64</v>
      </c>
      <c r="C33" s="7" t="s">
        <v>65</v>
      </c>
    </row>
    <row r="34" ht="6.0" customHeight="1"/>
    <row r="35" ht="27.75" customHeight="1">
      <c r="A35" s="18" t="s">
        <v>66</v>
      </c>
      <c r="B35" s="2"/>
      <c r="C35" s="2"/>
      <c r="D35" s="2"/>
    </row>
    <row r="36" ht="19.5" customHeight="1">
      <c r="A36" s="5" t="s">
        <v>67</v>
      </c>
      <c r="B36" s="6" t="s">
        <v>68</v>
      </c>
      <c r="C36" s="7" t="s">
        <v>69</v>
      </c>
    </row>
    <row r="37" ht="19.5" customHeight="1">
      <c r="A37" s="5" t="s">
        <v>70</v>
      </c>
      <c r="B37" s="6" t="s">
        <v>71</v>
      </c>
      <c r="C37" s="7" t="s">
        <v>72</v>
      </c>
    </row>
    <row r="38" ht="19.5" customHeight="1">
      <c r="A38" s="5" t="s">
        <v>73</v>
      </c>
      <c r="B38" s="6" t="s">
        <v>74</v>
      </c>
      <c r="C38" s="7" t="s">
        <v>75</v>
      </c>
    </row>
    <row r="39" ht="19.5" customHeight="1">
      <c r="A39" s="5" t="s">
        <v>76</v>
      </c>
      <c r="B39" s="6" t="s">
        <v>77</v>
      </c>
      <c r="C39" s="7" t="s">
        <v>78</v>
      </c>
    </row>
    <row r="40" ht="19.5" customHeight="1">
      <c r="A40" s="5" t="s">
        <v>79</v>
      </c>
      <c r="B40" s="6" t="s">
        <v>80</v>
      </c>
      <c r="C40" s="7" t="s">
        <v>81</v>
      </c>
    </row>
    <row r="41" ht="6.0" customHeight="1"/>
    <row r="42" ht="27.75" customHeight="1">
      <c r="A42" s="19" t="s">
        <v>82</v>
      </c>
      <c r="B42" s="2"/>
      <c r="C42" s="2"/>
      <c r="D42" s="2"/>
    </row>
    <row r="43" ht="19.5" customHeight="1">
      <c r="A43" s="5" t="s">
        <v>83</v>
      </c>
      <c r="B43" s="6" t="s">
        <v>84</v>
      </c>
      <c r="C43" s="7" t="s">
        <v>85</v>
      </c>
    </row>
    <row r="44" ht="19.5" customHeight="1">
      <c r="A44" s="5" t="s">
        <v>83</v>
      </c>
      <c r="B44" s="6" t="s">
        <v>86</v>
      </c>
      <c r="C44" s="7" t="s">
        <v>87</v>
      </c>
    </row>
    <row r="45" ht="19.5" customHeight="1">
      <c r="A45" s="5" t="s">
        <v>83</v>
      </c>
      <c r="B45" s="6" t="s">
        <v>88</v>
      </c>
      <c r="C45" s="7" t="s">
        <v>89</v>
      </c>
    </row>
    <row r="46" ht="19.5" customHeight="1">
      <c r="A46" s="5" t="s">
        <v>90</v>
      </c>
      <c r="B46" s="6" t="s">
        <v>91</v>
      </c>
      <c r="C46" s="7" t="s">
        <v>92</v>
      </c>
    </row>
    <row r="47" ht="19.5" customHeight="1">
      <c r="A47" s="5" t="s">
        <v>90</v>
      </c>
      <c r="B47" s="6" t="s">
        <v>93</v>
      </c>
      <c r="C47" s="7" t="s">
        <v>94</v>
      </c>
    </row>
    <row r="48" ht="19.5" customHeight="1">
      <c r="A48" s="5" t="s">
        <v>90</v>
      </c>
      <c r="B48" s="6" t="s">
        <v>95</v>
      </c>
      <c r="C48" s="7" t="s">
        <v>96</v>
      </c>
    </row>
    <row r="49" ht="6.0" customHeight="1"/>
    <row r="50" ht="27.75" customHeight="1">
      <c r="A50" s="20" t="s">
        <v>97</v>
      </c>
      <c r="B50" s="2"/>
      <c r="C50" s="2"/>
      <c r="D50" s="2"/>
    </row>
    <row r="51" ht="19.5" customHeight="1">
      <c r="A51" s="5" t="s">
        <v>98</v>
      </c>
      <c r="B51" s="6" t="s">
        <v>99</v>
      </c>
      <c r="C51" s="7" t="s">
        <v>100</v>
      </c>
    </row>
    <row r="52" ht="19.5" customHeight="1">
      <c r="A52" s="5" t="s">
        <v>101</v>
      </c>
      <c r="B52" s="6" t="s">
        <v>59</v>
      </c>
      <c r="C52" s="7" t="s">
        <v>102</v>
      </c>
    </row>
    <row r="53" ht="19.5" customHeight="1">
      <c r="A53" s="5" t="s">
        <v>103</v>
      </c>
      <c r="B53" s="6" t="s">
        <v>61</v>
      </c>
      <c r="C53" s="7" t="s">
        <v>104</v>
      </c>
    </row>
    <row r="54" ht="19.5" customHeight="1">
      <c r="A54" s="5" t="s">
        <v>105</v>
      </c>
      <c r="B54" s="6" t="s">
        <v>106</v>
      </c>
      <c r="C54" s="7" t="s">
        <v>107</v>
      </c>
    </row>
    <row r="55" ht="6.0" customHeight="1"/>
    <row r="56" ht="27.75" customHeight="1">
      <c r="A56" s="4" t="s">
        <v>108</v>
      </c>
      <c r="B56" s="2"/>
      <c r="C56" s="2"/>
      <c r="D56" s="2"/>
    </row>
    <row r="57" ht="19.5" customHeight="1">
      <c r="A57" s="5" t="s">
        <v>109</v>
      </c>
      <c r="B57" s="6" t="s">
        <v>110</v>
      </c>
      <c r="C57" s="7" t="s">
        <v>111</v>
      </c>
    </row>
    <row r="58" ht="19.5" customHeight="1">
      <c r="A58" s="5" t="s">
        <v>112</v>
      </c>
      <c r="B58" s="6" t="s">
        <v>113</v>
      </c>
      <c r="C58" s="7" t="s">
        <v>114</v>
      </c>
    </row>
    <row r="59" ht="19.5" customHeight="1">
      <c r="A59" s="5" t="s">
        <v>115</v>
      </c>
      <c r="B59" s="6" t="s">
        <v>116</v>
      </c>
      <c r="C59" s="7" t="s">
        <v>117</v>
      </c>
    </row>
    <row r="60" ht="6.0" customHeight="1"/>
    <row r="61" ht="27.75" customHeight="1">
      <c r="A61" s="18" t="s">
        <v>118</v>
      </c>
      <c r="B61" s="2"/>
      <c r="C61" s="2"/>
      <c r="D61" s="2"/>
    </row>
    <row r="62" ht="19.5" customHeight="1">
      <c r="A62" s="5" t="s">
        <v>119</v>
      </c>
      <c r="B62" s="6" t="s">
        <v>120</v>
      </c>
      <c r="C62" s="7" t="s">
        <v>121</v>
      </c>
    </row>
    <row r="63" ht="19.5" customHeight="1">
      <c r="A63" s="5" t="s">
        <v>122</v>
      </c>
      <c r="B63" s="6" t="s">
        <v>123</v>
      </c>
      <c r="C63" s="7" t="s">
        <v>124</v>
      </c>
    </row>
    <row r="64" ht="19.5" customHeight="1">
      <c r="A64" s="5" t="s">
        <v>125</v>
      </c>
      <c r="B64" s="6" t="s">
        <v>126</v>
      </c>
      <c r="C64" s="7" t="s">
        <v>127</v>
      </c>
    </row>
    <row r="65" ht="19.5" customHeight="1">
      <c r="A65" s="5" t="s">
        <v>128</v>
      </c>
      <c r="B65" s="6" t="s">
        <v>129</v>
      </c>
      <c r="C65" s="7" t="s">
        <v>130</v>
      </c>
    </row>
    <row r="66" ht="14.25" customHeight="1"/>
    <row r="67" ht="14.25" customHeight="1">
      <c r="A67" s="21" t="s">
        <v>53</v>
      </c>
    </row>
    <row r="68" ht="14.25" customHeight="1">
      <c r="A68" s="22" t="s">
        <v>54</v>
      </c>
      <c r="B68" s="22" t="s">
        <v>131</v>
      </c>
    </row>
    <row r="69" ht="14.25" customHeight="1">
      <c r="A69" s="22" t="s">
        <v>132</v>
      </c>
      <c r="B69" s="22" t="s">
        <v>133</v>
      </c>
    </row>
    <row r="70" ht="14.25" customHeight="1">
      <c r="A70" s="22" t="s">
        <v>134</v>
      </c>
      <c r="B70" s="22" t="s">
        <v>135</v>
      </c>
    </row>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3">
    <mergeCell ref="A1:D1"/>
    <mergeCell ref="A2:D2"/>
    <mergeCell ref="A4:D4"/>
    <mergeCell ref="C5:D5"/>
    <mergeCell ref="C6:D6"/>
    <mergeCell ref="A9:D9"/>
    <mergeCell ref="C10:D10"/>
    <mergeCell ref="C13:D13"/>
    <mergeCell ref="C14:D14"/>
    <mergeCell ref="C15:D15"/>
    <mergeCell ref="C16:D16"/>
    <mergeCell ref="C17:D17"/>
    <mergeCell ref="C18:D18"/>
    <mergeCell ref="A20:D20"/>
    <mergeCell ref="C21:D21"/>
    <mergeCell ref="C22:D22"/>
    <mergeCell ref="C23:D23"/>
    <mergeCell ref="C24:D24"/>
    <mergeCell ref="C25:D25"/>
    <mergeCell ref="C26:D26"/>
    <mergeCell ref="A28:D28"/>
    <mergeCell ref="C29:D29"/>
    <mergeCell ref="C30:D30"/>
    <mergeCell ref="C31:D31"/>
    <mergeCell ref="C32:D32"/>
    <mergeCell ref="C33:D33"/>
    <mergeCell ref="A35:D35"/>
    <mergeCell ref="C36:D36"/>
    <mergeCell ref="C37:D37"/>
    <mergeCell ref="C38:D38"/>
    <mergeCell ref="C39:D39"/>
    <mergeCell ref="C40:D40"/>
    <mergeCell ref="A42:D42"/>
    <mergeCell ref="C43:D43"/>
    <mergeCell ref="C44:D44"/>
    <mergeCell ref="C45:D45"/>
    <mergeCell ref="C46:D46"/>
    <mergeCell ref="C47:D47"/>
    <mergeCell ref="C48:D48"/>
    <mergeCell ref="A50:D50"/>
    <mergeCell ref="C51:D51"/>
    <mergeCell ref="C52:D52"/>
    <mergeCell ref="C62:D62"/>
    <mergeCell ref="C63:D63"/>
    <mergeCell ref="C64:D64"/>
    <mergeCell ref="C65:D65"/>
    <mergeCell ref="C53:D53"/>
    <mergeCell ref="C54:D54"/>
    <mergeCell ref="A56:D56"/>
    <mergeCell ref="C57:D57"/>
    <mergeCell ref="C58:D58"/>
    <mergeCell ref="C59:D59"/>
    <mergeCell ref="A61:D6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c r="A1" s="22" t="s">
        <v>136</v>
      </c>
    </row>
    <row r="2">
      <c r="A2" s="23" t="s">
        <v>137</v>
      </c>
      <c r="B2" s="23" t="s">
        <v>138</v>
      </c>
      <c r="C2" s="23" t="s">
        <v>139</v>
      </c>
      <c r="D2" s="23" t="s">
        <v>140</v>
      </c>
      <c r="E2" s="23" t="s">
        <v>141</v>
      </c>
      <c r="F2" s="23" t="s">
        <v>142</v>
      </c>
      <c r="H2" s="22" t="s">
        <v>143</v>
      </c>
    </row>
    <row r="3">
      <c r="A3" s="23" t="s">
        <v>144</v>
      </c>
      <c r="B3" s="23" t="s">
        <v>145</v>
      </c>
      <c r="C3" s="23" t="s">
        <v>146</v>
      </c>
      <c r="D3" s="23">
        <v>100.0</v>
      </c>
      <c r="E3" s="23" t="s">
        <v>147</v>
      </c>
      <c r="F3" s="24" t="s">
        <v>148</v>
      </c>
    </row>
    <row r="4">
      <c r="A4" s="23" t="s">
        <v>144</v>
      </c>
      <c r="B4" s="23" t="s">
        <v>149</v>
      </c>
      <c r="C4" s="23" t="s">
        <v>146</v>
      </c>
      <c r="D4" s="23">
        <v>95.0</v>
      </c>
      <c r="E4" s="23" t="s">
        <v>147</v>
      </c>
      <c r="F4" s="24" t="s">
        <v>150</v>
      </c>
    </row>
    <row r="5">
      <c r="A5" s="23" t="s">
        <v>144</v>
      </c>
      <c r="B5" s="23" t="s">
        <v>151</v>
      </c>
      <c r="C5" s="23" t="s">
        <v>146</v>
      </c>
      <c r="D5" s="23">
        <v>95.0</v>
      </c>
      <c r="E5" s="23" t="s">
        <v>147</v>
      </c>
      <c r="F5" s="24" t="s">
        <v>152</v>
      </c>
    </row>
    <row r="6">
      <c r="A6" s="23" t="s">
        <v>144</v>
      </c>
      <c r="B6" s="23" t="s">
        <v>153</v>
      </c>
      <c r="C6" s="23" t="s">
        <v>146</v>
      </c>
      <c r="D6" s="23">
        <v>90.0</v>
      </c>
      <c r="E6" s="23" t="s">
        <v>147</v>
      </c>
      <c r="F6" s="24" t="s">
        <v>154</v>
      </c>
    </row>
    <row r="7">
      <c r="A7" s="23" t="s">
        <v>144</v>
      </c>
      <c r="B7" s="23" t="s">
        <v>155</v>
      </c>
      <c r="C7" s="23" t="s">
        <v>156</v>
      </c>
      <c r="D7" s="23">
        <v>80.0</v>
      </c>
      <c r="E7" s="23" t="s">
        <v>147</v>
      </c>
      <c r="F7" s="24" t="s">
        <v>157</v>
      </c>
    </row>
    <row r="8">
      <c r="A8" s="23" t="s">
        <v>158</v>
      </c>
      <c r="B8" s="23" t="s">
        <v>159</v>
      </c>
      <c r="C8" s="23" t="s">
        <v>146</v>
      </c>
      <c r="D8" s="23">
        <v>100.0</v>
      </c>
      <c r="E8" s="23" t="s">
        <v>147</v>
      </c>
      <c r="F8" s="24" t="s">
        <v>160</v>
      </c>
    </row>
    <row r="9">
      <c r="A9" s="23" t="s">
        <v>158</v>
      </c>
      <c r="B9" s="23" t="s">
        <v>161</v>
      </c>
      <c r="C9" s="23" t="s">
        <v>146</v>
      </c>
      <c r="D9" s="23">
        <v>95.0</v>
      </c>
      <c r="E9" s="23" t="s">
        <v>147</v>
      </c>
      <c r="F9" s="24" t="s">
        <v>162</v>
      </c>
    </row>
    <row r="10">
      <c r="A10" s="23" t="s">
        <v>158</v>
      </c>
      <c r="B10" s="24" t="s">
        <v>163</v>
      </c>
      <c r="C10" s="23" t="s">
        <v>146</v>
      </c>
      <c r="D10" s="23">
        <v>100.0</v>
      </c>
      <c r="E10" s="23" t="s">
        <v>147</v>
      </c>
      <c r="F10" s="24" t="s">
        <v>164</v>
      </c>
    </row>
    <row r="11">
      <c r="A11" s="23" t="s">
        <v>158</v>
      </c>
      <c r="B11" s="23" t="s">
        <v>165</v>
      </c>
      <c r="C11" s="23" t="s">
        <v>146</v>
      </c>
      <c r="D11" s="23">
        <v>100.0</v>
      </c>
      <c r="E11" s="23" t="s">
        <v>147</v>
      </c>
      <c r="F11" s="24" t="s">
        <v>166</v>
      </c>
    </row>
    <row r="12">
      <c r="A12" s="23" t="s">
        <v>158</v>
      </c>
      <c r="B12" s="23" t="s">
        <v>167</v>
      </c>
      <c r="C12" s="23" t="s">
        <v>146</v>
      </c>
      <c r="D12" s="23">
        <v>90.0</v>
      </c>
      <c r="E12" s="23" t="s">
        <v>147</v>
      </c>
      <c r="F12" s="24" t="s">
        <v>168</v>
      </c>
    </row>
    <row r="13">
      <c r="A13" s="23" t="s">
        <v>169</v>
      </c>
      <c r="B13" s="23" t="s">
        <v>170</v>
      </c>
      <c r="C13" s="23" t="s">
        <v>146</v>
      </c>
      <c r="D13" s="23">
        <v>100.0</v>
      </c>
      <c r="E13" s="23" t="s">
        <v>147</v>
      </c>
      <c r="F13" s="24" t="s">
        <v>171</v>
      </c>
    </row>
    <row r="14">
      <c r="A14" s="23" t="s">
        <v>169</v>
      </c>
      <c r="B14" s="23" t="s">
        <v>172</v>
      </c>
      <c r="C14" s="23" t="s">
        <v>146</v>
      </c>
      <c r="D14" s="23">
        <v>95.0</v>
      </c>
      <c r="E14" s="23" t="s">
        <v>147</v>
      </c>
      <c r="F14" s="24" t="s">
        <v>173</v>
      </c>
    </row>
    <row r="15">
      <c r="A15" s="23" t="s">
        <v>169</v>
      </c>
      <c r="B15" s="23" t="s">
        <v>174</v>
      </c>
      <c r="C15" s="23" t="s">
        <v>146</v>
      </c>
      <c r="D15" s="23">
        <v>95.0</v>
      </c>
      <c r="E15" s="23" t="s">
        <v>147</v>
      </c>
      <c r="F15" s="24" t="s">
        <v>175</v>
      </c>
    </row>
    <row r="16">
      <c r="A16" s="23" t="s">
        <v>169</v>
      </c>
      <c r="B16" s="23" t="s">
        <v>176</v>
      </c>
      <c r="C16" s="23" t="s">
        <v>146</v>
      </c>
      <c r="D16" s="23">
        <v>90.0</v>
      </c>
      <c r="E16" s="23" t="s">
        <v>147</v>
      </c>
      <c r="F16" s="24" t="s">
        <v>177</v>
      </c>
    </row>
    <row r="17">
      <c r="A17" s="23" t="s">
        <v>169</v>
      </c>
      <c r="B17" s="23" t="s">
        <v>178</v>
      </c>
      <c r="C17" s="23" t="s">
        <v>156</v>
      </c>
      <c r="D17" s="23">
        <v>80.0</v>
      </c>
      <c r="E17" s="23" t="s">
        <v>147</v>
      </c>
      <c r="F17" s="24" t="s">
        <v>179</v>
      </c>
    </row>
    <row r="18">
      <c r="A18" s="23" t="s">
        <v>180</v>
      </c>
      <c r="B18" s="23" t="s">
        <v>181</v>
      </c>
      <c r="C18" s="23" t="s">
        <v>146</v>
      </c>
      <c r="D18" s="23">
        <v>100.0</v>
      </c>
      <c r="E18" s="23" t="s">
        <v>147</v>
      </c>
      <c r="F18" s="24" t="s">
        <v>182</v>
      </c>
    </row>
    <row r="19">
      <c r="A19" s="23" t="s">
        <v>180</v>
      </c>
      <c r="B19" s="23" t="s">
        <v>183</v>
      </c>
      <c r="C19" s="23" t="s">
        <v>146</v>
      </c>
      <c r="D19" s="23">
        <v>95.0</v>
      </c>
      <c r="E19" s="23" t="s">
        <v>147</v>
      </c>
      <c r="F19" s="24" t="s">
        <v>184</v>
      </c>
    </row>
    <row r="20">
      <c r="A20" s="23" t="s">
        <v>180</v>
      </c>
      <c r="B20" s="23" t="s">
        <v>185</v>
      </c>
      <c r="C20" s="23" t="s">
        <v>146</v>
      </c>
      <c r="D20" s="23">
        <v>95.0</v>
      </c>
      <c r="E20" s="23" t="s">
        <v>147</v>
      </c>
      <c r="F20" s="24" t="s">
        <v>186</v>
      </c>
    </row>
    <row r="21" ht="15.75" customHeight="1">
      <c r="A21" s="23" t="s">
        <v>180</v>
      </c>
      <c r="B21" s="23" t="s">
        <v>187</v>
      </c>
      <c r="C21" s="23" t="s">
        <v>146</v>
      </c>
      <c r="D21" s="23">
        <v>95.0</v>
      </c>
      <c r="E21" s="23" t="s">
        <v>147</v>
      </c>
      <c r="F21" s="24" t="s">
        <v>188</v>
      </c>
    </row>
    <row r="22" ht="15.75" customHeight="1">
      <c r="A22" s="23" t="s">
        <v>180</v>
      </c>
      <c r="B22" s="23" t="s">
        <v>189</v>
      </c>
      <c r="C22" s="23" t="s">
        <v>146</v>
      </c>
      <c r="D22" s="23">
        <v>90.0</v>
      </c>
      <c r="E22" s="23" t="s">
        <v>147</v>
      </c>
      <c r="F22" s="24" t="s">
        <v>190</v>
      </c>
    </row>
    <row r="23" ht="15.75" customHeight="1">
      <c r="A23" s="23" t="s">
        <v>191</v>
      </c>
      <c r="B23" s="23" t="s">
        <v>174</v>
      </c>
      <c r="C23" s="23" t="s">
        <v>146</v>
      </c>
      <c r="D23" s="23">
        <v>100.0</v>
      </c>
      <c r="E23" s="23" t="s">
        <v>147</v>
      </c>
      <c r="F23" s="24" t="s">
        <v>175</v>
      </c>
    </row>
    <row r="24" ht="15.75" customHeight="1">
      <c r="A24" s="23" t="s">
        <v>191</v>
      </c>
      <c r="B24" s="23" t="s">
        <v>192</v>
      </c>
      <c r="C24" s="23" t="s">
        <v>146</v>
      </c>
      <c r="D24" s="23">
        <v>100.0</v>
      </c>
      <c r="E24" s="23" t="s">
        <v>147</v>
      </c>
      <c r="F24" s="24" t="s">
        <v>193</v>
      </c>
    </row>
    <row r="25" ht="15.75" customHeight="1">
      <c r="A25" s="23" t="s">
        <v>191</v>
      </c>
      <c r="B25" s="23" t="s">
        <v>194</v>
      </c>
      <c r="C25" s="23" t="s">
        <v>146</v>
      </c>
      <c r="D25" s="23">
        <v>95.0</v>
      </c>
      <c r="E25" s="23" t="s">
        <v>147</v>
      </c>
      <c r="F25" s="24" t="s">
        <v>195</v>
      </c>
    </row>
    <row r="26" ht="15.75" customHeight="1">
      <c r="A26" s="23" t="s">
        <v>191</v>
      </c>
      <c r="B26" s="23" t="s">
        <v>196</v>
      </c>
      <c r="C26" s="23" t="s">
        <v>146</v>
      </c>
      <c r="D26" s="23">
        <v>90.0</v>
      </c>
      <c r="E26" s="23" t="s">
        <v>147</v>
      </c>
      <c r="F26" s="24" t="s">
        <v>197</v>
      </c>
    </row>
    <row r="27" ht="15.75" customHeight="1">
      <c r="A27" s="23" t="s">
        <v>191</v>
      </c>
      <c r="B27" s="23" t="s">
        <v>198</v>
      </c>
      <c r="C27" s="23" t="s">
        <v>156</v>
      </c>
      <c r="D27" s="23">
        <v>85.0</v>
      </c>
      <c r="E27" s="23" t="s">
        <v>147</v>
      </c>
      <c r="F27" s="24" t="s">
        <v>199</v>
      </c>
    </row>
    <row r="28" ht="15.75" customHeight="1">
      <c r="A28" s="23" t="s">
        <v>200</v>
      </c>
      <c r="B28" s="23" t="s">
        <v>201</v>
      </c>
      <c r="C28" s="23" t="s">
        <v>146</v>
      </c>
      <c r="D28" s="23">
        <v>100.0</v>
      </c>
      <c r="E28" s="23" t="s">
        <v>147</v>
      </c>
      <c r="F28" s="24" t="s">
        <v>202</v>
      </c>
    </row>
    <row r="29" ht="15.75" customHeight="1">
      <c r="A29" s="23" t="s">
        <v>200</v>
      </c>
      <c r="B29" s="23" t="s">
        <v>203</v>
      </c>
      <c r="C29" s="23" t="s">
        <v>146</v>
      </c>
      <c r="D29" s="23">
        <v>100.0</v>
      </c>
      <c r="E29" s="23" t="s">
        <v>147</v>
      </c>
      <c r="F29" s="24" t="s">
        <v>204</v>
      </c>
    </row>
    <row r="30" ht="15.75" customHeight="1">
      <c r="A30" s="23" t="s">
        <v>200</v>
      </c>
      <c r="B30" s="23" t="s">
        <v>205</v>
      </c>
      <c r="C30" s="23" t="s">
        <v>146</v>
      </c>
      <c r="D30" s="23">
        <v>95.0</v>
      </c>
      <c r="E30" s="23" t="s">
        <v>147</v>
      </c>
      <c r="F30" s="24" t="s">
        <v>206</v>
      </c>
    </row>
    <row r="31" ht="15.75" customHeight="1">
      <c r="A31" s="23" t="s">
        <v>200</v>
      </c>
      <c r="B31" s="23" t="s">
        <v>207</v>
      </c>
      <c r="C31" s="23" t="s">
        <v>156</v>
      </c>
      <c r="D31" s="23">
        <v>85.0</v>
      </c>
      <c r="E31" s="23" t="s">
        <v>147</v>
      </c>
      <c r="F31" s="24" t="s">
        <v>208</v>
      </c>
    </row>
    <row r="32" ht="15.75" customHeight="1">
      <c r="A32" s="23" t="s">
        <v>200</v>
      </c>
      <c r="B32" s="23" t="s">
        <v>209</v>
      </c>
      <c r="C32" s="23" t="s">
        <v>156</v>
      </c>
      <c r="D32" s="23">
        <v>80.0</v>
      </c>
      <c r="E32" s="23" t="s">
        <v>147</v>
      </c>
      <c r="F32" s="24" t="s">
        <v>210</v>
      </c>
    </row>
    <row r="33" ht="15.75" customHeight="1">
      <c r="A33" s="23" t="s">
        <v>211</v>
      </c>
      <c r="B33" s="23" t="s">
        <v>212</v>
      </c>
      <c r="C33" s="23" t="s">
        <v>146</v>
      </c>
      <c r="D33" s="23">
        <v>100.0</v>
      </c>
      <c r="E33" s="23" t="s">
        <v>147</v>
      </c>
      <c r="F33" s="24" t="s">
        <v>213</v>
      </c>
    </row>
    <row r="34" ht="15.75" customHeight="1">
      <c r="A34" s="23" t="s">
        <v>211</v>
      </c>
      <c r="B34" s="23" t="s">
        <v>214</v>
      </c>
      <c r="C34" s="23" t="s">
        <v>146</v>
      </c>
      <c r="D34" s="23">
        <v>95.0</v>
      </c>
      <c r="E34" s="23" t="s">
        <v>147</v>
      </c>
      <c r="F34" s="24" t="s">
        <v>215</v>
      </c>
    </row>
    <row r="35" ht="15.75" customHeight="1">
      <c r="A35" s="23" t="s">
        <v>211</v>
      </c>
      <c r="B35" s="23" t="s">
        <v>216</v>
      </c>
      <c r="C35" s="23" t="s">
        <v>146</v>
      </c>
      <c r="D35" s="23">
        <v>95.0</v>
      </c>
      <c r="E35" s="23" t="s">
        <v>147</v>
      </c>
      <c r="F35" s="24" t="s">
        <v>217</v>
      </c>
    </row>
    <row r="36" ht="15.75" customHeight="1">
      <c r="A36" s="23" t="s">
        <v>211</v>
      </c>
      <c r="B36" s="23" t="s">
        <v>218</v>
      </c>
      <c r="C36" s="23" t="s">
        <v>156</v>
      </c>
      <c r="D36" s="23">
        <v>85.0</v>
      </c>
      <c r="E36" s="23" t="s">
        <v>147</v>
      </c>
      <c r="F36" s="24" t="s">
        <v>219</v>
      </c>
    </row>
    <row r="37" ht="15.75" customHeight="1">
      <c r="A37" s="23" t="s">
        <v>211</v>
      </c>
      <c r="B37" s="23" t="s">
        <v>220</v>
      </c>
      <c r="C37" s="23" t="s">
        <v>156</v>
      </c>
      <c r="D37" s="23">
        <v>80.0</v>
      </c>
      <c r="E37" s="23" t="s">
        <v>147</v>
      </c>
      <c r="F37" s="24" t="s">
        <v>221</v>
      </c>
    </row>
    <row r="38" ht="15.75" customHeight="1">
      <c r="A38" s="23" t="s">
        <v>222</v>
      </c>
      <c r="B38" s="23" t="s">
        <v>223</v>
      </c>
      <c r="C38" s="23" t="s">
        <v>146</v>
      </c>
      <c r="D38" s="23">
        <v>95.0</v>
      </c>
      <c r="E38" s="23" t="s">
        <v>147</v>
      </c>
      <c r="F38" s="24" t="s">
        <v>224</v>
      </c>
    </row>
    <row r="39" ht="15.75" customHeight="1">
      <c r="A39" s="23" t="s">
        <v>222</v>
      </c>
      <c r="B39" s="23" t="s">
        <v>225</v>
      </c>
      <c r="C39" s="23" t="s">
        <v>146</v>
      </c>
      <c r="D39" s="23">
        <v>95.0</v>
      </c>
      <c r="E39" s="23" t="s">
        <v>147</v>
      </c>
      <c r="F39" s="24" t="s">
        <v>226</v>
      </c>
    </row>
    <row r="40" ht="15.75" customHeight="1">
      <c r="A40" s="23" t="s">
        <v>222</v>
      </c>
      <c r="B40" s="23" t="s">
        <v>227</v>
      </c>
      <c r="C40" s="23" t="s">
        <v>146</v>
      </c>
      <c r="D40" s="23">
        <v>90.0</v>
      </c>
      <c r="E40" s="23" t="s">
        <v>147</v>
      </c>
      <c r="F40" s="24" t="s">
        <v>228</v>
      </c>
    </row>
    <row r="41" ht="15.75" customHeight="1">
      <c r="A41" s="23" t="s">
        <v>222</v>
      </c>
      <c r="B41" s="23" t="s">
        <v>229</v>
      </c>
      <c r="C41" s="23" t="s">
        <v>146</v>
      </c>
      <c r="D41" s="23">
        <v>100.0</v>
      </c>
      <c r="E41" s="23" t="s">
        <v>147</v>
      </c>
      <c r="F41" s="24" t="s">
        <v>230</v>
      </c>
    </row>
    <row r="42" ht="15.75" customHeight="1">
      <c r="A42" s="23" t="s">
        <v>222</v>
      </c>
      <c r="B42" s="23" t="s">
        <v>231</v>
      </c>
      <c r="C42" s="23" t="s">
        <v>232</v>
      </c>
      <c r="D42" s="23">
        <v>75.0</v>
      </c>
      <c r="E42" s="23" t="s">
        <v>147</v>
      </c>
      <c r="F42" s="24" t="s">
        <v>233</v>
      </c>
    </row>
    <row r="43" ht="15.75" customHeight="1">
      <c r="A43" s="23" t="s">
        <v>234</v>
      </c>
      <c r="B43" s="23" t="s">
        <v>235</v>
      </c>
      <c r="C43" s="23" t="s">
        <v>146</v>
      </c>
      <c r="D43" s="23">
        <v>100.0</v>
      </c>
      <c r="E43" s="23" t="s">
        <v>147</v>
      </c>
      <c r="F43" s="24" t="s">
        <v>236</v>
      </c>
    </row>
    <row r="44" ht="15.75" customHeight="1">
      <c r="A44" s="23" t="s">
        <v>234</v>
      </c>
      <c r="B44" s="23" t="s">
        <v>237</v>
      </c>
      <c r="C44" s="23" t="s">
        <v>146</v>
      </c>
      <c r="D44" s="23">
        <v>100.0</v>
      </c>
      <c r="E44" s="23" t="s">
        <v>147</v>
      </c>
      <c r="F44" s="24" t="s">
        <v>238</v>
      </c>
    </row>
    <row r="45" ht="15.75" customHeight="1">
      <c r="A45" s="23" t="s">
        <v>234</v>
      </c>
      <c r="B45" s="23" t="s">
        <v>239</v>
      </c>
      <c r="C45" s="23" t="s">
        <v>146</v>
      </c>
      <c r="D45" s="23">
        <v>95.0</v>
      </c>
      <c r="E45" s="23" t="s">
        <v>147</v>
      </c>
      <c r="F45" s="24" t="s">
        <v>240</v>
      </c>
    </row>
    <row r="46" ht="15.75" customHeight="1">
      <c r="A46" s="23" t="s">
        <v>234</v>
      </c>
      <c r="B46" s="23" t="s">
        <v>241</v>
      </c>
      <c r="C46" s="23" t="s">
        <v>146</v>
      </c>
      <c r="D46" s="23">
        <v>90.0</v>
      </c>
      <c r="E46" s="23" t="s">
        <v>147</v>
      </c>
      <c r="F46" s="24" t="s">
        <v>242</v>
      </c>
    </row>
    <row r="47" ht="15.75" customHeight="1">
      <c r="A47" s="23" t="s">
        <v>234</v>
      </c>
      <c r="B47" s="23" t="s">
        <v>243</v>
      </c>
      <c r="C47" s="23" t="s">
        <v>156</v>
      </c>
      <c r="D47" s="23">
        <v>80.0</v>
      </c>
    </row>
    <row r="48" ht="15.75" customHeight="1">
      <c r="A48" s="22"/>
    </row>
    <row r="49" ht="15.75" customHeight="1">
      <c r="A49" s="25" t="s">
        <v>244</v>
      </c>
    </row>
    <row r="50" ht="15.75" customHeight="1">
      <c r="A50" s="25" t="s">
        <v>245</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3"/>
    <hyperlink r:id="rId2" ref="F4"/>
    <hyperlink r:id="rId3" ref="F5"/>
    <hyperlink r:id="rId4" ref="F6"/>
    <hyperlink r:id="rId5" ref="F7"/>
    <hyperlink r:id="rId6" ref="F8"/>
    <hyperlink r:id="rId7" ref="F9"/>
    <hyperlink r:id="rId8" ref="B10"/>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s>
  <drawing r:id="rId4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2.0"/>
    <col customWidth="1" min="2" max="2" width="18.0"/>
    <col customWidth="1" min="3" max="4" width="55.0"/>
    <col customWidth="1" min="5" max="8" width="14.0"/>
    <col customWidth="1" min="9" max="9" width="8.71"/>
  </cols>
  <sheetData>
    <row r="1" ht="33.75" customHeight="1">
      <c r="A1" s="26" t="s">
        <v>246</v>
      </c>
      <c r="B1" s="27" t="s">
        <v>247</v>
      </c>
    </row>
    <row r="2" ht="19.5" customHeight="1">
      <c r="B2" s="28" t="s">
        <v>248</v>
      </c>
    </row>
    <row r="3" ht="18.0" customHeight="1"/>
    <row r="4" ht="15.0" customHeight="1">
      <c r="A4" s="29" t="s">
        <v>249</v>
      </c>
    </row>
    <row r="5" ht="15.0" customHeight="1">
      <c r="B5" s="30" t="s">
        <v>250</v>
      </c>
      <c r="C5" s="30" t="s">
        <v>251</v>
      </c>
      <c r="D5" s="30" t="s">
        <v>252</v>
      </c>
      <c r="E5" s="30" t="s">
        <v>253</v>
      </c>
      <c r="F5" s="30" t="s">
        <v>254</v>
      </c>
      <c r="G5" s="30" t="s">
        <v>255</v>
      </c>
    </row>
    <row r="6" ht="18.0" customHeight="1">
      <c r="A6" s="31" t="s">
        <v>256</v>
      </c>
      <c r="B6" s="32">
        <f>'📈 PORTEFEUILLE'!C8</f>
        <v>67855.03</v>
      </c>
      <c r="C6" s="32">
        <v>68072.95</v>
      </c>
      <c r="D6" s="33">
        <f>'📈 PORTEFEUILLE'!G8</f>
        <v>0.2759987585</v>
      </c>
      <c r="E6" s="32">
        <f>'📈 PORTEFEUILLE'!E8</f>
        <v>48896.46596</v>
      </c>
      <c r="F6" s="34" t="s">
        <v>257</v>
      </c>
    </row>
    <row r="7" ht="18.0" customHeight="1">
      <c r="A7" s="31" t="s">
        <v>258</v>
      </c>
      <c r="B7" s="35">
        <f>'📈 PORTEFEUILLE'!C9</f>
        <v>14767.01792</v>
      </c>
      <c r="C7" s="35">
        <v>18816.32</v>
      </c>
      <c r="D7" s="36">
        <f>'📈 PORTEFEUILLE'!G9</f>
        <v>0.1728319721</v>
      </c>
      <c r="E7" s="35">
        <f>'📈 PORTEFEUILLE'!E9</f>
        <v>12199.67509</v>
      </c>
      <c r="F7" s="37" t="s">
        <v>259</v>
      </c>
    </row>
    <row r="8" ht="18.0" customHeight="1">
      <c r="A8" s="31" t="s">
        <v>260</v>
      </c>
      <c r="B8" s="38">
        <f>'📈 PORTEFEUILLE'!C10</f>
        <v>2764.168264</v>
      </c>
      <c r="C8" s="38">
        <v>2798.09</v>
      </c>
      <c r="D8" s="39">
        <f>'📈 PORTEFEUILLE'!G10</f>
        <v>0.3948529527</v>
      </c>
      <c r="E8" s="38">
        <f>'📈 PORTEFEUILLE'!E10</f>
        <v>1694.356594</v>
      </c>
      <c r="F8" s="40" t="s">
        <v>261</v>
      </c>
    </row>
    <row r="9" ht="18.0" customHeight="1">
      <c r="A9" s="31" t="s">
        <v>262</v>
      </c>
      <c r="B9" s="32">
        <f>'📈 PORTEFEUILLE'!C11</f>
        <v>85386.21618</v>
      </c>
      <c r="C9" s="32">
        <v>89687.36</v>
      </c>
      <c r="D9" s="33">
        <v>16572.89</v>
      </c>
      <c r="E9" s="32">
        <v>0.1762</v>
      </c>
      <c r="F9" s="34"/>
    </row>
    <row r="10" ht="16.5" customHeight="1">
      <c r="A10" s="41" t="s">
        <v>263</v>
      </c>
      <c r="B10" s="42" t="s">
        <v>264</v>
      </c>
      <c r="E10" s="43" t="s">
        <v>265</v>
      </c>
      <c r="G10" s="44" t="s">
        <v>266</v>
      </c>
    </row>
    <row r="11" ht="15.75" customHeight="1">
      <c r="A11" s="45" t="s">
        <v>267</v>
      </c>
    </row>
    <row r="12" ht="15.0" customHeight="1"/>
    <row r="13" ht="18.0" customHeight="1"/>
    <row r="14" ht="18.0" customHeight="1">
      <c r="A14" s="29" t="s">
        <v>268</v>
      </c>
    </row>
    <row r="15" ht="18.0" customHeight="1">
      <c r="B15" s="30" t="s">
        <v>269</v>
      </c>
      <c r="C15" s="30" t="s">
        <v>270</v>
      </c>
      <c r="E15" s="30" t="s">
        <v>271</v>
      </c>
      <c r="F15" s="30" t="s">
        <v>272</v>
      </c>
      <c r="G15" s="30"/>
    </row>
    <row r="16" ht="18.0" customHeight="1">
      <c r="B16" s="46" t="s">
        <v>273</v>
      </c>
      <c r="C16" s="47" t="s">
        <v>274</v>
      </c>
      <c r="E16" s="47" t="s">
        <v>275</v>
      </c>
      <c r="F16" s="48" t="s">
        <v>276</v>
      </c>
      <c r="G16" s="49" t="s">
        <v>277</v>
      </c>
    </row>
    <row r="17" ht="18.0" customHeight="1">
      <c r="B17" s="46" t="s">
        <v>278</v>
      </c>
      <c r="C17" s="47" t="s">
        <v>279</v>
      </c>
      <c r="E17" s="47" t="s">
        <v>280</v>
      </c>
      <c r="F17" s="48" t="s">
        <v>281</v>
      </c>
      <c r="G17" s="49" t="s">
        <v>282</v>
      </c>
    </row>
    <row r="18" ht="6.0" customHeight="1">
      <c r="B18" s="50" t="s">
        <v>283</v>
      </c>
      <c r="C18" s="51" t="s">
        <v>284</v>
      </c>
      <c r="E18" s="51" t="s">
        <v>285</v>
      </c>
      <c r="F18" s="52" t="s">
        <v>286</v>
      </c>
      <c r="G18" s="53" t="s">
        <v>287</v>
      </c>
    </row>
    <row r="19" ht="15.75" customHeight="1"/>
    <row r="20" ht="16.5" customHeight="1">
      <c r="B20" s="54" t="s">
        <v>288</v>
      </c>
      <c r="E20" s="55" t="s">
        <v>289</v>
      </c>
    </row>
    <row r="21" ht="16.5" customHeight="1"/>
    <row r="22" ht="16.5" customHeight="1">
      <c r="A22" s="56" t="s">
        <v>290</v>
      </c>
    </row>
    <row r="23" ht="16.5" customHeight="1">
      <c r="A23" s="57" t="s">
        <v>291</v>
      </c>
      <c r="B23" s="58" t="s">
        <v>292</v>
      </c>
      <c r="E23" s="59" t="s">
        <v>293</v>
      </c>
    </row>
    <row r="24" ht="16.5" customHeight="1">
      <c r="A24" s="57" t="s">
        <v>294</v>
      </c>
      <c r="B24" s="58" t="s">
        <v>295</v>
      </c>
      <c r="E24" s="59" t="s">
        <v>296</v>
      </c>
    </row>
    <row r="25" ht="6.0" customHeight="1">
      <c r="A25" s="57" t="s">
        <v>297</v>
      </c>
      <c r="B25" s="58" t="s">
        <v>298</v>
      </c>
      <c r="E25" s="59" t="s">
        <v>299</v>
      </c>
    </row>
    <row r="26" ht="18.0" customHeight="1">
      <c r="A26" s="60" t="s">
        <v>300</v>
      </c>
      <c r="B26" s="61" t="s">
        <v>301</v>
      </c>
      <c r="E26" s="59" t="s">
        <v>302</v>
      </c>
    </row>
    <row r="27" ht="15.75" customHeight="1">
      <c r="A27" s="60" t="s">
        <v>303</v>
      </c>
      <c r="B27" s="61" t="s">
        <v>304</v>
      </c>
      <c r="E27" s="59" t="s">
        <v>305</v>
      </c>
    </row>
    <row r="28" ht="16.5" customHeight="1"/>
    <row r="29" ht="16.5" customHeight="1">
      <c r="A29" s="62" t="s">
        <v>306</v>
      </c>
    </row>
    <row r="30" ht="16.5" customHeight="1">
      <c r="A30" s="63" t="s">
        <v>307</v>
      </c>
    </row>
    <row r="31" ht="16.5" customHeight="1">
      <c r="A31" s="64" t="s">
        <v>308</v>
      </c>
      <c r="B31" s="65" t="s">
        <v>309</v>
      </c>
    </row>
    <row r="32" ht="16.5" customHeight="1">
      <c r="A32" s="64" t="s">
        <v>310</v>
      </c>
      <c r="B32" s="65" t="s">
        <v>311</v>
      </c>
    </row>
    <row r="33" ht="16.5" customHeight="1">
      <c r="A33" s="64" t="s">
        <v>312</v>
      </c>
    </row>
    <row r="34" ht="18.0" customHeight="1">
      <c r="A34" s="64" t="s">
        <v>313</v>
      </c>
      <c r="B34" s="65" t="s">
        <v>314</v>
      </c>
    </row>
    <row r="35" ht="15.75" customHeight="1">
      <c r="A35" s="64" t="s">
        <v>315</v>
      </c>
    </row>
    <row r="36" ht="16.5" customHeight="1">
      <c r="A36" s="64" t="s">
        <v>316</v>
      </c>
      <c r="B36" s="65" t="s">
        <v>317</v>
      </c>
    </row>
    <row r="37" ht="16.5" customHeight="1"/>
    <row r="38" ht="16.5" customHeight="1">
      <c r="A38" s="66" t="s">
        <v>318</v>
      </c>
    </row>
    <row r="39" ht="16.5" customHeight="1">
      <c r="A39" s="67" t="s">
        <v>319</v>
      </c>
      <c r="B39" s="68" t="s">
        <v>320</v>
      </c>
    </row>
    <row r="40" ht="16.5" customHeight="1">
      <c r="A40" s="67" t="s">
        <v>321</v>
      </c>
    </row>
    <row r="41" ht="16.5" customHeight="1">
      <c r="A41" s="67" t="s">
        <v>322</v>
      </c>
      <c r="B41" s="68" t="s">
        <v>323</v>
      </c>
    </row>
    <row r="42" ht="18.0" customHeight="1">
      <c r="A42" s="67" t="s">
        <v>324</v>
      </c>
      <c r="B42" s="68" t="s">
        <v>325</v>
      </c>
    </row>
    <row r="43" ht="15.75" customHeight="1">
      <c r="A43" s="67" t="s">
        <v>326</v>
      </c>
    </row>
    <row r="44" ht="16.5" customHeight="1">
      <c r="A44" s="67" t="s">
        <v>316</v>
      </c>
      <c r="B44" s="68" t="s">
        <v>327</v>
      </c>
    </row>
    <row r="45" ht="16.5" customHeight="1"/>
    <row r="46" ht="16.5" customHeight="1">
      <c r="A46" s="56" t="s">
        <v>328</v>
      </c>
    </row>
    <row r="47" ht="16.5" customHeight="1">
      <c r="A47" s="69" t="s">
        <v>329</v>
      </c>
      <c r="B47" s="70" t="s">
        <v>330</v>
      </c>
    </row>
    <row r="48" ht="16.5" customHeight="1">
      <c r="A48" s="69" t="s">
        <v>331</v>
      </c>
      <c r="B48" s="70" t="s">
        <v>332</v>
      </c>
    </row>
    <row r="49" ht="16.5" customHeight="1">
      <c r="A49" s="69" t="s">
        <v>333</v>
      </c>
      <c r="B49" s="70" t="s">
        <v>334</v>
      </c>
    </row>
    <row r="50" ht="18.0" customHeight="1">
      <c r="A50" s="69" t="s">
        <v>335</v>
      </c>
      <c r="B50" s="70" t="s">
        <v>336</v>
      </c>
    </row>
    <row r="51" ht="18.0" customHeight="1">
      <c r="A51" s="69" t="s">
        <v>337</v>
      </c>
    </row>
    <row r="52" ht="15.0" customHeight="1">
      <c r="A52" s="69" t="s">
        <v>338</v>
      </c>
    </row>
    <row r="53" ht="15.0" customHeight="1"/>
    <row r="54" ht="21.75" customHeight="1">
      <c r="B54" s="71" t="s">
        <v>339</v>
      </c>
      <c r="C54" s="55" t="s">
        <v>340</v>
      </c>
    </row>
    <row r="55" ht="21.75" customHeight="1"/>
    <row r="56" ht="21.75" customHeight="1"/>
    <row r="57" ht="21.75" customHeight="1">
      <c r="B57" s="72" t="s">
        <v>341</v>
      </c>
      <c r="C57" s="73" t="s">
        <v>342</v>
      </c>
    </row>
    <row r="58" ht="21.75" customHeight="1"/>
    <row r="59" ht="18.0" customHeight="1">
      <c r="A59" s="29" t="s">
        <v>343</v>
      </c>
    </row>
    <row r="60" ht="18.0" customHeight="1">
      <c r="B60" s="54" t="s">
        <v>344</v>
      </c>
      <c r="C60" s="55" t="s">
        <v>345</v>
      </c>
    </row>
    <row r="61" ht="18.0" customHeight="1">
      <c r="B61" s="74" t="s">
        <v>346</v>
      </c>
      <c r="C61" s="73" t="s">
        <v>347</v>
      </c>
    </row>
    <row r="62" ht="15.0" customHeight="1"/>
    <row r="63" ht="18.0" customHeight="1">
      <c r="B63" s="74" t="s">
        <v>348</v>
      </c>
      <c r="C63" s="73" t="s">
        <v>349</v>
      </c>
    </row>
    <row r="64" ht="18.0" customHeight="1">
      <c r="B64" s="54" t="s">
        <v>350</v>
      </c>
      <c r="C64" s="55" t="s">
        <v>351</v>
      </c>
    </row>
    <row r="65" ht="18.0" customHeight="1"/>
    <row r="66" ht="18.0" customHeight="1">
      <c r="A66" s="29" t="s">
        <v>352</v>
      </c>
    </row>
    <row r="67" ht="18.0" customHeight="1">
      <c r="B67" s="30" t="s">
        <v>353</v>
      </c>
      <c r="C67" s="30"/>
      <c r="D67" s="30" t="s">
        <v>354</v>
      </c>
    </row>
    <row r="68" ht="18.0" customHeight="1">
      <c r="B68" s="71" t="s">
        <v>355</v>
      </c>
      <c r="C68" s="75"/>
      <c r="D68" s="55" t="s">
        <v>356</v>
      </c>
    </row>
    <row r="69" ht="18.0" customHeight="1">
      <c r="B69" s="72" t="s">
        <v>357</v>
      </c>
      <c r="C69" s="76"/>
      <c r="D69" s="73" t="s">
        <v>358</v>
      </c>
    </row>
    <row r="70" ht="18.0" customHeight="1">
      <c r="B70" s="71" t="s">
        <v>359</v>
      </c>
      <c r="C70" s="77" t="str">
        <f>CONFIG!B47</f>
        <v>🔴 SUREXPOSÉ USD — Rééquilibrer</v>
      </c>
    </row>
    <row r="71" ht="18.0" customHeight="1">
      <c r="B71" s="72" t="s">
        <v>360</v>
      </c>
      <c r="C71" s="76"/>
    </row>
    <row r="72" ht="18.0" customHeight="1">
      <c r="B72" s="71" t="s">
        <v>361</v>
      </c>
      <c r="C72" s="75"/>
      <c r="D72" s="55" t="s">
        <v>362</v>
      </c>
    </row>
    <row r="73" ht="18.0" customHeight="1"/>
    <row r="74" ht="15.0" customHeight="1"/>
    <row r="75" ht="15.0" customHeight="1">
      <c r="B75" s="72" t="s">
        <v>363</v>
      </c>
      <c r="C75" s="76"/>
    </row>
    <row r="76" ht="18.0" customHeight="1">
      <c r="B76" s="71" t="s">
        <v>364</v>
      </c>
      <c r="C76" s="75"/>
    </row>
    <row r="77" ht="18.0" customHeight="1"/>
    <row r="78" ht="18.0" customHeight="1">
      <c r="B78" s="71" t="s">
        <v>365</v>
      </c>
      <c r="C78" s="75"/>
    </row>
    <row r="79" ht="15.0" customHeight="1"/>
    <row r="80" ht="15.0" customHeight="1">
      <c r="B80" s="71" t="s">
        <v>366</v>
      </c>
      <c r="C80" s="75"/>
    </row>
    <row r="81" ht="19.5" customHeight="1">
      <c r="A81" s="29" t="s">
        <v>367</v>
      </c>
    </row>
    <row r="82" ht="19.5" customHeight="1"/>
    <row r="83" ht="19.5" customHeight="1"/>
    <row r="84" ht="19.5" customHeight="1"/>
    <row r="85" ht="19.5" customHeight="1">
      <c r="B85" s="49" t="s">
        <v>368</v>
      </c>
    </row>
    <row r="86" ht="19.5" customHeight="1">
      <c r="B86" s="74" t="s">
        <v>369</v>
      </c>
      <c r="C86" s="73" t="s">
        <v>370</v>
      </c>
    </row>
    <row r="87" ht="19.5" customHeight="1"/>
    <row r="88" ht="19.5" customHeight="1"/>
    <row r="89" ht="19.5" customHeight="1"/>
    <row r="90" ht="19.5" customHeight="1">
      <c r="A90" s="29" t="s">
        <v>371</v>
      </c>
    </row>
    <row r="91" ht="34.5" customHeight="1">
      <c r="A91" s="78" t="s">
        <v>372</v>
      </c>
      <c r="B91" s="79" t="s">
        <v>373</v>
      </c>
      <c r="C91" s="2"/>
      <c r="D91" s="2"/>
      <c r="E91" s="2"/>
    </row>
    <row r="92" ht="34.5" customHeight="1">
      <c r="A92" s="80" t="s">
        <v>374</v>
      </c>
      <c r="B92" s="81" t="s">
        <v>375</v>
      </c>
      <c r="C92" s="2"/>
      <c r="D92" s="2"/>
      <c r="E92" s="2"/>
    </row>
    <row r="93" ht="34.5" customHeight="1">
      <c r="A93" s="78" t="s">
        <v>376</v>
      </c>
      <c r="B93" s="79" t="s">
        <v>377</v>
      </c>
      <c r="C93" s="2"/>
      <c r="D93" s="2"/>
      <c r="E93" s="2"/>
    </row>
    <row r="94" ht="34.5" customHeight="1">
      <c r="A94" s="80" t="s">
        <v>378</v>
      </c>
      <c r="B94" s="81" t="s">
        <v>379</v>
      </c>
      <c r="C94" s="2"/>
      <c r="D94" s="2"/>
      <c r="E94" s="2"/>
    </row>
    <row r="95" ht="34.5" customHeight="1">
      <c r="A95" s="78" t="s">
        <v>380</v>
      </c>
      <c r="B95" s="79" t="s">
        <v>381</v>
      </c>
      <c r="C95" s="2"/>
      <c r="D95" s="2"/>
      <c r="E95" s="2"/>
    </row>
    <row r="96" ht="15.0" customHeight="1">
      <c r="B96" s="82" t="s">
        <v>382</v>
      </c>
    </row>
    <row r="97" ht="21.75" customHeight="1">
      <c r="A97" s="83" t="s">
        <v>383</v>
      </c>
      <c r="B97" s="2"/>
      <c r="C97" s="2"/>
      <c r="D97" s="2"/>
      <c r="E97" s="2"/>
    </row>
    <row r="98" ht="27.75" customHeight="1">
      <c r="A98" s="84" t="s">
        <v>384</v>
      </c>
      <c r="B98" s="85" t="s">
        <v>385</v>
      </c>
      <c r="C98" s="86" t="s">
        <v>386</v>
      </c>
      <c r="D98" s="2"/>
      <c r="E98" s="2"/>
    </row>
    <row r="99" ht="27.75" customHeight="1">
      <c r="A99" s="87" t="s">
        <v>387</v>
      </c>
      <c r="B99" s="88" t="s">
        <v>388</v>
      </c>
      <c r="C99" s="89" t="s">
        <v>389</v>
      </c>
      <c r="D99" s="2"/>
      <c r="E99" s="2"/>
    </row>
    <row r="100" ht="27.75" customHeight="1">
      <c r="A100" s="84" t="s">
        <v>390</v>
      </c>
      <c r="B100" s="85" t="s">
        <v>391</v>
      </c>
      <c r="C100" s="86" t="s">
        <v>392</v>
      </c>
      <c r="D100" s="2"/>
      <c r="E100" s="2"/>
    </row>
    <row r="101" ht="27.75" customHeight="1">
      <c r="A101" s="87" t="s">
        <v>393</v>
      </c>
      <c r="B101" s="88" t="s">
        <v>394</v>
      </c>
      <c r="C101" s="89" t="s">
        <v>395</v>
      </c>
      <c r="D101" s="2"/>
      <c r="E101" s="2"/>
    </row>
    <row r="102" ht="27.75" customHeight="1">
      <c r="A102" s="84" t="s">
        <v>396</v>
      </c>
      <c r="B102" s="85" t="s">
        <v>397</v>
      </c>
      <c r="C102" s="86" t="s">
        <v>398</v>
      </c>
      <c r="D102" s="2"/>
      <c r="E102" s="2"/>
    </row>
    <row r="103" ht="27.75" customHeight="1">
      <c r="A103" s="87" t="s">
        <v>399</v>
      </c>
      <c r="B103" s="88" t="s">
        <v>400</v>
      </c>
      <c r="C103" s="89" t="s">
        <v>401</v>
      </c>
      <c r="D103" s="2"/>
      <c r="E103" s="2"/>
    </row>
    <row r="104" ht="27.75" customHeight="1">
      <c r="A104" s="84" t="s">
        <v>402</v>
      </c>
      <c r="B104" s="85" t="s">
        <v>403</v>
      </c>
      <c r="C104" s="86" t="s">
        <v>404</v>
      </c>
      <c r="D104" s="2"/>
      <c r="E104" s="2"/>
    </row>
    <row r="105" ht="27.75" customHeight="1">
      <c r="A105" s="87" t="s">
        <v>405</v>
      </c>
      <c r="B105" s="88" t="s">
        <v>406</v>
      </c>
      <c r="C105" s="89" t="s">
        <v>407</v>
      </c>
      <c r="D105" s="2"/>
      <c r="E105" s="2"/>
    </row>
    <row r="106" ht="19.5" customHeight="1"/>
    <row r="107" ht="19.5" customHeight="1">
      <c r="B107" s="54" t="s">
        <v>408</v>
      </c>
      <c r="C107" s="75"/>
    </row>
    <row r="108" ht="19.5" customHeight="1"/>
    <row r="109" ht="19.5" customHeight="1"/>
    <row r="110" ht="15.0" customHeight="1"/>
    <row r="111" ht="19.5" customHeight="1"/>
    <row r="112" ht="19.5" customHeight="1">
      <c r="B112" s="53" t="s">
        <v>409</v>
      </c>
    </row>
    <row r="113" ht="19.5" customHeight="1"/>
    <row r="114" ht="19.5" customHeight="1">
      <c r="A114" s="29" t="s">
        <v>410</v>
      </c>
    </row>
    <row r="115" ht="19.5" customHeight="1"/>
    <row r="116" ht="18.0" customHeight="1"/>
    <row r="117" ht="15.0" customHeight="1"/>
    <row r="118" ht="24.0" customHeight="1">
      <c r="B118" s="54" t="s">
        <v>411</v>
      </c>
      <c r="C118" s="55" t="s">
        <v>412</v>
      </c>
    </row>
    <row r="119" ht="16.5" customHeight="1">
      <c r="A119" s="90" t="s">
        <v>413</v>
      </c>
      <c r="B119" s="91" t="s">
        <v>414</v>
      </c>
      <c r="C119" s="92" t="s">
        <v>415</v>
      </c>
    </row>
    <row r="120" ht="16.5" customHeight="1">
      <c r="A120" s="93" t="s">
        <v>416</v>
      </c>
      <c r="B120" s="91" t="s">
        <v>417</v>
      </c>
      <c r="C120" s="94" t="s">
        <v>418</v>
      </c>
    </row>
    <row r="121" ht="16.5" customHeight="1">
      <c r="A121" s="95" t="s">
        <v>419</v>
      </c>
      <c r="B121" s="96" t="s">
        <v>420</v>
      </c>
      <c r="C121" s="97" t="s">
        <v>421</v>
      </c>
    </row>
    <row r="122" ht="24.0" customHeight="1">
      <c r="A122" s="29" t="s">
        <v>422</v>
      </c>
    </row>
    <row r="123" ht="24.0" customHeight="1"/>
    <row r="124" ht="24.0" customHeight="1">
      <c r="B124" s="46" t="s">
        <v>423</v>
      </c>
    </row>
    <row r="125" ht="24.0" customHeight="1">
      <c r="B125" s="74" t="s">
        <v>424</v>
      </c>
    </row>
    <row r="126" ht="18.0" customHeight="1"/>
    <row r="127" ht="15.0" customHeight="1"/>
    <row r="128" ht="18.0" customHeight="1">
      <c r="B128" s="74" t="s">
        <v>425</v>
      </c>
    </row>
    <row r="129" ht="18.0" customHeight="1">
      <c r="B129" s="54" t="s">
        <v>426</v>
      </c>
    </row>
    <row r="130" ht="18.0" customHeight="1"/>
    <row r="131" ht="18.0" customHeight="1">
      <c r="B131" s="54" t="s">
        <v>427</v>
      </c>
    </row>
    <row r="132" ht="18.0" customHeight="1">
      <c r="B132" s="74" t="s">
        <v>409</v>
      </c>
    </row>
    <row r="133" ht="18.0" customHeight="1"/>
    <row r="134" ht="18.0" customHeight="1"/>
    <row r="135" ht="18.0" customHeight="1"/>
    <row r="136" ht="6.0" customHeight="1"/>
    <row r="137" ht="18.0" customHeight="1"/>
    <row r="138" ht="13.5" customHeight="1"/>
    <row r="139" ht="18.75" customHeight="1"/>
    <row r="140" ht="18.75" customHeight="1"/>
    <row r="141" ht="18.75" customHeight="1">
      <c r="A141" s="29" t="s">
        <v>428</v>
      </c>
    </row>
    <row r="142" ht="18.75" customHeight="1"/>
    <row r="143" ht="18.75" customHeight="1">
      <c r="A143" s="98" t="s">
        <v>429</v>
      </c>
    </row>
    <row r="144" ht="18.75" customHeight="1">
      <c r="A144" s="99" t="s">
        <v>269</v>
      </c>
      <c r="B144" s="99" t="s">
        <v>430</v>
      </c>
      <c r="C144" s="99" t="s">
        <v>431</v>
      </c>
      <c r="D144" s="99" t="s">
        <v>432</v>
      </c>
    </row>
    <row r="145" ht="18.75" customHeight="1">
      <c r="A145" s="100" t="s">
        <v>433</v>
      </c>
      <c r="H145" s="101" t="s">
        <v>434</v>
      </c>
    </row>
    <row r="146" ht="18.75" customHeight="1">
      <c r="A146" s="100" t="s">
        <v>435</v>
      </c>
      <c r="B146" s="58" t="s">
        <v>436</v>
      </c>
      <c r="C146" s="102" t="s">
        <v>437</v>
      </c>
      <c r="H146" s="101" t="s">
        <v>434</v>
      </c>
    </row>
    <row r="147" ht="18.75" customHeight="1">
      <c r="A147" s="100" t="s">
        <v>438</v>
      </c>
      <c r="H147" s="101" t="s">
        <v>434</v>
      </c>
    </row>
    <row r="148" ht="18.75" customHeight="1">
      <c r="A148" s="100" t="s">
        <v>439</v>
      </c>
      <c r="B148" s="58" t="s">
        <v>440</v>
      </c>
      <c r="C148" s="102" t="s">
        <v>441</v>
      </c>
      <c r="D148" s="65" t="s">
        <v>442</v>
      </c>
      <c r="H148" s="101" t="s">
        <v>434</v>
      </c>
    </row>
    <row r="149" ht="18.75" customHeight="1">
      <c r="A149" s="100" t="s">
        <v>443</v>
      </c>
      <c r="B149" s="58" t="s">
        <v>444</v>
      </c>
      <c r="C149" s="102" t="s">
        <v>445</v>
      </c>
      <c r="D149" s="65" t="s">
        <v>446</v>
      </c>
      <c r="H149" s="101" t="s">
        <v>434</v>
      </c>
    </row>
    <row r="150" ht="18.75" customHeight="1">
      <c r="A150" s="100" t="s">
        <v>447</v>
      </c>
      <c r="H150" s="101" t="s">
        <v>434</v>
      </c>
    </row>
    <row r="151" ht="18.75" customHeight="1">
      <c r="A151" s="103" t="s">
        <v>448</v>
      </c>
      <c r="B151" s="104" t="s">
        <v>449</v>
      </c>
      <c r="C151" s="105" t="s">
        <v>450</v>
      </c>
      <c r="D151" s="70" t="s">
        <v>451</v>
      </c>
      <c r="H151" s="101" t="s">
        <v>434</v>
      </c>
    </row>
    <row r="152" ht="18.75" customHeight="1">
      <c r="A152" s="103" t="s">
        <v>452</v>
      </c>
      <c r="B152" s="106" t="s">
        <v>453</v>
      </c>
      <c r="C152" s="105" t="s">
        <v>441</v>
      </c>
      <c r="D152" s="107" t="s">
        <v>454</v>
      </c>
      <c r="H152" s="101" t="s">
        <v>434</v>
      </c>
    </row>
    <row r="153" ht="18.75" customHeight="1">
      <c r="A153" s="103" t="s">
        <v>455</v>
      </c>
      <c r="H153" s="101" t="s">
        <v>434</v>
      </c>
    </row>
    <row r="154" ht="6.0" customHeight="1">
      <c r="A154" s="103" t="s">
        <v>456</v>
      </c>
      <c r="B154" s="106" t="s">
        <v>457</v>
      </c>
      <c r="C154" s="105" t="s">
        <v>441</v>
      </c>
      <c r="D154" s="107" t="s">
        <v>458</v>
      </c>
      <c r="H154" s="101" t="s">
        <v>434</v>
      </c>
    </row>
    <row r="155" ht="15.75" customHeight="1">
      <c r="A155" s="103" t="s">
        <v>459</v>
      </c>
    </row>
    <row r="156" ht="6.0" customHeight="1">
      <c r="A156" s="103" t="s">
        <v>460</v>
      </c>
      <c r="B156" s="106" t="s">
        <v>461</v>
      </c>
      <c r="H156" s="101" t="s">
        <v>434</v>
      </c>
    </row>
    <row r="157" ht="15.75" customHeight="1">
      <c r="A157" s="103" t="s">
        <v>462</v>
      </c>
    </row>
    <row r="158" ht="109.5" customHeight="1">
      <c r="A158" s="103" t="s">
        <v>463</v>
      </c>
    </row>
    <row r="159" ht="18.0" customHeight="1">
      <c r="A159" s="103" t="s">
        <v>464</v>
      </c>
      <c r="B159" s="104" t="s">
        <v>465</v>
      </c>
      <c r="C159" s="105" t="s">
        <v>441</v>
      </c>
      <c r="D159" s="70" t="s">
        <v>466</v>
      </c>
      <c r="E159" s="108" t="s">
        <v>467</v>
      </c>
      <c r="H159" s="101" t="s">
        <v>434</v>
      </c>
    </row>
    <row r="160" ht="18.0" customHeight="1"/>
    <row r="161" ht="18.0" customHeight="1">
      <c r="A161" s="109" t="s">
        <v>468</v>
      </c>
    </row>
    <row r="162" ht="6.0" customHeight="1"/>
    <row r="163" ht="15.75" customHeight="1">
      <c r="A163" s="110" t="s">
        <v>469</v>
      </c>
    </row>
    <row r="164" ht="16.5" customHeight="1">
      <c r="A164" s="111" t="s">
        <v>470</v>
      </c>
    </row>
    <row r="165" ht="16.5" customHeight="1"/>
    <row r="166" ht="16.5" customHeight="1">
      <c r="A166" s="93" t="s">
        <v>471</v>
      </c>
    </row>
    <row r="167" ht="16.5" customHeight="1">
      <c r="A167" s="112" t="s">
        <v>472</v>
      </c>
    </row>
    <row r="168" ht="16.5" customHeight="1">
      <c r="A168" s="113" t="s">
        <v>473</v>
      </c>
    </row>
    <row r="169" ht="16.5" customHeight="1">
      <c r="A169" s="113" t="s">
        <v>474</v>
      </c>
    </row>
    <row r="170" ht="6.0" customHeight="1">
      <c r="A170" s="113" t="s">
        <v>475</v>
      </c>
    </row>
    <row r="171" ht="16.5" customHeight="1">
      <c r="A171" s="113" t="s">
        <v>476</v>
      </c>
    </row>
    <row r="172" ht="16.5" customHeight="1">
      <c r="A172" s="113" t="s">
        <v>477</v>
      </c>
    </row>
    <row r="173" ht="16.5" customHeight="1"/>
    <row r="174" ht="16.5" customHeight="1">
      <c r="A174" s="112" t="s">
        <v>478</v>
      </c>
    </row>
    <row r="175" ht="16.5" customHeight="1">
      <c r="A175" s="113" t="s">
        <v>479</v>
      </c>
    </row>
    <row r="176" ht="6.0" customHeight="1">
      <c r="A176" s="113" t="s">
        <v>480</v>
      </c>
    </row>
    <row r="177" ht="16.5" customHeight="1">
      <c r="A177" s="113" t="s">
        <v>481</v>
      </c>
    </row>
    <row r="178" ht="16.5" customHeight="1">
      <c r="A178" s="113" t="s">
        <v>482</v>
      </c>
    </row>
    <row r="179" ht="16.5" customHeight="1"/>
    <row r="180" ht="16.5" customHeight="1">
      <c r="A180" s="112" t="s">
        <v>483</v>
      </c>
    </row>
    <row r="181" ht="6.0" customHeight="1">
      <c r="A181" s="113" t="s">
        <v>484</v>
      </c>
    </row>
    <row r="182" ht="16.5" customHeight="1">
      <c r="A182" s="113" t="s">
        <v>485</v>
      </c>
    </row>
    <row r="183" ht="18.0" customHeight="1">
      <c r="A183" s="113" t="s">
        <v>486</v>
      </c>
    </row>
    <row r="184" ht="18.0" customHeight="1"/>
    <row r="185" ht="18.0" customHeight="1">
      <c r="A185" s="114" t="s">
        <v>487</v>
      </c>
    </row>
    <row r="186" ht="18.0" customHeight="1"/>
    <row r="187" ht="18.0" customHeight="1"/>
    <row r="188" ht="18.0" customHeight="1">
      <c r="B188" s="115" t="s">
        <v>488</v>
      </c>
      <c r="C188" s="116"/>
      <c r="D188" s="116"/>
      <c r="E188" s="116"/>
      <c r="F188" s="116"/>
      <c r="G188" s="116"/>
      <c r="H188" s="116"/>
      <c r="I188" s="116"/>
    </row>
    <row r="189" ht="18.0" customHeight="1">
      <c r="B189" s="117" t="s">
        <v>489</v>
      </c>
    </row>
    <row r="190" ht="18.0" customHeight="1"/>
    <row r="191" ht="18.0" customHeight="1"/>
    <row r="192" ht="27.75" customHeight="1">
      <c r="A192" s="118" t="s">
        <v>490</v>
      </c>
      <c r="B192" s="119"/>
      <c r="C192" s="119"/>
      <c r="D192" s="119"/>
      <c r="E192" s="119"/>
      <c r="F192" s="119"/>
      <c r="G192" s="119"/>
      <c r="H192" s="119"/>
      <c r="I192" s="119"/>
    </row>
    <row r="193" ht="19.5" customHeight="1">
      <c r="A193" s="120" t="s">
        <v>491</v>
      </c>
      <c r="B193" s="121"/>
      <c r="C193" s="121"/>
      <c r="D193" s="121"/>
      <c r="E193" s="121"/>
      <c r="F193" s="121"/>
      <c r="G193" s="121"/>
      <c r="H193" s="121"/>
      <c r="I193" s="121"/>
    </row>
    <row r="194" ht="18.0" customHeight="1">
      <c r="A194" s="122" t="s">
        <v>492</v>
      </c>
      <c r="B194" s="123" t="s">
        <v>493</v>
      </c>
      <c r="C194" s="124" t="s">
        <v>494</v>
      </c>
    </row>
    <row r="195" ht="18.0" customHeight="1">
      <c r="A195" s="122" t="s">
        <v>492</v>
      </c>
      <c r="B195" s="123" t="s">
        <v>495</v>
      </c>
      <c r="C195" s="124" t="s">
        <v>496</v>
      </c>
    </row>
    <row r="196" ht="18.0" customHeight="1">
      <c r="A196" s="122" t="s">
        <v>492</v>
      </c>
      <c r="B196" s="123" t="s">
        <v>497</v>
      </c>
      <c r="C196" s="124" t="s">
        <v>498</v>
      </c>
    </row>
    <row r="197" ht="18.0" customHeight="1">
      <c r="A197" s="122" t="s">
        <v>492</v>
      </c>
      <c r="B197" s="123" t="s">
        <v>499</v>
      </c>
      <c r="C197" s="124" t="s">
        <v>500</v>
      </c>
    </row>
    <row r="198" ht="18.0" customHeight="1">
      <c r="A198" s="122" t="s">
        <v>492</v>
      </c>
      <c r="B198" s="123" t="s">
        <v>501</v>
      </c>
      <c r="C198" s="124" t="s">
        <v>502</v>
      </c>
    </row>
    <row r="199" ht="18.0" customHeight="1">
      <c r="A199" s="122" t="s">
        <v>492</v>
      </c>
      <c r="B199" s="123" t="s">
        <v>503</v>
      </c>
      <c r="C199" s="124" t="s">
        <v>504</v>
      </c>
    </row>
    <row r="200" ht="18.0" customHeight="1">
      <c r="A200" s="122" t="s">
        <v>492</v>
      </c>
      <c r="B200" s="123" t="s">
        <v>505</v>
      </c>
      <c r="C200" s="124" t="s">
        <v>506</v>
      </c>
    </row>
    <row r="201" ht="18.0" customHeight="1">
      <c r="A201" s="122" t="s">
        <v>492</v>
      </c>
      <c r="B201" s="123" t="s">
        <v>507</v>
      </c>
      <c r="C201" s="124" t="s">
        <v>508</v>
      </c>
    </row>
    <row r="202" ht="18.0" customHeight="1">
      <c r="A202" s="122" t="s">
        <v>492</v>
      </c>
      <c r="B202" s="123" t="s">
        <v>509</v>
      </c>
      <c r="C202" s="124" t="s">
        <v>510</v>
      </c>
    </row>
    <row r="203" ht="18.0" customHeight="1">
      <c r="A203" s="122" t="s">
        <v>492</v>
      </c>
      <c r="B203" s="123" t="s">
        <v>511</v>
      </c>
      <c r="C203" s="124" t="s">
        <v>512</v>
      </c>
    </row>
    <row r="204" ht="18.0" customHeight="1">
      <c r="A204" s="122" t="s">
        <v>492</v>
      </c>
      <c r="B204" s="123" t="s">
        <v>513</v>
      </c>
      <c r="C204" s="124" t="s">
        <v>514</v>
      </c>
    </row>
    <row r="205" ht="18.0" customHeight="1"/>
    <row r="206" ht="24.0" customHeight="1">
      <c r="A206" s="125" t="s">
        <v>515</v>
      </c>
      <c r="B206" s="119"/>
      <c r="C206" s="119"/>
      <c r="D206" s="119"/>
      <c r="E206" s="119"/>
      <c r="F206" s="119"/>
      <c r="G206" s="119"/>
      <c r="H206" s="119"/>
      <c r="I206" s="119"/>
    </row>
    <row r="207" ht="30.0" customHeight="1">
      <c r="A207" s="126" t="s">
        <v>516</v>
      </c>
      <c r="B207" s="127" t="s">
        <v>517</v>
      </c>
      <c r="C207" s="128" t="s">
        <v>518</v>
      </c>
      <c r="D207" s="129" t="s">
        <v>519</v>
      </c>
    </row>
    <row r="208" ht="30.0" customHeight="1">
      <c r="A208" s="126" t="s">
        <v>520</v>
      </c>
      <c r="B208" s="127" t="s">
        <v>521</v>
      </c>
      <c r="C208" s="128" t="s">
        <v>522</v>
      </c>
      <c r="D208" s="129" t="s">
        <v>523</v>
      </c>
    </row>
    <row r="209" ht="30.0" customHeight="1">
      <c r="A209" s="130" t="s">
        <v>524</v>
      </c>
      <c r="B209" s="131" t="s">
        <v>525</v>
      </c>
      <c r="C209" s="132" t="s">
        <v>526</v>
      </c>
      <c r="D209" s="133" t="s">
        <v>527</v>
      </c>
    </row>
    <row r="210" ht="30.0" customHeight="1">
      <c r="A210" s="134" t="s">
        <v>528</v>
      </c>
      <c r="B210" s="135" t="s">
        <v>529</v>
      </c>
      <c r="C210" s="136" t="s">
        <v>530</v>
      </c>
      <c r="D210" s="137" t="s">
        <v>531</v>
      </c>
    </row>
    <row r="211" ht="18.0" customHeight="1"/>
    <row r="212" ht="19.5" customHeight="1">
      <c r="A212" s="136" t="s">
        <v>532</v>
      </c>
      <c r="B212" s="138"/>
      <c r="C212" s="138"/>
      <c r="D212" s="138"/>
      <c r="E212" s="138"/>
      <c r="F212" s="138"/>
      <c r="G212" s="138"/>
      <c r="H212" s="138"/>
      <c r="I212" s="138"/>
    </row>
    <row r="213" ht="18.0" customHeight="1">
      <c r="A213" s="139" t="s">
        <v>533</v>
      </c>
      <c r="B213" s="135" t="s">
        <v>534</v>
      </c>
      <c r="C213" s="124" t="s">
        <v>535</v>
      </c>
    </row>
    <row r="214" ht="18.0" customHeight="1">
      <c r="A214" s="139" t="s">
        <v>536</v>
      </c>
      <c r="B214" s="135" t="s">
        <v>537</v>
      </c>
      <c r="C214" s="124" t="s">
        <v>538</v>
      </c>
    </row>
    <row r="215" ht="18.0" customHeight="1">
      <c r="A215" s="139" t="s">
        <v>539</v>
      </c>
      <c r="B215" s="135" t="s">
        <v>540</v>
      </c>
      <c r="C215" s="124" t="s">
        <v>541</v>
      </c>
    </row>
    <row r="216" ht="18.0" customHeight="1">
      <c r="A216" s="139" t="s">
        <v>542</v>
      </c>
      <c r="B216" s="135" t="s">
        <v>543</v>
      </c>
      <c r="C216" s="124" t="s">
        <v>544</v>
      </c>
    </row>
    <row r="217" ht="18.0" customHeight="1">
      <c r="A217" s="139" t="s">
        <v>545</v>
      </c>
      <c r="B217" s="135" t="s">
        <v>546</v>
      </c>
      <c r="C217" s="124" t="s">
        <v>547</v>
      </c>
    </row>
    <row r="218" ht="18.0" customHeight="1">
      <c r="A218" s="139" t="s">
        <v>548</v>
      </c>
      <c r="B218" s="135" t="s">
        <v>549</v>
      </c>
      <c r="C218" s="124" t="s">
        <v>550</v>
      </c>
    </row>
    <row r="219" ht="18.0" customHeight="1">
      <c r="A219" s="139" t="s">
        <v>551</v>
      </c>
      <c r="B219" s="135" t="s">
        <v>552</v>
      </c>
      <c r="C219" s="124" t="s">
        <v>553</v>
      </c>
    </row>
    <row r="220" ht="18.0" customHeight="1"/>
    <row r="221" ht="19.5" customHeight="1">
      <c r="A221" s="132" t="s">
        <v>554</v>
      </c>
      <c r="B221" s="140"/>
      <c r="C221" s="140"/>
      <c r="D221" s="140"/>
      <c r="E221" s="140"/>
      <c r="F221" s="140"/>
      <c r="G221" s="140"/>
      <c r="H221" s="140"/>
      <c r="I221" s="140"/>
    </row>
    <row r="222" ht="25.5" customHeight="1">
      <c r="A222" s="123" t="s">
        <v>555</v>
      </c>
      <c r="B222" s="138"/>
      <c r="C222" s="141" t="s">
        <v>556</v>
      </c>
    </row>
    <row r="223" ht="25.5" customHeight="1">
      <c r="A223" s="123" t="s">
        <v>557</v>
      </c>
      <c r="B223" s="138"/>
      <c r="C223" s="141" t="s">
        <v>558</v>
      </c>
    </row>
    <row r="224" ht="25.5" customHeight="1">
      <c r="A224" s="123" t="s">
        <v>559</v>
      </c>
      <c r="B224" s="138"/>
      <c r="C224" s="141" t="s">
        <v>560</v>
      </c>
    </row>
    <row r="225" ht="25.5" customHeight="1">
      <c r="A225" s="123" t="s">
        <v>561</v>
      </c>
      <c r="B225" s="138"/>
      <c r="C225" s="141" t="s">
        <v>562</v>
      </c>
    </row>
    <row r="226" ht="25.5" customHeight="1">
      <c r="A226" s="123" t="s">
        <v>563</v>
      </c>
      <c r="B226" s="138"/>
      <c r="C226" s="141" t="s">
        <v>564</v>
      </c>
    </row>
    <row r="227" ht="25.5" customHeight="1">
      <c r="A227" s="123" t="s">
        <v>565</v>
      </c>
      <c r="B227" s="142" t="s">
        <v>308</v>
      </c>
      <c r="C227" s="141" t="s">
        <v>566</v>
      </c>
      <c r="H227" s="30"/>
    </row>
    <row r="228" ht="25.5" customHeight="1">
      <c r="A228" s="123" t="s">
        <v>567</v>
      </c>
      <c r="B228" s="143" t="s">
        <v>568</v>
      </c>
      <c r="C228" s="141" t="s">
        <v>569</v>
      </c>
    </row>
    <row r="229" ht="18.0" customHeight="1">
      <c r="B229" s="46" t="s">
        <v>570</v>
      </c>
    </row>
    <row r="230" ht="19.5" customHeight="1">
      <c r="A230" s="144" t="s">
        <v>571</v>
      </c>
      <c r="B230" s="119"/>
      <c r="C230" s="119"/>
      <c r="D230" s="119"/>
      <c r="E230" s="119"/>
      <c r="F230" s="119"/>
      <c r="G230" s="119"/>
      <c r="H230" s="119"/>
      <c r="I230" s="119"/>
    </row>
    <row r="231" ht="49.5" customHeight="1">
      <c r="A231" s="145" t="s">
        <v>572</v>
      </c>
      <c r="B231" s="146" t="s">
        <v>573</v>
      </c>
      <c r="C231" s="147" t="s">
        <v>574</v>
      </c>
      <c r="D231" s="119"/>
      <c r="E231" s="119"/>
      <c r="F231" s="119"/>
      <c r="G231" s="119"/>
      <c r="H231" s="119"/>
      <c r="I231" s="119"/>
    </row>
    <row r="232" ht="18.0" customHeight="1">
      <c r="B232" s="54" t="s">
        <v>575</v>
      </c>
      <c r="C232" s="55" t="s">
        <v>576</v>
      </c>
    </row>
    <row r="233" ht="30.0" customHeight="1">
      <c r="A233" s="148" t="s">
        <v>577</v>
      </c>
      <c r="B233" s="149" t="s">
        <v>578</v>
      </c>
      <c r="C233" s="119"/>
      <c r="D233" s="119"/>
      <c r="E233" s="119"/>
      <c r="F233" s="119"/>
      <c r="G233" s="119"/>
      <c r="H233" s="119"/>
      <c r="I233" s="119"/>
    </row>
    <row r="234" ht="18.0" customHeight="1"/>
    <row r="235" ht="18.0" customHeight="1"/>
    <row r="236" ht="18.0" customHeight="1"/>
    <row r="237" ht="18.0" customHeight="1"/>
    <row r="238" ht="18.0" customHeight="1"/>
    <row r="239" ht="18.0" customHeight="1">
      <c r="B239" s="74" t="s">
        <v>579</v>
      </c>
    </row>
    <row r="240" ht="18.0" customHeight="1">
      <c r="B240" s="54" t="s">
        <v>580</v>
      </c>
    </row>
    <row r="241" ht="18.0" customHeight="1">
      <c r="B241" s="74" t="s">
        <v>581</v>
      </c>
    </row>
    <row r="242" ht="18.0" customHeight="1">
      <c r="B242" s="54" t="s">
        <v>582</v>
      </c>
    </row>
    <row r="243" ht="18.0" customHeight="1"/>
    <row r="244" ht="18.0" customHeight="1">
      <c r="A244" s="29" t="s">
        <v>583</v>
      </c>
    </row>
    <row r="245" ht="18.0" customHeight="1">
      <c r="A245" s="150" t="s">
        <v>584</v>
      </c>
      <c r="B245" s="150" t="s">
        <v>585</v>
      </c>
      <c r="C245" s="150" t="s">
        <v>586</v>
      </c>
      <c r="D245" s="150" t="s">
        <v>587</v>
      </c>
      <c r="E245" s="150" t="s">
        <v>588</v>
      </c>
      <c r="F245" s="151" t="s">
        <v>589</v>
      </c>
      <c r="G245" s="152" t="s">
        <v>590</v>
      </c>
    </row>
    <row r="246" ht="18.0" customHeight="1">
      <c r="A246" s="70" t="s">
        <v>591</v>
      </c>
      <c r="B246" s="153" t="s">
        <v>592</v>
      </c>
      <c r="F246" s="154" t="s">
        <v>434</v>
      </c>
      <c r="G246" s="155" t="s">
        <v>593</v>
      </c>
    </row>
    <row r="247" ht="18.0" customHeight="1">
      <c r="A247" s="107" t="s">
        <v>594</v>
      </c>
      <c r="B247" s="153" t="s">
        <v>595</v>
      </c>
      <c r="C247" s="156" t="s">
        <v>596</v>
      </c>
      <c r="D247" s="156" t="s">
        <v>597</v>
      </c>
      <c r="E247" s="157" t="s">
        <v>598</v>
      </c>
      <c r="F247" s="154" t="s">
        <v>434</v>
      </c>
      <c r="G247" s="158" t="s">
        <v>593</v>
      </c>
    </row>
    <row r="248" ht="18.0" customHeight="1">
      <c r="A248" s="70" t="s">
        <v>599</v>
      </c>
      <c r="F248" s="154" t="s">
        <v>434</v>
      </c>
      <c r="G248" s="155" t="s">
        <v>593</v>
      </c>
    </row>
    <row r="249" ht="18.0" customHeight="1">
      <c r="A249" s="107" t="s">
        <v>600</v>
      </c>
      <c r="B249" s="153" t="s">
        <v>592</v>
      </c>
      <c r="C249" s="156" t="s">
        <v>601</v>
      </c>
      <c r="F249" s="154" t="s">
        <v>434</v>
      </c>
      <c r="G249" s="158" t="s">
        <v>593</v>
      </c>
    </row>
    <row r="250" ht="18.0" customHeight="1">
      <c r="A250" s="70" t="s">
        <v>602</v>
      </c>
      <c r="B250" s="153" t="s">
        <v>603</v>
      </c>
      <c r="C250" s="159" t="s">
        <v>604</v>
      </c>
      <c r="D250" s="159" t="s">
        <v>597</v>
      </c>
      <c r="F250" s="154" t="s">
        <v>434</v>
      </c>
      <c r="G250" s="155" t="s">
        <v>593</v>
      </c>
    </row>
    <row r="251" ht="18.0" customHeight="1">
      <c r="A251" s="107" t="s">
        <v>605</v>
      </c>
      <c r="B251" s="153" t="s">
        <v>606</v>
      </c>
      <c r="C251" s="156" t="s">
        <v>607</v>
      </c>
      <c r="D251" s="156" t="s">
        <v>597</v>
      </c>
      <c r="F251" s="154" t="s">
        <v>434</v>
      </c>
      <c r="G251" s="158" t="s">
        <v>593</v>
      </c>
    </row>
    <row r="252" ht="18.0" customHeight="1">
      <c r="A252" s="70" t="s">
        <v>608</v>
      </c>
      <c r="B252" s="160" t="s">
        <v>609</v>
      </c>
      <c r="C252" s="159" t="s">
        <v>610</v>
      </c>
      <c r="D252" s="159" t="s">
        <v>597</v>
      </c>
      <c r="F252" s="154" t="s">
        <v>434</v>
      </c>
      <c r="G252" s="155" t="s">
        <v>593</v>
      </c>
    </row>
    <row r="253" ht="18.0" customHeight="1">
      <c r="A253" s="107" t="s">
        <v>611</v>
      </c>
      <c r="B253" s="153" t="s">
        <v>592</v>
      </c>
      <c r="C253" s="156" t="s">
        <v>612</v>
      </c>
      <c r="D253" s="156" t="s">
        <v>597</v>
      </c>
      <c r="F253" s="154" t="s">
        <v>434</v>
      </c>
      <c r="G253" s="158" t="s">
        <v>593</v>
      </c>
    </row>
    <row r="254" ht="18.0" customHeight="1">
      <c r="A254" s="70" t="s">
        <v>613</v>
      </c>
      <c r="B254" s="161" t="s">
        <v>614</v>
      </c>
      <c r="C254" s="159" t="s">
        <v>615</v>
      </c>
      <c r="D254" s="159" t="s">
        <v>616</v>
      </c>
      <c r="F254" s="154" t="s">
        <v>434</v>
      </c>
      <c r="G254" s="155" t="s">
        <v>593</v>
      </c>
    </row>
    <row r="255" ht="6.0" customHeight="1">
      <c r="A255" s="107" t="s">
        <v>617</v>
      </c>
      <c r="B255" s="162" t="s">
        <v>618</v>
      </c>
      <c r="C255" s="156" t="s">
        <v>619</v>
      </c>
      <c r="D255" s="156" t="s">
        <v>597</v>
      </c>
      <c r="F255" s="154" t="s">
        <v>434</v>
      </c>
      <c r="G255" s="158" t="s">
        <v>593</v>
      </c>
    </row>
    <row r="256" ht="18.0" customHeight="1">
      <c r="A256" s="163" t="s">
        <v>620</v>
      </c>
    </row>
    <row r="257" ht="13.5" customHeight="1"/>
    <row r="258" ht="21.75" customHeight="1"/>
    <row r="259" ht="21.75" customHeight="1"/>
    <row r="260" ht="21.75" customHeight="1"/>
    <row r="261" ht="21.75" customHeight="1">
      <c r="B261" s="72" t="s">
        <v>621</v>
      </c>
    </row>
    <row r="262" ht="21.75" customHeight="1">
      <c r="B262" s="71" t="s">
        <v>622</v>
      </c>
    </row>
    <row r="263" ht="6.0" customHeight="1">
      <c r="B263" s="72" t="s">
        <v>623</v>
      </c>
    </row>
    <row r="264" ht="15.75" customHeight="1">
      <c r="B264" s="164" t="s">
        <v>624</v>
      </c>
    </row>
    <row r="265" ht="18.0" customHeight="1">
      <c r="B265" s="73" t="s">
        <v>625</v>
      </c>
    </row>
    <row r="266" ht="18.0" customHeight="1">
      <c r="B266" s="47" t="s">
        <v>626</v>
      </c>
    </row>
    <row r="267" ht="6.0" customHeight="1">
      <c r="B267" s="73" t="s">
        <v>627</v>
      </c>
    </row>
    <row r="268" ht="15.75" customHeight="1"/>
    <row r="269" ht="18.0" customHeight="1"/>
    <row r="270" ht="31.5" customHeight="1"/>
    <row r="271" ht="31.5" customHeight="1">
      <c r="A271" s="29" t="s">
        <v>628</v>
      </c>
    </row>
    <row r="272" ht="31.5" customHeight="1">
      <c r="B272" s="82" t="s">
        <v>629</v>
      </c>
      <c r="C272" s="165" t="s">
        <v>630</v>
      </c>
    </row>
    <row r="273" ht="31.5" customHeight="1">
      <c r="B273" s="166" t="s">
        <v>631</v>
      </c>
      <c r="C273" s="51" t="s">
        <v>632</v>
      </c>
    </row>
    <row r="274" ht="31.5" customHeight="1">
      <c r="B274" s="71" t="s">
        <v>633</v>
      </c>
      <c r="C274" s="55" t="s">
        <v>634</v>
      </c>
    </row>
    <row r="275" ht="31.5" customHeight="1">
      <c r="B275" s="72" t="s">
        <v>635</v>
      </c>
      <c r="C275" s="73" t="s">
        <v>636</v>
      </c>
    </row>
    <row r="276" ht="19.5" customHeight="1">
      <c r="B276" s="71" t="s">
        <v>637</v>
      </c>
      <c r="C276" s="55" t="s">
        <v>638</v>
      </c>
    </row>
    <row r="277" ht="18.0" customHeight="1">
      <c r="B277" s="82" t="s">
        <v>639</v>
      </c>
      <c r="C277" s="165" t="s">
        <v>640</v>
      </c>
    </row>
    <row r="278" ht="18.0" customHeight="1">
      <c r="B278" s="72" t="s">
        <v>641</v>
      </c>
      <c r="C278" s="73" t="s">
        <v>642</v>
      </c>
    </row>
    <row r="279" ht="18.0" customHeight="1"/>
    <row r="280" ht="18.0" customHeight="1"/>
    <row r="281" ht="18.0" customHeight="1"/>
    <row r="282" ht="18.0" customHeight="1">
      <c r="A282" s="29" t="s">
        <v>643</v>
      </c>
    </row>
    <row r="283" ht="18.0" customHeight="1">
      <c r="B283" s="150" t="s">
        <v>333</v>
      </c>
      <c r="C283" s="150" t="s">
        <v>644</v>
      </c>
      <c r="D283" s="150" t="s">
        <v>645</v>
      </c>
      <c r="E283" s="150" t="s">
        <v>646</v>
      </c>
      <c r="F283" s="150" t="s">
        <v>647</v>
      </c>
    </row>
    <row r="284" ht="18.0" customHeight="1">
      <c r="B284" s="167" t="s">
        <v>648</v>
      </c>
      <c r="C284" s="168" t="s">
        <v>649</v>
      </c>
      <c r="D284" s="169" t="s">
        <v>650</v>
      </c>
      <c r="E284" s="170" t="s">
        <v>651</v>
      </c>
      <c r="F284" s="171" t="s">
        <v>652</v>
      </c>
    </row>
    <row r="285" ht="18.0" customHeight="1">
      <c r="B285" s="167" t="s">
        <v>653</v>
      </c>
      <c r="C285" s="172" t="s">
        <v>654</v>
      </c>
      <c r="D285" s="169" t="s">
        <v>655</v>
      </c>
      <c r="E285" s="173" t="s">
        <v>656</v>
      </c>
      <c r="F285" s="171" t="s">
        <v>657</v>
      </c>
    </row>
    <row r="286" ht="18.0" customHeight="1">
      <c r="B286" s="174" t="s">
        <v>658</v>
      </c>
      <c r="C286" s="168" t="s">
        <v>659</v>
      </c>
      <c r="D286" s="175" t="s">
        <v>660</v>
      </c>
      <c r="E286" s="170" t="s">
        <v>661</v>
      </c>
      <c r="F286" s="171" t="s">
        <v>662</v>
      </c>
    </row>
    <row r="287" ht="18.0" customHeight="1">
      <c r="B287" s="176" t="s">
        <v>663</v>
      </c>
    </row>
    <row r="288" ht="18.0" customHeight="1">
      <c r="B288" s="174" t="s">
        <v>664</v>
      </c>
      <c r="C288" s="168" t="s">
        <v>665</v>
      </c>
      <c r="D288" s="175" t="s">
        <v>666</v>
      </c>
      <c r="E288" s="170" t="s">
        <v>667</v>
      </c>
      <c r="F288" s="171" t="s">
        <v>668</v>
      </c>
    </row>
    <row r="289" ht="18.0" customHeight="1"/>
    <row r="290" ht="18.0" customHeight="1"/>
    <row r="291" ht="18.0" customHeight="1">
      <c r="A291" s="93" t="s">
        <v>669</v>
      </c>
    </row>
    <row r="292" ht="18.0" customHeight="1">
      <c r="A292" s="152" t="s">
        <v>670</v>
      </c>
      <c r="B292" s="152" t="s">
        <v>671</v>
      </c>
      <c r="C292" s="152" t="s">
        <v>672</v>
      </c>
      <c r="D292" s="152" t="s">
        <v>673</v>
      </c>
    </row>
    <row r="293" ht="18.0" customHeight="1">
      <c r="A293" s="177" t="s">
        <v>674</v>
      </c>
      <c r="B293" s="178" t="s">
        <v>675</v>
      </c>
      <c r="C293" s="179" t="s">
        <v>676</v>
      </c>
      <c r="D293" s="180" t="s">
        <v>677</v>
      </c>
    </row>
    <row r="294" ht="18.0" customHeight="1">
      <c r="A294" s="181" t="s">
        <v>678</v>
      </c>
      <c r="B294" s="92" t="s">
        <v>679</v>
      </c>
      <c r="C294" s="179" t="s">
        <v>680</v>
      </c>
      <c r="D294" s="182" t="s">
        <v>681</v>
      </c>
    </row>
    <row r="295" ht="18.0" customHeight="1">
      <c r="A295" s="177" t="s">
        <v>682</v>
      </c>
      <c r="B295" s="178" t="s">
        <v>683</v>
      </c>
      <c r="C295" s="179" t="s">
        <v>684</v>
      </c>
      <c r="D295" s="180" t="s">
        <v>685</v>
      </c>
    </row>
    <row r="296" ht="18.0" customHeight="1">
      <c r="A296" s="181" t="s">
        <v>686</v>
      </c>
      <c r="B296" s="92" t="s">
        <v>687</v>
      </c>
      <c r="C296" s="179" t="s">
        <v>688</v>
      </c>
      <c r="D296" s="182" t="s">
        <v>689</v>
      </c>
    </row>
    <row r="297" ht="18.0" customHeight="1">
      <c r="A297" s="177" t="s">
        <v>690</v>
      </c>
      <c r="B297" s="178" t="s">
        <v>691</v>
      </c>
      <c r="C297" s="179" t="s">
        <v>692</v>
      </c>
      <c r="D297" s="180" t="s">
        <v>693</v>
      </c>
    </row>
    <row r="298" ht="18.0" customHeight="1">
      <c r="A298" s="181" t="s">
        <v>694</v>
      </c>
      <c r="B298" s="92" t="s">
        <v>695</v>
      </c>
      <c r="C298" s="179" t="s">
        <v>696</v>
      </c>
      <c r="D298" s="182" t="s">
        <v>697</v>
      </c>
    </row>
    <row r="299" ht="18.0" customHeight="1">
      <c r="A299" s="183" t="s">
        <v>698</v>
      </c>
    </row>
    <row r="300" ht="18.0" customHeight="1"/>
    <row r="301" ht="18.0" customHeight="1">
      <c r="A301" s="184" t="s">
        <v>699</v>
      </c>
    </row>
    <row r="302" ht="18.0" customHeight="1">
      <c r="A302" s="185" t="s">
        <v>700</v>
      </c>
    </row>
    <row r="303" ht="18.0" customHeight="1">
      <c r="A303" s="186" t="s">
        <v>19</v>
      </c>
      <c r="B303" s="22" t="s">
        <v>701</v>
      </c>
      <c r="C303" s="22" t="s">
        <v>702</v>
      </c>
    </row>
    <row r="304" ht="18.0" customHeight="1">
      <c r="A304" s="186" t="s">
        <v>22</v>
      </c>
      <c r="B304" s="22" t="s">
        <v>703</v>
      </c>
      <c r="C304" s="22" t="s">
        <v>704</v>
      </c>
    </row>
    <row r="305" ht="15.75" customHeight="1">
      <c r="A305" s="186" t="s">
        <v>25</v>
      </c>
      <c r="B305" s="22" t="s">
        <v>705</v>
      </c>
      <c r="C305" s="22" t="s">
        <v>706</v>
      </c>
    </row>
    <row r="306" ht="15.75" customHeight="1">
      <c r="A306" s="186" t="s">
        <v>707</v>
      </c>
      <c r="B306" s="163" t="s">
        <v>708</v>
      </c>
      <c r="C306" s="22" t="s">
        <v>709</v>
      </c>
    </row>
    <row r="307" ht="15.75" customHeight="1"/>
    <row r="308" ht="15.75" customHeight="1">
      <c r="A308" s="185" t="s">
        <v>710</v>
      </c>
    </row>
    <row r="309" ht="15.75" customHeight="1">
      <c r="A309" s="186" t="s">
        <v>711</v>
      </c>
      <c r="B309" s="22" t="s">
        <v>712</v>
      </c>
    </row>
    <row r="310" ht="15.75" customHeight="1">
      <c r="A310" s="186" t="s">
        <v>713</v>
      </c>
      <c r="B310" s="22" t="s">
        <v>714</v>
      </c>
      <c r="C310" s="22" t="s">
        <v>715</v>
      </c>
    </row>
    <row r="311" ht="15.75" customHeight="1">
      <c r="A311" s="186" t="s">
        <v>716</v>
      </c>
      <c r="B311" s="22" t="s">
        <v>717</v>
      </c>
    </row>
    <row r="312" ht="15.75" customHeight="1">
      <c r="A312" s="186" t="s">
        <v>718</v>
      </c>
      <c r="B312" s="22" t="s">
        <v>719</v>
      </c>
      <c r="C312" s="22" t="s">
        <v>720</v>
      </c>
    </row>
    <row r="313" ht="18.0" customHeight="1">
      <c r="A313" s="186" t="s">
        <v>721</v>
      </c>
      <c r="B313" s="22" t="s">
        <v>722</v>
      </c>
    </row>
    <row r="314" ht="18.0" customHeight="1"/>
    <row r="315" ht="18.0" customHeight="1">
      <c r="A315" s="186" t="s">
        <v>723</v>
      </c>
      <c r="B315" s="22" t="s">
        <v>724</v>
      </c>
    </row>
    <row r="316" ht="18.0" customHeight="1">
      <c r="A316" s="186" t="s">
        <v>725</v>
      </c>
      <c r="B316" s="22" t="s">
        <v>726</v>
      </c>
      <c r="C316" s="22" t="s">
        <v>727</v>
      </c>
    </row>
    <row r="317" ht="18.0" customHeight="1">
      <c r="A317" s="186" t="s">
        <v>728</v>
      </c>
      <c r="B317" s="22" t="s">
        <v>729</v>
      </c>
      <c r="C317" s="22" t="s">
        <v>730</v>
      </c>
    </row>
    <row r="318" ht="18.0" customHeight="1"/>
    <row r="319" ht="18.0" customHeight="1">
      <c r="A319" s="187" t="s">
        <v>731</v>
      </c>
    </row>
    <row r="320" ht="18.0" customHeight="1">
      <c r="A320" s="186" t="s">
        <v>732</v>
      </c>
      <c r="B320" s="22" t="s">
        <v>733</v>
      </c>
      <c r="C320" s="22" t="s">
        <v>734</v>
      </c>
    </row>
    <row r="321" ht="18.0" customHeight="1">
      <c r="A321" s="186" t="s">
        <v>735</v>
      </c>
      <c r="B321" s="22" t="s">
        <v>736</v>
      </c>
      <c r="C321" s="22" t="s">
        <v>737</v>
      </c>
    </row>
    <row r="322" ht="18.0" customHeight="1">
      <c r="A322" s="186" t="s">
        <v>738</v>
      </c>
      <c r="B322" s="22" t="s">
        <v>739</v>
      </c>
      <c r="C322" s="22" t="s">
        <v>740</v>
      </c>
    </row>
    <row r="323" ht="18.0" customHeight="1">
      <c r="A323" s="186" t="s">
        <v>741</v>
      </c>
      <c r="B323" s="22" t="s">
        <v>742</v>
      </c>
      <c r="C323" s="22" t="s">
        <v>743</v>
      </c>
    </row>
    <row r="324" ht="18.0" customHeight="1"/>
    <row r="325" ht="18.0" customHeight="1">
      <c r="A325" s="188" t="s">
        <v>744</v>
      </c>
    </row>
    <row r="326" ht="18.0" customHeight="1">
      <c r="A326" s="186" t="s">
        <v>745</v>
      </c>
      <c r="B326" s="22" t="s">
        <v>746</v>
      </c>
      <c r="C326" s="22" t="s">
        <v>747</v>
      </c>
    </row>
    <row r="327" ht="18.0" customHeight="1">
      <c r="A327" s="186" t="s">
        <v>748</v>
      </c>
      <c r="B327" s="22" t="s">
        <v>749</v>
      </c>
      <c r="C327" s="22" t="s">
        <v>750</v>
      </c>
    </row>
    <row r="328" ht="18.0" customHeight="1">
      <c r="A328" s="186" t="s">
        <v>751</v>
      </c>
      <c r="B328" s="22" t="s">
        <v>752</v>
      </c>
      <c r="C328" s="22" t="s">
        <v>753</v>
      </c>
    </row>
    <row r="329" ht="18.0" customHeight="1">
      <c r="A329" s="186" t="s">
        <v>754</v>
      </c>
      <c r="B329" s="22" t="s">
        <v>755</v>
      </c>
      <c r="C329" s="22" t="s">
        <v>756</v>
      </c>
    </row>
    <row r="330" ht="18.0" customHeight="1"/>
    <row r="331" ht="18.0" customHeight="1">
      <c r="A331" s="189" t="s">
        <v>757</v>
      </c>
    </row>
    <row r="332" ht="18.0" customHeight="1">
      <c r="A332" s="190" t="s">
        <v>758</v>
      </c>
      <c r="B332" s="22" t="s">
        <v>759</v>
      </c>
      <c r="C332" s="22" t="s">
        <v>760</v>
      </c>
    </row>
    <row r="333" ht="18.0" customHeight="1">
      <c r="A333" s="186" t="s">
        <v>761</v>
      </c>
      <c r="B333" s="191" t="s">
        <v>762</v>
      </c>
      <c r="C333" s="22" t="s">
        <v>763</v>
      </c>
    </row>
    <row r="334" ht="18.0" customHeight="1">
      <c r="A334" s="186" t="s">
        <v>764</v>
      </c>
      <c r="B334" s="192" t="s">
        <v>765</v>
      </c>
      <c r="C334" s="22" t="s">
        <v>766</v>
      </c>
    </row>
    <row r="335" ht="18.0" customHeight="1">
      <c r="A335" s="186" t="s">
        <v>767</v>
      </c>
      <c r="B335" s="191" t="s">
        <v>768</v>
      </c>
      <c r="C335" s="22" t="s">
        <v>769</v>
      </c>
    </row>
    <row r="336" ht="18.0" customHeight="1">
      <c r="B336" s="192" t="s">
        <v>770</v>
      </c>
    </row>
    <row r="337" ht="18.0" customHeight="1">
      <c r="A337" s="185" t="s">
        <v>771</v>
      </c>
      <c r="B337" s="191" t="s">
        <v>772</v>
      </c>
    </row>
    <row r="338" ht="18.0" customHeight="1">
      <c r="A338" s="186" t="s">
        <v>773</v>
      </c>
      <c r="B338" s="192" t="s">
        <v>774</v>
      </c>
      <c r="C338" s="22" t="s">
        <v>775</v>
      </c>
    </row>
    <row r="339" ht="18.0" customHeight="1">
      <c r="A339" s="186" t="s">
        <v>776</v>
      </c>
      <c r="B339" s="191" t="s">
        <v>777</v>
      </c>
      <c r="C339" s="22" t="s">
        <v>778</v>
      </c>
    </row>
    <row r="340" ht="18.0" customHeight="1">
      <c r="A340" s="186" t="s">
        <v>779</v>
      </c>
      <c r="B340" s="192" t="s">
        <v>780</v>
      </c>
      <c r="C340" s="22" t="s">
        <v>781</v>
      </c>
    </row>
    <row r="341" ht="18.0" customHeight="1">
      <c r="A341" s="193" t="s">
        <v>782</v>
      </c>
      <c r="B341" s="194" t="s">
        <v>783</v>
      </c>
      <c r="C341" s="195" t="s">
        <v>784</v>
      </c>
    </row>
    <row r="342" ht="18.0" customHeight="1">
      <c r="A342" s="196" t="s">
        <v>785</v>
      </c>
      <c r="B342" s="194" t="s">
        <v>786</v>
      </c>
      <c r="C342" s="195" t="s">
        <v>787</v>
      </c>
    </row>
    <row r="343" ht="18.0" customHeight="1">
      <c r="A343" s="196" t="s">
        <v>788</v>
      </c>
      <c r="B343" s="194" t="s">
        <v>789</v>
      </c>
    </row>
    <row r="344" ht="18.0" customHeight="1">
      <c r="A344" s="93" t="s">
        <v>790</v>
      </c>
      <c r="B344" s="197" t="s">
        <v>791</v>
      </c>
      <c r="C344" s="198" t="s">
        <v>792</v>
      </c>
      <c r="D344" s="199" t="s">
        <v>793</v>
      </c>
    </row>
    <row r="345" ht="18.0" customHeight="1"/>
    <row r="346" ht="18.0" customHeight="1"/>
    <row r="347" ht="18.0" customHeight="1"/>
    <row r="348" ht="18.0" customHeight="1">
      <c r="B348" s="105" t="s">
        <v>794</v>
      </c>
    </row>
    <row r="349" ht="18.0" customHeight="1">
      <c r="B349" s="200" t="s">
        <v>795</v>
      </c>
    </row>
    <row r="350" ht="18.0" customHeight="1">
      <c r="B350" s="200" t="s">
        <v>796</v>
      </c>
    </row>
    <row r="351" ht="18.0" customHeight="1">
      <c r="B351" s="200" t="s">
        <v>797</v>
      </c>
    </row>
    <row r="352" ht="18.0" customHeight="1">
      <c r="B352" s="200" t="s">
        <v>798</v>
      </c>
    </row>
    <row r="353" ht="18.0" customHeight="1">
      <c r="B353" s="200" t="s">
        <v>799</v>
      </c>
    </row>
    <row r="354" ht="18.0" customHeight="1">
      <c r="B354" s="200" t="s">
        <v>800</v>
      </c>
    </row>
    <row r="355" ht="18.0" customHeight="1">
      <c r="B355" s="200" t="s">
        <v>801</v>
      </c>
    </row>
    <row r="356" ht="18.0" customHeight="1">
      <c r="B356" s="200" t="s">
        <v>802</v>
      </c>
    </row>
    <row r="357" ht="18.0" customHeight="1">
      <c r="B357" s="201" t="s">
        <v>803</v>
      </c>
    </row>
    <row r="358" ht="18.0" customHeight="1"/>
    <row r="359" ht="18.0" customHeight="1">
      <c r="A359" s="29" t="s">
        <v>804</v>
      </c>
    </row>
    <row r="360" ht="18.0" customHeight="1">
      <c r="B360" s="202" t="s">
        <v>805</v>
      </c>
      <c r="C360" s="203" t="s">
        <v>806</v>
      </c>
    </row>
    <row r="361" ht="18.0" customHeight="1">
      <c r="B361" s="30" t="s">
        <v>353</v>
      </c>
      <c r="C361" s="164"/>
      <c r="D361" s="164" t="s">
        <v>354</v>
      </c>
    </row>
    <row r="362" ht="18.0" customHeight="1">
      <c r="B362" s="71" t="s">
        <v>807</v>
      </c>
      <c r="C362" s="75"/>
      <c r="D362" s="55" t="s">
        <v>808</v>
      </c>
    </row>
    <row r="363" ht="18.0" customHeight="1">
      <c r="B363" s="72" t="s">
        <v>809</v>
      </c>
      <c r="C363" s="76"/>
      <c r="D363" s="73" t="s">
        <v>810</v>
      </c>
    </row>
    <row r="364" ht="18.0" customHeight="1">
      <c r="B364" s="71" t="s">
        <v>811</v>
      </c>
      <c r="C364" s="75"/>
      <c r="D364" s="55" t="s">
        <v>812</v>
      </c>
    </row>
    <row r="365" ht="18.0" customHeight="1">
      <c r="B365" s="72" t="s">
        <v>813</v>
      </c>
      <c r="C365" s="76"/>
      <c r="D365" s="73" t="s">
        <v>814</v>
      </c>
    </row>
    <row r="366" ht="18.0" customHeight="1">
      <c r="B366" s="71" t="s">
        <v>815</v>
      </c>
      <c r="C366" s="75"/>
      <c r="D366" s="55" t="s">
        <v>816</v>
      </c>
    </row>
    <row r="367" ht="18.0" customHeight="1">
      <c r="B367" s="72" t="s">
        <v>817</v>
      </c>
      <c r="C367" s="76"/>
      <c r="D367" s="73" t="s">
        <v>818</v>
      </c>
    </row>
    <row r="368" ht="18.0" customHeight="1">
      <c r="B368" s="82" t="s">
        <v>819</v>
      </c>
      <c r="C368" s="204"/>
      <c r="D368" s="165" t="s">
        <v>820</v>
      </c>
    </row>
    <row r="369" ht="18.0" customHeight="1"/>
    <row r="370" ht="18.0" customHeight="1">
      <c r="B370" s="205" t="s">
        <v>821</v>
      </c>
    </row>
    <row r="371" ht="15.75" customHeight="1"/>
    <row r="372" ht="19.5" customHeight="1">
      <c r="A372" s="206" t="s">
        <v>822</v>
      </c>
    </row>
    <row r="373" ht="13.5" customHeight="1">
      <c r="A373" s="207" t="s">
        <v>823</v>
      </c>
      <c r="B373" s="208" t="s">
        <v>824</v>
      </c>
      <c r="C373" s="209" t="s">
        <v>825</v>
      </c>
    </row>
    <row r="374" ht="13.5" customHeight="1">
      <c r="A374" s="207" t="s">
        <v>826</v>
      </c>
      <c r="B374" s="208" t="s">
        <v>827</v>
      </c>
      <c r="C374" s="209" t="s">
        <v>828</v>
      </c>
    </row>
    <row r="375" ht="13.5" customHeight="1">
      <c r="A375" s="207" t="s">
        <v>829</v>
      </c>
      <c r="B375" s="208" t="s">
        <v>830</v>
      </c>
      <c r="C375" s="209" t="s">
        <v>831</v>
      </c>
    </row>
    <row r="376" ht="13.5" customHeight="1">
      <c r="A376" s="207" t="s">
        <v>832</v>
      </c>
      <c r="B376" s="208" t="s">
        <v>833</v>
      </c>
      <c r="C376" s="209" t="s">
        <v>834</v>
      </c>
    </row>
    <row r="377" ht="13.5" customHeight="1">
      <c r="A377" s="207" t="s">
        <v>835</v>
      </c>
      <c r="B377" s="208" t="s">
        <v>836</v>
      </c>
      <c r="C377" s="209" t="s">
        <v>837</v>
      </c>
    </row>
    <row r="378" ht="13.5" customHeight="1">
      <c r="A378" s="207" t="s">
        <v>838</v>
      </c>
      <c r="B378" s="208" t="s">
        <v>839</v>
      </c>
      <c r="C378" s="209" t="s">
        <v>840</v>
      </c>
    </row>
    <row r="379" ht="13.5" customHeight="1">
      <c r="A379" s="207" t="s">
        <v>841</v>
      </c>
      <c r="B379" s="208" t="s">
        <v>842</v>
      </c>
      <c r="C379" s="209" t="s">
        <v>843</v>
      </c>
    </row>
    <row r="380" ht="13.5" customHeight="1">
      <c r="A380" s="207" t="s">
        <v>844</v>
      </c>
      <c r="B380" s="208" t="s">
        <v>845</v>
      </c>
      <c r="C380" s="209" t="s">
        <v>846</v>
      </c>
    </row>
    <row r="381" ht="15.75" customHeight="1"/>
    <row r="382" ht="19.5" customHeight="1">
      <c r="A382" s="210" t="s">
        <v>847</v>
      </c>
    </row>
    <row r="383" ht="13.5" customHeight="1">
      <c r="A383" s="207" t="s">
        <v>848</v>
      </c>
      <c r="B383" s="208" t="s">
        <v>849</v>
      </c>
      <c r="C383" s="209" t="s">
        <v>850</v>
      </c>
    </row>
    <row r="384" ht="13.5" customHeight="1">
      <c r="A384" s="207" t="s">
        <v>851</v>
      </c>
      <c r="B384" s="208" t="s">
        <v>852</v>
      </c>
      <c r="C384" s="209" t="s">
        <v>853</v>
      </c>
    </row>
    <row r="385" ht="13.5" customHeight="1">
      <c r="A385" s="207" t="s">
        <v>854</v>
      </c>
      <c r="B385" s="208" t="s">
        <v>855</v>
      </c>
      <c r="C385" s="209" t="s">
        <v>856</v>
      </c>
    </row>
    <row r="386" ht="13.5" customHeight="1">
      <c r="A386" s="207" t="s">
        <v>857</v>
      </c>
      <c r="B386" s="208" t="s">
        <v>858</v>
      </c>
      <c r="C386" s="209" t="s">
        <v>859</v>
      </c>
    </row>
    <row r="387" ht="13.5" customHeight="1">
      <c r="A387" s="207" t="s">
        <v>860</v>
      </c>
      <c r="B387" s="208" t="s">
        <v>861</v>
      </c>
      <c r="C387" s="209" t="s">
        <v>862</v>
      </c>
    </row>
    <row r="388" ht="15.75" customHeight="1"/>
    <row r="389" ht="15.75" customHeight="1"/>
    <row r="390" ht="21.75" customHeight="1">
      <c r="A390" s="211" t="s">
        <v>863</v>
      </c>
      <c r="B390" s="2"/>
      <c r="C390" s="2"/>
      <c r="D390" s="2"/>
      <c r="E390" s="2"/>
      <c r="F390" s="2"/>
      <c r="G390" s="2"/>
      <c r="H390" s="2"/>
    </row>
    <row r="391" ht="30.0" customHeight="1">
      <c r="A391" s="212" t="s">
        <v>864</v>
      </c>
      <c r="B391" s="213" t="s">
        <v>865</v>
      </c>
    </row>
    <row r="392" ht="30.0" customHeight="1">
      <c r="A392" s="212" t="s">
        <v>866</v>
      </c>
      <c r="B392" s="213" t="s">
        <v>867</v>
      </c>
    </row>
    <row r="393" ht="30.0" customHeight="1">
      <c r="A393" s="212" t="s">
        <v>868</v>
      </c>
      <c r="B393" s="213" t="s">
        <v>869</v>
      </c>
    </row>
    <row r="394" ht="30.0" customHeight="1">
      <c r="A394" s="212" t="s">
        <v>870</v>
      </c>
      <c r="B394" s="213" t="s">
        <v>871</v>
      </c>
    </row>
    <row r="395" ht="30.0" customHeight="1">
      <c r="A395" s="212" t="s">
        <v>872</v>
      </c>
      <c r="B395" s="213" t="s">
        <v>873</v>
      </c>
    </row>
    <row r="396" ht="30.0" customHeight="1">
      <c r="A396" s="212" t="s">
        <v>874</v>
      </c>
      <c r="B396" s="213" t="s">
        <v>875</v>
      </c>
    </row>
    <row r="397" ht="30.0" customHeight="1">
      <c r="A397" s="212" t="s">
        <v>876</v>
      </c>
      <c r="B397" s="213" t="s">
        <v>877</v>
      </c>
    </row>
    <row r="398" ht="30.0" customHeight="1">
      <c r="A398" s="212" t="s">
        <v>878</v>
      </c>
      <c r="B398" s="213" t="s">
        <v>879</v>
      </c>
    </row>
    <row r="399" ht="15.75" customHeight="1"/>
    <row r="400" ht="15.75" customHeight="1"/>
    <row r="401" ht="24.75" customHeight="1">
      <c r="A401" s="214" t="s">
        <v>880</v>
      </c>
      <c r="B401" s="2"/>
      <c r="C401" s="2"/>
      <c r="D401" s="2"/>
      <c r="E401" s="2"/>
      <c r="F401" s="2"/>
      <c r="G401" s="2"/>
      <c r="H401" s="2"/>
    </row>
    <row r="402" ht="19.5" customHeight="1">
      <c r="A402" s="215" t="s">
        <v>881</v>
      </c>
      <c r="B402" s="2"/>
      <c r="C402" s="2"/>
      <c r="D402" s="2"/>
      <c r="E402" s="2"/>
      <c r="F402" s="2"/>
      <c r="G402" s="2"/>
      <c r="H402" s="2"/>
    </row>
    <row r="403" ht="45.0" customHeight="1">
      <c r="A403" s="216" t="s">
        <v>882</v>
      </c>
      <c r="B403" s="2"/>
      <c r="C403" s="217" t="s">
        <v>883</v>
      </c>
      <c r="D403" s="2"/>
      <c r="E403" s="2"/>
      <c r="F403" s="2"/>
      <c r="G403" s="2"/>
      <c r="H403" s="2"/>
    </row>
    <row r="404" ht="45.0" customHeight="1">
      <c r="A404" s="216" t="s">
        <v>884</v>
      </c>
      <c r="B404" s="2"/>
      <c r="C404" s="217" t="s">
        <v>885</v>
      </c>
      <c r="D404" s="2"/>
      <c r="E404" s="2"/>
      <c r="F404" s="2"/>
      <c r="G404" s="2"/>
      <c r="H404" s="2"/>
    </row>
    <row r="405" ht="45.0" customHeight="1">
      <c r="A405" s="216" t="s">
        <v>886</v>
      </c>
      <c r="B405" s="2"/>
      <c r="C405" s="217" t="s">
        <v>887</v>
      </c>
      <c r="D405" s="2"/>
      <c r="E405" s="2"/>
      <c r="F405" s="2"/>
      <c r="G405" s="2"/>
      <c r="H405" s="2"/>
    </row>
    <row r="406" ht="45.0" customHeight="1">
      <c r="A406" s="216" t="s">
        <v>888</v>
      </c>
      <c r="B406" s="2"/>
      <c r="C406" s="217" t="s">
        <v>889</v>
      </c>
      <c r="D406" s="2"/>
      <c r="E406" s="2"/>
      <c r="F406" s="2"/>
      <c r="G406" s="2"/>
      <c r="H406" s="2"/>
    </row>
    <row r="407" ht="45.0" customHeight="1">
      <c r="A407" s="216" t="s">
        <v>890</v>
      </c>
      <c r="B407" s="2"/>
      <c r="C407" s="217" t="s">
        <v>891</v>
      </c>
      <c r="D407" s="2"/>
      <c r="E407" s="2"/>
      <c r="F407" s="2"/>
      <c r="G407" s="2"/>
      <c r="H407" s="2"/>
    </row>
    <row r="408" ht="45.0" customHeight="1">
      <c r="A408" s="216" t="s">
        <v>892</v>
      </c>
      <c r="B408" s="2"/>
      <c r="C408" s="217" t="s">
        <v>893</v>
      </c>
      <c r="D408" s="2"/>
      <c r="E408" s="2"/>
      <c r="F408" s="2"/>
      <c r="G408" s="2"/>
      <c r="H408" s="2"/>
    </row>
    <row r="409" ht="15.75" customHeight="1"/>
    <row r="410" ht="18.0" customHeight="1">
      <c r="A410" s="218" t="s">
        <v>894</v>
      </c>
      <c r="B410" s="2"/>
      <c r="C410" s="2"/>
      <c r="D410" s="2"/>
      <c r="E410" s="2"/>
      <c r="F410" s="2"/>
      <c r="G410" s="2"/>
      <c r="H410" s="2"/>
    </row>
    <row r="411" ht="15.75" customHeight="1"/>
    <row r="412" ht="15.75" customHeight="1">
      <c r="A412" s="219" t="s">
        <v>895</v>
      </c>
    </row>
    <row r="413" ht="15.75" customHeight="1">
      <c r="A413" s="220" t="s">
        <v>308</v>
      </c>
      <c r="B413" s="220" t="s">
        <v>270</v>
      </c>
      <c r="C413" s="220" t="s">
        <v>896</v>
      </c>
    </row>
    <row r="414" ht="15.75" customHeight="1">
      <c r="A414" s="22" t="s">
        <v>897</v>
      </c>
      <c r="B414" s="22" t="s">
        <v>898</v>
      </c>
      <c r="C414" s="22" t="s">
        <v>899</v>
      </c>
    </row>
    <row r="415" ht="15.75" customHeight="1">
      <c r="A415" s="22" t="s">
        <v>900</v>
      </c>
      <c r="B415" s="22" t="s">
        <v>901</v>
      </c>
      <c r="C415" s="22" t="s">
        <v>902</v>
      </c>
    </row>
    <row r="416" ht="15.75" customHeight="1">
      <c r="A416" s="22" t="s">
        <v>903</v>
      </c>
      <c r="B416" s="22" t="s">
        <v>904</v>
      </c>
      <c r="C416" s="22" t="s">
        <v>905</v>
      </c>
    </row>
    <row r="417" ht="15.75" customHeight="1">
      <c r="A417" s="22" t="s">
        <v>906</v>
      </c>
      <c r="B417" s="22" t="s">
        <v>907</v>
      </c>
      <c r="C417" s="22" t="s">
        <v>908</v>
      </c>
    </row>
    <row r="418" ht="15.75" customHeight="1">
      <c r="A418" s="22" t="s">
        <v>909</v>
      </c>
      <c r="B418" s="22" t="s">
        <v>910</v>
      </c>
      <c r="C418" s="22" t="s">
        <v>911</v>
      </c>
    </row>
    <row r="419" ht="15.75" customHeight="1"/>
    <row r="420" ht="27.75" customHeight="1">
      <c r="A420" s="221" t="s">
        <v>912</v>
      </c>
      <c r="B420" s="2"/>
      <c r="C420" s="2"/>
      <c r="D420" s="2"/>
      <c r="E420" s="2"/>
      <c r="F420" s="2"/>
      <c r="G420" s="2"/>
      <c r="H420" s="2"/>
    </row>
    <row r="421" ht="21.75" customHeight="1">
      <c r="A421" s="222" t="s">
        <v>913</v>
      </c>
    </row>
    <row r="422" ht="15.75" customHeight="1"/>
    <row r="423" ht="21.75" customHeight="1">
      <c r="A423" s="223" t="s">
        <v>914</v>
      </c>
      <c r="B423" s="2"/>
      <c r="C423" s="2"/>
      <c r="D423" s="2"/>
      <c r="E423" s="2"/>
      <c r="F423" s="2"/>
      <c r="G423" s="2"/>
      <c r="H423" s="2"/>
    </row>
    <row r="424" ht="19.5" customHeight="1">
      <c r="A424" s="224" t="s">
        <v>915</v>
      </c>
      <c r="B424" s="225" t="s">
        <v>916</v>
      </c>
    </row>
    <row r="425" ht="19.5" customHeight="1">
      <c r="A425" s="224" t="s">
        <v>917</v>
      </c>
      <c r="B425" s="225" t="s">
        <v>918</v>
      </c>
    </row>
    <row r="426" ht="19.5" customHeight="1">
      <c r="A426" s="224" t="s">
        <v>919</v>
      </c>
      <c r="B426" s="225" t="s">
        <v>920</v>
      </c>
    </row>
    <row r="427" ht="19.5" customHeight="1">
      <c r="A427" s="224" t="s">
        <v>79</v>
      </c>
      <c r="B427" s="225" t="s">
        <v>921</v>
      </c>
    </row>
    <row r="428" ht="19.5" customHeight="1">
      <c r="A428" s="224" t="s">
        <v>922</v>
      </c>
      <c r="B428" s="225" t="s">
        <v>923</v>
      </c>
    </row>
    <row r="429" ht="19.5" customHeight="1">
      <c r="A429" s="224" t="s">
        <v>924</v>
      </c>
      <c r="B429" s="225" t="s">
        <v>925</v>
      </c>
    </row>
    <row r="430" ht="15.75" customHeight="1"/>
    <row r="431" ht="21.75" customHeight="1">
      <c r="A431" s="226" t="s">
        <v>926</v>
      </c>
      <c r="B431" s="2"/>
      <c r="C431" s="2"/>
      <c r="D431" s="2"/>
      <c r="E431" s="2"/>
      <c r="F431" s="2"/>
      <c r="G431" s="2"/>
      <c r="H431" s="2"/>
    </row>
    <row r="432" ht="19.5" customHeight="1">
      <c r="A432" s="227" t="s">
        <v>256</v>
      </c>
      <c r="B432" s="225" t="s">
        <v>927</v>
      </c>
    </row>
    <row r="433" ht="19.5" customHeight="1">
      <c r="A433" s="227" t="s">
        <v>258</v>
      </c>
      <c r="B433" s="225" t="s">
        <v>928</v>
      </c>
    </row>
    <row r="434" ht="19.5" customHeight="1">
      <c r="A434" s="227" t="s">
        <v>260</v>
      </c>
      <c r="B434" s="225" t="s">
        <v>929</v>
      </c>
    </row>
    <row r="435" ht="19.5" customHeight="1">
      <c r="A435" s="227" t="s">
        <v>707</v>
      </c>
      <c r="B435" s="225" t="s">
        <v>930</v>
      </c>
    </row>
    <row r="436" ht="15.75" customHeight="1"/>
    <row r="437" ht="21.75" customHeight="1">
      <c r="A437" s="228" t="s">
        <v>931</v>
      </c>
      <c r="B437" s="2"/>
      <c r="C437" s="2"/>
      <c r="D437" s="2"/>
      <c r="E437" s="2"/>
      <c r="F437" s="2"/>
      <c r="G437" s="2"/>
      <c r="H437" s="2"/>
    </row>
    <row r="438" ht="19.5" customHeight="1">
      <c r="A438" s="229" t="s">
        <v>773</v>
      </c>
      <c r="B438" s="225" t="s">
        <v>932</v>
      </c>
    </row>
    <row r="439" ht="19.5" customHeight="1">
      <c r="A439" s="229" t="s">
        <v>933</v>
      </c>
      <c r="B439" s="225" t="s">
        <v>934</v>
      </c>
    </row>
    <row r="440" ht="19.5" customHeight="1">
      <c r="A440" s="229" t="s">
        <v>935</v>
      </c>
      <c r="B440" s="225" t="s">
        <v>936</v>
      </c>
    </row>
    <row r="441" ht="19.5" customHeight="1">
      <c r="A441" s="229" t="s">
        <v>937</v>
      </c>
      <c r="B441" s="225" t="s">
        <v>938</v>
      </c>
    </row>
    <row r="442" ht="19.5" customHeight="1">
      <c r="A442" s="229" t="s">
        <v>939</v>
      </c>
      <c r="B442" s="225" t="s">
        <v>940</v>
      </c>
    </row>
    <row r="443" ht="15.75" customHeight="1"/>
    <row r="444" ht="21.75" customHeight="1">
      <c r="A444" s="230" t="s">
        <v>941</v>
      </c>
      <c r="B444" s="2"/>
      <c r="C444" s="2"/>
      <c r="D444" s="2"/>
      <c r="E444" s="2"/>
      <c r="F444" s="2"/>
      <c r="G444" s="2"/>
      <c r="H444" s="2"/>
    </row>
    <row r="445" ht="19.5" customHeight="1">
      <c r="A445" s="231" t="s">
        <v>942</v>
      </c>
      <c r="B445" s="225" t="s">
        <v>943</v>
      </c>
    </row>
    <row r="446" ht="19.5" customHeight="1">
      <c r="A446" s="231" t="s">
        <v>944</v>
      </c>
      <c r="B446" s="225" t="s">
        <v>945</v>
      </c>
    </row>
    <row r="447" ht="19.5" customHeight="1">
      <c r="A447" s="231" t="s">
        <v>946</v>
      </c>
      <c r="B447" s="225" t="s">
        <v>947</v>
      </c>
    </row>
    <row r="448" ht="19.5" customHeight="1">
      <c r="A448" s="231" t="s">
        <v>948</v>
      </c>
      <c r="B448" s="225" t="s">
        <v>949</v>
      </c>
    </row>
    <row r="449" ht="19.5" customHeight="1">
      <c r="A449" s="231" t="s">
        <v>950</v>
      </c>
      <c r="B449" s="225" t="s">
        <v>951</v>
      </c>
    </row>
    <row r="450" ht="15.75" customHeight="1"/>
    <row r="451" ht="21.75" customHeight="1">
      <c r="A451" s="232" t="s">
        <v>952</v>
      </c>
      <c r="B451" s="2"/>
      <c r="C451" s="2"/>
      <c r="D451" s="2"/>
      <c r="E451" s="2"/>
      <c r="F451" s="2"/>
      <c r="G451" s="2"/>
      <c r="H451" s="2"/>
    </row>
    <row r="452" ht="19.5" customHeight="1">
      <c r="A452" s="233" t="s">
        <v>953</v>
      </c>
      <c r="B452" s="225" t="s">
        <v>954</v>
      </c>
    </row>
    <row r="453" ht="19.5" customHeight="1">
      <c r="A453" s="233" t="s">
        <v>955</v>
      </c>
      <c r="B453" s="225" t="s">
        <v>956</v>
      </c>
    </row>
    <row r="454" ht="19.5" customHeight="1">
      <c r="A454" s="233" t="s">
        <v>957</v>
      </c>
      <c r="B454" s="225" t="s">
        <v>958</v>
      </c>
    </row>
    <row r="455" ht="19.5" customHeight="1">
      <c r="A455" s="233" t="s">
        <v>959</v>
      </c>
      <c r="B455" s="225" t="s">
        <v>960</v>
      </c>
    </row>
    <row r="456" ht="19.5" customHeight="1">
      <c r="A456" s="233" t="s">
        <v>961</v>
      </c>
      <c r="B456" s="225" t="s">
        <v>962</v>
      </c>
    </row>
    <row r="457" ht="15.75" customHeight="1"/>
    <row r="458" ht="21.75" customHeight="1">
      <c r="A458" s="234" t="s">
        <v>963</v>
      </c>
      <c r="B458" s="2"/>
      <c r="C458" s="2"/>
      <c r="D458" s="2"/>
      <c r="E458" s="2"/>
      <c r="F458" s="2"/>
      <c r="G458" s="2"/>
      <c r="H458" s="2"/>
    </row>
    <row r="459" ht="19.5" customHeight="1">
      <c r="A459" s="235" t="s">
        <v>964</v>
      </c>
      <c r="B459" s="225" t="s">
        <v>965</v>
      </c>
    </row>
    <row r="460" ht="19.5" customHeight="1">
      <c r="A460" s="235" t="s">
        <v>966</v>
      </c>
      <c r="B460" s="225" t="s">
        <v>967</v>
      </c>
    </row>
    <row r="461" ht="19.5" customHeight="1">
      <c r="A461" s="235" t="s">
        <v>968</v>
      </c>
      <c r="B461" s="225" t="s">
        <v>969</v>
      </c>
    </row>
    <row r="462" ht="19.5" customHeight="1">
      <c r="A462" s="235" t="s">
        <v>970</v>
      </c>
      <c r="B462" s="225" t="s">
        <v>971</v>
      </c>
    </row>
    <row r="463" ht="19.5" customHeight="1">
      <c r="A463" s="235" t="s">
        <v>972</v>
      </c>
      <c r="B463" s="225" t="s">
        <v>973</v>
      </c>
    </row>
    <row r="464" ht="19.5" customHeight="1">
      <c r="A464" s="235" t="s">
        <v>974</v>
      </c>
      <c r="B464" s="225" t="s">
        <v>975</v>
      </c>
    </row>
    <row r="465" ht="15.75" customHeight="1"/>
    <row r="466" ht="21.75" customHeight="1">
      <c r="A466" s="236" t="s">
        <v>976</v>
      </c>
      <c r="B466" s="2"/>
      <c r="C466" s="2"/>
      <c r="D466" s="2"/>
      <c r="E466" s="2"/>
      <c r="F466" s="2"/>
      <c r="G466" s="2"/>
      <c r="H466" s="2"/>
    </row>
    <row r="467" ht="19.5" customHeight="1">
      <c r="A467" s="237" t="s">
        <v>977</v>
      </c>
      <c r="B467" s="225" t="s">
        <v>978</v>
      </c>
    </row>
    <row r="468" ht="19.5" customHeight="1">
      <c r="A468" s="237" t="s">
        <v>979</v>
      </c>
      <c r="B468" s="225" t="s">
        <v>980</v>
      </c>
    </row>
    <row r="469" ht="19.5" customHeight="1">
      <c r="A469" s="237" t="s">
        <v>981</v>
      </c>
      <c r="B469" s="225" t="s">
        <v>982</v>
      </c>
    </row>
    <row r="470" ht="19.5" customHeight="1">
      <c r="A470" s="237" t="s">
        <v>983</v>
      </c>
      <c r="B470" s="225" t="s">
        <v>984</v>
      </c>
    </row>
    <row r="471" ht="19.5" customHeight="1">
      <c r="A471" s="237" t="s">
        <v>985</v>
      </c>
      <c r="B471" s="225" t="s">
        <v>986</v>
      </c>
    </row>
    <row r="472" ht="19.5" customHeight="1">
      <c r="A472" s="237" t="s">
        <v>987</v>
      </c>
      <c r="B472" s="225" t="s">
        <v>988</v>
      </c>
    </row>
    <row r="473" ht="19.5" customHeight="1">
      <c r="A473" s="237" t="s">
        <v>989</v>
      </c>
      <c r="B473" s="225" t="s">
        <v>990</v>
      </c>
    </row>
    <row r="474" ht="19.5" customHeight="1">
      <c r="A474" s="237" t="s">
        <v>991</v>
      </c>
      <c r="B474" s="225" t="s">
        <v>992</v>
      </c>
    </row>
    <row r="475" ht="19.5" customHeight="1">
      <c r="A475" s="237" t="s">
        <v>993</v>
      </c>
      <c r="B475" s="225" t="s">
        <v>994</v>
      </c>
    </row>
    <row r="476" ht="19.5" customHeight="1">
      <c r="A476" s="237" t="s">
        <v>995</v>
      </c>
      <c r="B476" s="225" t="s">
        <v>996</v>
      </c>
    </row>
    <row r="477" ht="19.5" customHeight="1">
      <c r="A477" s="237" t="s">
        <v>997</v>
      </c>
      <c r="B477" s="225" t="s">
        <v>998</v>
      </c>
    </row>
    <row r="478" ht="19.5" customHeight="1">
      <c r="A478" s="237" t="s">
        <v>999</v>
      </c>
      <c r="B478" s="225" t="s">
        <v>1000</v>
      </c>
    </row>
    <row r="479" ht="19.5" customHeight="1">
      <c r="A479" s="237" t="s">
        <v>1001</v>
      </c>
      <c r="B479" s="225" t="s">
        <v>1002</v>
      </c>
    </row>
    <row r="480" ht="19.5" customHeight="1">
      <c r="A480" s="237" t="s">
        <v>1003</v>
      </c>
      <c r="B480" s="225" t="s">
        <v>1004</v>
      </c>
    </row>
    <row r="481" ht="19.5" customHeight="1">
      <c r="A481" s="237" t="s">
        <v>1005</v>
      </c>
      <c r="B481" s="225" t="s">
        <v>1006</v>
      </c>
    </row>
    <row r="482" ht="19.5" customHeight="1">
      <c r="A482" s="237" t="s">
        <v>1007</v>
      </c>
      <c r="B482" s="225" t="s">
        <v>1008</v>
      </c>
    </row>
    <row r="483" ht="19.5" customHeight="1">
      <c r="A483" s="237" t="s">
        <v>1009</v>
      </c>
      <c r="B483" s="225" t="s">
        <v>1010</v>
      </c>
    </row>
    <row r="484" ht="19.5" customHeight="1">
      <c r="A484" s="237" t="s">
        <v>1011</v>
      </c>
      <c r="B484" s="225" t="s">
        <v>1012</v>
      </c>
    </row>
    <row r="485" ht="19.5" customHeight="1">
      <c r="A485" s="237" t="s">
        <v>1013</v>
      </c>
      <c r="B485" s="225" t="s">
        <v>1014</v>
      </c>
    </row>
    <row r="486" ht="15.75" customHeight="1"/>
    <row r="487" ht="27.75" customHeight="1">
      <c r="A487" s="221" t="s">
        <v>1015</v>
      </c>
      <c r="B487" s="2"/>
      <c r="C487" s="2"/>
      <c r="D487" s="2"/>
      <c r="E487" s="2"/>
      <c r="F487" s="2"/>
      <c r="G487" s="2"/>
      <c r="H487" s="2"/>
    </row>
    <row r="488" ht="19.5" customHeight="1">
      <c r="A488" s="238" t="s">
        <v>1016</v>
      </c>
      <c r="B488" s="225" t="s">
        <v>1017</v>
      </c>
    </row>
    <row r="489" ht="19.5" customHeight="1">
      <c r="A489" s="238" t="s">
        <v>1018</v>
      </c>
      <c r="B489" s="225" t="s">
        <v>1019</v>
      </c>
    </row>
    <row r="490" ht="19.5" customHeight="1">
      <c r="A490" s="238" t="s">
        <v>1020</v>
      </c>
      <c r="B490" s="225" t="s">
        <v>1021</v>
      </c>
    </row>
    <row r="491" ht="19.5" customHeight="1">
      <c r="A491" s="238" t="s">
        <v>1022</v>
      </c>
      <c r="B491" s="225" t="s">
        <v>1023</v>
      </c>
    </row>
    <row r="492" ht="19.5" customHeight="1">
      <c r="A492" s="238" t="s">
        <v>892</v>
      </c>
      <c r="B492" s="225" t="s">
        <v>1024</v>
      </c>
    </row>
    <row r="493" ht="15.75" customHeight="1"/>
    <row r="494" ht="21.75" customHeight="1">
      <c r="A494" s="239" t="s">
        <v>1025</v>
      </c>
      <c r="B494" s="2"/>
      <c r="C494" s="2"/>
      <c r="D494" s="2"/>
      <c r="E494" s="2"/>
      <c r="F494" s="2"/>
      <c r="G494" s="2"/>
      <c r="H494" s="2"/>
    </row>
    <row r="495" ht="19.5" customHeight="1">
      <c r="A495" s="240" t="s">
        <v>1026</v>
      </c>
      <c r="B495" s="225" t="s">
        <v>1027</v>
      </c>
    </row>
    <row r="496" ht="19.5" customHeight="1">
      <c r="A496" s="240" t="s">
        <v>1028</v>
      </c>
      <c r="B496" s="225" t="s">
        <v>1029</v>
      </c>
    </row>
    <row r="497" ht="19.5" customHeight="1">
      <c r="A497" s="240" t="s">
        <v>1030</v>
      </c>
      <c r="B497" s="225" t="s">
        <v>1031</v>
      </c>
    </row>
    <row r="498" ht="19.5" customHeight="1">
      <c r="A498" s="240" t="s">
        <v>1032</v>
      </c>
      <c r="B498" s="225" t="s">
        <v>1033</v>
      </c>
    </row>
    <row r="499" ht="15.75" customHeight="1"/>
    <row r="500" ht="21.75" customHeight="1">
      <c r="A500" s="241" t="s">
        <v>1034</v>
      </c>
      <c r="B500" s="2"/>
      <c r="C500" s="2"/>
      <c r="D500" s="2"/>
      <c r="E500" s="2"/>
      <c r="F500" s="2"/>
      <c r="G500" s="2"/>
      <c r="H500" s="2"/>
    </row>
    <row r="501" ht="19.5" customHeight="1">
      <c r="A501" s="242" t="s">
        <v>1035</v>
      </c>
      <c r="B501" s="225" t="s">
        <v>1036</v>
      </c>
    </row>
    <row r="502" ht="19.5" customHeight="1">
      <c r="A502" s="242" t="s">
        <v>1037</v>
      </c>
      <c r="B502" s="225" t="s">
        <v>1038</v>
      </c>
    </row>
    <row r="503" ht="19.5" customHeight="1">
      <c r="A503" s="242" t="s">
        <v>1039</v>
      </c>
      <c r="B503" s="225" t="s">
        <v>1040</v>
      </c>
    </row>
    <row r="504" ht="15.75" customHeight="1"/>
    <row r="505" ht="21.75" customHeight="1">
      <c r="A505" s="243" t="s">
        <v>1041</v>
      </c>
      <c r="B505" s="2"/>
      <c r="C505" s="2"/>
      <c r="D505" s="2"/>
      <c r="E505" s="2"/>
      <c r="F505" s="2"/>
      <c r="G505" s="2"/>
      <c r="H505" s="2"/>
    </row>
    <row r="506" ht="19.5" customHeight="1">
      <c r="A506" s="244" t="s">
        <v>1042</v>
      </c>
      <c r="B506" s="225" t="s">
        <v>1043</v>
      </c>
    </row>
    <row r="507" ht="19.5" customHeight="1">
      <c r="A507" s="244" t="s">
        <v>1044</v>
      </c>
      <c r="B507" s="225" t="s">
        <v>1045</v>
      </c>
    </row>
    <row r="508" ht="19.5" customHeight="1">
      <c r="A508" s="244" t="s">
        <v>1046</v>
      </c>
      <c r="B508" s="225" t="s">
        <v>1047</v>
      </c>
    </row>
    <row r="509" ht="19.5" customHeight="1">
      <c r="A509" s="244" t="s">
        <v>1048</v>
      </c>
      <c r="B509" s="225" t="s">
        <v>1049</v>
      </c>
    </row>
    <row r="510" ht="19.5" customHeight="1">
      <c r="A510" s="244" t="s">
        <v>1050</v>
      </c>
      <c r="B510" s="225" t="s">
        <v>1051</v>
      </c>
    </row>
    <row r="511" ht="15.75" customHeight="1"/>
    <row r="512" ht="24.0" customHeight="1">
      <c r="A512" s="245" t="s">
        <v>1052</v>
      </c>
      <c r="B512" s="2"/>
      <c r="C512" s="2"/>
      <c r="D512" s="2"/>
      <c r="E512" s="2"/>
      <c r="F512" s="2"/>
      <c r="G512" s="2"/>
      <c r="H512" s="2"/>
    </row>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1">
    <mergeCell ref="B434:H434"/>
    <mergeCell ref="B435:H435"/>
    <mergeCell ref="A437:H437"/>
    <mergeCell ref="B438:H438"/>
    <mergeCell ref="B439:H439"/>
    <mergeCell ref="B440:H440"/>
    <mergeCell ref="B441:H441"/>
    <mergeCell ref="B442:H442"/>
    <mergeCell ref="A444:H444"/>
    <mergeCell ref="B445:H445"/>
    <mergeCell ref="B446:H446"/>
    <mergeCell ref="B447:H447"/>
    <mergeCell ref="B448:H448"/>
    <mergeCell ref="B449:H449"/>
    <mergeCell ref="A451:H451"/>
    <mergeCell ref="B452:H452"/>
    <mergeCell ref="B453:H453"/>
    <mergeCell ref="B454:H454"/>
    <mergeCell ref="B455:H455"/>
    <mergeCell ref="B456:H456"/>
    <mergeCell ref="A458:H458"/>
    <mergeCell ref="B459:H459"/>
    <mergeCell ref="B460:H460"/>
    <mergeCell ref="B461:H461"/>
    <mergeCell ref="B462:H462"/>
    <mergeCell ref="B463:H463"/>
    <mergeCell ref="B464:H464"/>
    <mergeCell ref="A466:H466"/>
    <mergeCell ref="B474:H474"/>
    <mergeCell ref="B475:H475"/>
    <mergeCell ref="B476:H476"/>
    <mergeCell ref="B477:H477"/>
    <mergeCell ref="B478:H478"/>
    <mergeCell ref="B479:H479"/>
    <mergeCell ref="B480:H480"/>
    <mergeCell ref="B481:H481"/>
    <mergeCell ref="B482:H482"/>
    <mergeCell ref="B483:H483"/>
    <mergeCell ref="B484:H484"/>
    <mergeCell ref="B485:H485"/>
    <mergeCell ref="A487:H487"/>
    <mergeCell ref="B488:H488"/>
    <mergeCell ref="B489:H489"/>
    <mergeCell ref="B490:H490"/>
    <mergeCell ref="B491:H491"/>
    <mergeCell ref="B492:H492"/>
    <mergeCell ref="A494:H494"/>
    <mergeCell ref="B495:H495"/>
    <mergeCell ref="B496:H496"/>
    <mergeCell ref="B506:H506"/>
    <mergeCell ref="B507:H507"/>
    <mergeCell ref="B508:H508"/>
    <mergeCell ref="B509:H509"/>
    <mergeCell ref="B510:H510"/>
    <mergeCell ref="A512:H512"/>
    <mergeCell ref="B497:H497"/>
    <mergeCell ref="B498:H498"/>
    <mergeCell ref="A500:H500"/>
    <mergeCell ref="B501:H501"/>
    <mergeCell ref="B502:H502"/>
    <mergeCell ref="B503:H503"/>
    <mergeCell ref="A505:H505"/>
    <mergeCell ref="B91:E91"/>
    <mergeCell ref="B92:E92"/>
    <mergeCell ref="B93:E93"/>
    <mergeCell ref="B94:E94"/>
    <mergeCell ref="B95:E95"/>
    <mergeCell ref="A97:E97"/>
    <mergeCell ref="C98:E98"/>
    <mergeCell ref="C99:E99"/>
    <mergeCell ref="C100:E100"/>
    <mergeCell ref="C101:E101"/>
    <mergeCell ref="C102:E102"/>
    <mergeCell ref="C103:E103"/>
    <mergeCell ref="C104:E104"/>
    <mergeCell ref="C105:E105"/>
    <mergeCell ref="A390:H390"/>
    <mergeCell ref="A401:H401"/>
    <mergeCell ref="A402:H402"/>
    <mergeCell ref="A403:B403"/>
    <mergeCell ref="C403:H403"/>
    <mergeCell ref="A404:B404"/>
    <mergeCell ref="C404:H404"/>
    <mergeCell ref="A405:B405"/>
    <mergeCell ref="C405:H405"/>
    <mergeCell ref="A406:B406"/>
    <mergeCell ref="C406:H406"/>
    <mergeCell ref="A407:B407"/>
    <mergeCell ref="C407:H407"/>
    <mergeCell ref="A408:B408"/>
    <mergeCell ref="C408:H408"/>
    <mergeCell ref="A410:H410"/>
    <mergeCell ref="A420:H420"/>
    <mergeCell ref="A421:H421"/>
    <mergeCell ref="A423:H423"/>
    <mergeCell ref="B424:H424"/>
    <mergeCell ref="B425:H425"/>
    <mergeCell ref="B426:H426"/>
    <mergeCell ref="B427:H427"/>
    <mergeCell ref="B428:H428"/>
    <mergeCell ref="B429:H429"/>
    <mergeCell ref="A431:H431"/>
    <mergeCell ref="B432:H432"/>
    <mergeCell ref="B433:H433"/>
    <mergeCell ref="B467:H467"/>
    <mergeCell ref="B468:H468"/>
    <mergeCell ref="B469:H469"/>
    <mergeCell ref="B470:H470"/>
    <mergeCell ref="B471:H471"/>
    <mergeCell ref="B472:H472"/>
    <mergeCell ref="B473:H47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72C4"/>
    <pageSetUpPr/>
  </sheetPr>
  <sheetViews>
    <sheetView workbookViewId="0"/>
  </sheetViews>
  <sheetFormatPr customHeight="1" defaultColWidth="14.43" defaultRowHeight="15.0"/>
  <cols>
    <col customWidth="1" min="1" max="1" width="8.71"/>
    <col customWidth="1" min="2" max="2" width="30.0"/>
    <col customWidth="1" min="3" max="3" width="35.0"/>
    <col customWidth="1" min="4" max="4" width="55.0"/>
    <col customWidth="1" min="5" max="5" width="20.0"/>
    <col customWidth="1" min="6" max="13" width="8.71"/>
  </cols>
  <sheetData>
    <row r="1" ht="24.0" customHeight="1">
      <c r="B1" s="115" t="s">
        <v>1053</v>
      </c>
      <c r="C1" s="116"/>
      <c r="D1" s="116"/>
      <c r="E1" s="116"/>
      <c r="F1" s="116"/>
      <c r="G1" s="116"/>
      <c r="H1" s="116"/>
      <c r="I1" s="116"/>
      <c r="J1" s="116"/>
      <c r="K1" s="116"/>
      <c r="L1" s="116"/>
      <c r="M1" s="116"/>
    </row>
    <row r="2" ht="18.0" customHeight="1">
      <c r="B2" s="246" t="s">
        <v>1054</v>
      </c>
    </row>
    <row r="3" ht="15.0" customHeight="1"/>
    <row r="4" ht="15.0" customHeight="1">
      <c r="B4" s="247" t="s">
        <v>1055</v>
      </c>
      <c r="C4" s="248"/>
      <c r="D4" s="248"/>
      <c r="E4" s="248"/>
      <c r="F4" s="248"/>
      <c r="G4" s="248"/>
      <c r="H4" s="248"/>
      <c r="I4" s="248"/>
      <c r="J4" s="248"/>
      <c r="K4" s="248"/>
      <c r="L4" s="248"/>
      <c r="M4" s="248"/>
    </row>
    <row r="5" ht="15.0" customHeight="1">
      <c r="B5" s="249" t="s">
        <v>1056</v>
      </c>
      <c r="C5" s="250" t="str">
        <f>CONFIG!B4</f>
        <v/>
      </c>
      <c r="D5" s="251" t="s">
        <v>1057</v>
      </c>
      <c r="E5" s="252" t="s">
        <v>1058</v>
      </c>
    </row>
    <row r="6" ht="15.0" customHeight="1">
      <c r="B6" s="249" t="s">
        <v>1059</v>
      </c>
      <c r="C6" s="253">
        <v>140000.0</v>
      </c>
      <c r="D6" s="251" t="s">
        <v>1060</v>
      </c>
      <c r="E6" s="252" t="s">
        <v>1061</v>
      </c>
    </row>
    <row r="7" ht="27.75" customHeight="1">
      <c r="B7" s="249" t="s">
        <v>1062</v>
      </c>
      <c r="C7" s="253">
        <v>7950.0</v>
      </c>
      <c r="D7" s="251" t="s">
        <v>1063</v>
      </c>
      <c r="E7" s="252" t="s">
        <v>1064</v>
      </c>
    </row>
    <row r="8" ht="27.75" customHeight="1">
      <c r="B8" s="249" t="s">
        <v>1065</v>
      </c>
      <c r="C8" s="253">
        <v>1182.0</v>
      </c>
      <c r="D8" s="251" t="s">
        <v>1066</v>
      </c>
      <c r="E8" s="252" t="s">
        <v>1064</v>
      </c>
    </row>
    <row r="9" ht="15.0" customHeight="1">
      <c r="B9" s="249" t="s">
        <v>1067</v>
      </c>
      <c r="C9" s="254">
        <f>C7-C8</f>
        <v>6768</v>
      </c>
      <c r="D9" s="251" t="s">
        <v>1068</v>
      </c>
      <c r="E9" s="252" t="s">
        <v>1064</v>
      </c>
    </row>
    <row r="10" ht="15.0" customHeight="1">
      <c r="B10" s="249" t="s">
        <v>1069</v>
      </c>
      <c r="C10" s="253">
        <v>5000.0</v>
      </c>
      <c r="D10" s="251" t="s">
        <v>1070</v>
      </c>
      <c r="E10" s="252" t="s">
        <v>1064</v>
      </c>
    </row>
    <row r="11" ht="15.0" customHeight="1">
      <c r="B11" s="249" t="s">
        <v>1071</v>
      </c>
      <c r="C11" s="254">
        <f>C9-C10</f>
        <v>1768</v>
      </c>
      <c r="D11" s="251" t="s">
        <v>1072</v>
      </c>
      <c r="E11" s="252" t="s">
        <v>1064</v>
      </c>
    </row>
    <row r="12" ht="15.0" customHeight="1">
      <c r="B12" s="249" t="s">
        <v>1073</v>
      </c>
      <c r="C12" s="255">
        <f>CONFIG!B11</f>
        <v>0.5298</v>
      </c>
      <c r="D12" s="251" t="s">
        <v>1074</v>
      </c>
      <c r="E12" s="252" t="s">
        <v>1075</v>
      </c>
    </row>
    <row r="13" ht="27.75" customHeight="1">
      <c r="B13" s="249" t="s">
        <v>1076</v>
      </c>
      <c r="C13" s="250" t="s">
        <v>1077</v>
      </c>
      <c r="D13" s="251" t="s">
        <v>1078</v>
      </c>
      <c r="E13" s="252"/>
    </row>
    <row r="14" ht="15.0" customHeight="1">
      <c r="B14" s="249" t="s">
        <v>1079</v>
      </c>
      <c r="C14" s="250" t="s">
        <v>1080</v>
      </c>
      <c r="D14" s="251" t="s">
        <v>1081</v>
      </c>
      <c r="E14" s="252"/>
    </row>
    <row r="15" ht="15.0" customHeight="1">
      <c r="B15" s="249" t="s">
        <v>1082</v>
      </c>
      <c r="C15" s="250" t="str">
        <f>CONFIG!B30</f>
        <v>AUCUN</v>
      </c>
      <c r="D15" s="251" t="s">
        <v>1074</v>
      </c>
      <c r="E15" s="252"/>
    </row>
    <row r="16" ht="15.0" customHeight="1"/>
    <row r="17" ht="41.25" customHeight="1">
      <c r="B17" s="256" t="s">
        <v>1083</v>
      </c>
      <c r="C17" s="257"/>
      <c r="D17" s="257"/>
      <c r="E17" s="257"/>
      <c r="F17" s="257"/>
      <c r="G17" s="257"/>
      <c r="H17" s="257"/>
      <c r="I17" s="257"/>
      <c r="J17" s="257"/>
      <c r="K17" s="257"/>
      <c r="L17" s="257"/>
      <c r="M17" s="257"/>
    </row>
    <row r="18" ht="30.0" customHeight="1">
      <c r="B18" s="258" t="s">
        <v>1084</v>
      </c>
      <c r="C18" s="259" t="s">
        <v>1085</v>
      </c>
      <c r="D18" s="260" t="s">
        <v>1086</v>
      </c>
      <c r="E18" s="261" t="s">
        <v>1087</v>
      </c>
    </row>
    <row r="19" ht="30.0" customHeight="1">
      <c r="B19" s="258" t="s">
        <v>1088</v>
      </c>
      <c r="C19" s="259" t="s">
        <v>1089</v>
      </c>
      <c r="D19" s="260" t="s">
        <v>1090</v>
      </c>
      <c r="E19" s="261" t="s">
        <v>1091</v>
      </c>
    </row>
    <row r="20" ht="30.0" customHeight="1">
      <c r="B20" s="258" t="s">
        <v>1092</v>
      </c>
      <c r="C20" s="259" t="s">
        <v>1093</v>
      </c>
      <c r="D20" s="260" t="s">
        <v>1094</v>
      </c>
      <c r="E20" s="261" t="s">
        <v>1095</v>
      </c>
    </row>
    <row r="21" ht="30.0" customHeight="1">
      <c r="B21" s="258" t="s">
        <v>1096</v>
      </c>
      <c r="C21" s="259" t="s">
        <v>1097</v>
      </c>
      <c r="D21" s="260" t="s">
        <v>1098</v>
      </c>
      <c r="E21" s="261" t="s">
        <v>1099</v>
      </c>
    </row>
    <row r="22" ht="30.0" customHeight="1">
      <c r="B22" s="258" t="s">
        <v>1100</v>
      </c>
      <c r="C22" s="259" t="s">
        <v>1101</v>
      </c>
      <c r="D22" s="260" t="s">
        <v>1102</v>
      </c>
      <c r="E22" s="261" t="s">
        <v>1103</v>
      </c>
    </row>
    <row r="23" ht="30.0" customHeight="1">
      <c r="B23" s="258" t="s">
        <v>1104</v>
      </c>
      <c r="C23" s="259" t="s">
        <v>1105</v>
      </c>
      <c r="D23" s="260" t="s">
        <v>1106</v>
      </c>
      <c r="E23" s="261" t="s">
        <v>1107</v>
      </c>
    </row>
    <row r="24" ht="30.0" customHeight="1">
      <c r="B24" s="258" t="s">
        <v>1108</v>
      </c>
      <c r="C24" s="259">
        <v>8.0</v>
      </c>
      <c r="D24" s="260" t="s">
        <v>1109</v>
      </c>
      <c r="E24" s="261" t="s">
        <v>1110</v>
      </c>
    </row>
    <row r="25" ht="15.75" customHeight="1"/>
    <row r="26" ht="41.25" customHeight="1">
      <c r="B26" s="262" t="s">
        <v>1111</v>
      </c>
      <c r="C26" s="263"/>
      <c r="D26" s="263"/>
      <c r="E26" s="263"/>
      <c r="F26" s="263"/>
      <c r="G26" s="263"/>
      <c r="H26" s="263"/>
      <c r="I26" s="263"/>
      <c r="J26" s="263"/>
      <c r="K26" s="263"/>
      <c r="L26" s="263"/>
      <c r="M26" s="263"/>
    </row>
    <row r="27" ht="36.0" customHeight="1">
      <c r="B27" s="264" t="s">
        <v>1112</v>
      </c>
      <c r="C27" s="264" t="s">
        <v>1113</v>
      </c>
      <c r="D27" s="264" t="s">
        <v>1114</v>
      </c>
      <c r="E27" s="264" t="s">
        <v>1115</v>
      </c>
    </row>
    <row r="28" ht="36.0" customHeight="1">
      <c r="B28" s="265" t="s">
        <v>1116</v>
      </c>
      <c r="C28" s="266" t="s">
        <v>1117</v>
      </c>
      <c r="D28" s="266" t="s">
        <v>1118</v>
      </c>
      <c r="E28" s="266" t="s">
        <v>1119</v>
      </c>
    </row>
    <row r="29" ht="36.0" customHeight="1">
      <c r="B29" s="265" t="s">
        <v>1120</v>
      </c>
      <c r="C29" s="266" t="s">
        <v>1121</v>
      </c>
      <c r="D29" s="266" t="s">
        <v>1122</v>
      </c>
      <c r="E29" s="266" t="s">
        <v>1123</v>
      </c>
    </row>
    <row r="30" ht="36.0" customHeight="1">
      <c r="B30" s="265" t="s">
        <v>1124</v>
      </c>
      <c r="C30" s="266" t="s">
        <v>1125</v>
      </c>
      <c r="D30" s="266" t="s">
        <v>1126</v>
      </c>
      <c r="E30" s="266" t="s">
        <v>1127</v>
      </c>
    </row>
    <row r="31" ht="36.0" customHeight="1">
      <c r="B31" s="265" t="s">
        <v>1128</v>
      </c>
      <c r="C31" s="266" t="s">
        <v>1129</v>
      </c>
      <c r="D31" s="266" t="s">
        <v>1130</v>
      </c>
      <c r="E31" s="266" t="s">
        <v>1131</v>
      </c>
    </row>
    <row r="32" ht="36.0" customHeight="1">
      <c r="B32" s="265" t="s">
        <v>1132</v>
      </c>
      <c r="C32" s="266" t="s">
        <v>1133</v>
      </c>
      <c r="D32" s="266" t="s">
        <v>1134</v>
      </c>
      <c r="E32" s="266" t="s">
        <v>1135</v>
      </c>
    </row>
    <row r="33" ht="36.0" customHeight="1">
      <c r="B33" s="265" t="s">
        <v>1136</v>
      </c>
      <c r="C33" s="266" t="s">
        <v>1137</v>
      </c>
      <c r="D33" s="266" t="s">
        <v>1138</v>
      </c>
      <c r="E33" s="266" t="s">
        <v>1139</v>
      </c>
    </row>
    <row r="34" ht="15.75" customHeight="1"/>
    <row r="35" ht="41.25" customHeight="1">
      <c r="B35" s="267" t="s">
        <v>1140</v>
      </c>
      <c r="C35" s="268"/>
      <c r="D35" s="268"/>
      <c r="E35" s="268"/>
      <c r="F35" s="268"/>
      <c r="G35" s="268"/>
      <c r="H35" s="268"/>
      <c r="I35" s="268"/>
      <c r="J35" s="268"/>
      <c r="K35" s="268"/>
      <c r="L35" s="268"/>
      <c r="M35" s="268"/>
    </row>
    <row r="36" ht="15.0" customHeight="1">
      <c r="B36" s="249" t="s">
        <v>1141</v>
      </c>
      <c r="C36" s="269">
        <v>0.025</v>
      </c>
      <c r="D36" s="251" t="s">
        <v>1142</v>
      </c>
    </row>
    <row r="37" ht="15.0" customHeight="1">
      <c r="B37" s="249" t="s">
        <v>1143</v>
      </c>
      <c r="C37" s="270">
        <v>21.0</v>
      </c>
      <c r="D37" s="251" t="s">
        <v>1144</v>
      </c>
    </row>
    <row r="38" ht="15.0" customHeight="1">
      <c r="B38" s="249" t="s">
        <v>1145</v>
      </c>
      <c r="C38" s="254">
        <f>CONFIG!B20</f>
        <v>2100000</v>
      </c>
      <c r="D38" s="271" t="s">
        <v>1074</v>
      </c>
    </row>
    <row r="39" ht="27.75" customHeight="1">
      <c r="B39" s="272" t="s">
        <v>1146</v>
      </c>
      <c r="C39" s="273">
        <f>C38*(1+C36)^C37</f>
        <v>3527121.888</v>
      </c>
      <c r="D39" s="272" t="s">
        <v>1147</v>
      </c>
    </row>
    <row r="40" ht="27.75" customHeight="1">
      <c r="B40" s="249" t="s">
        <v>1148</v>
      </c>
      <c r="C40" s="274">
        <f>C39-C38</f>
        <v>1427121.888</v>
      </c>
      <c r="D40" s="271" t="s">
        <v>1149</v>
      </c>
    </row>
    <row r="41" ht="27.75" customHeight="1">
      <c r="B41" s="249" t="s">
        <v>1150</v>
      </c>
      <c r="C41" s="273">
        <f>C38*(1+C36)^C37*0.04/12</f>
        <v>11757.07296</v>
      </c>
      <c r="D41" s="271" t="s">
        <v>1151</v>
      </c>
    </row>
    <row r="42" ht="15.75" customHeight="1"/>
    <row r="43" ht="41.25" customHeight="1">
      <c r="B43" s="275" t="s">
        <v>1152</v>
      </c>
      <c r="C43" s="276"/>
      <c r="D43" s="276"/>
      <c r="E43" s="276"/>
      <c r="F43" s="276"/>
      <c r="G43" s="276"/>
      <c r="H43" s="276"/>
      <c r="I43" s="276"/>
      <c r="J43" s="276"/>
      <c r="K43" s="276"/>
      <c r="L43" s="276"/>
      <c r="M43" s="276"/>
    </row>
    <row r="44" ht="15.0" customHeight="1">
      <c r="B44" s="277" t="s">
        <v>147</v>
      </c>
      <c r="C44" s="278" t="s">
        <v>251</v>
      </c>
      <c r="D44" s="279" t="s">
        <v>588</v>
      </c>
      <c r="E44" s="280" t="s">
        <v>1153</v>
      </c>
    </row>
    <row r="45" ht="15.0" customHeight="1">
      <c r="B45" s="249" t="s">
        <v>19</v>
      </c>
      <c r="C45" s="281">
        <f>'📈 PORTEFEUILLE'!L44</f>
        <v>67855.03</v>
      </c>
      <c r="D45" s="251" t="s">
        <v>1154</v>
      </c>
      <c r="E45" s="280" t="s">
        <v>1155</v>
      </c>
    </row>
    <row r="46" ht="15.0" customHeight="1">
      <c r="B46" s="249" t="s">
        <v>22</v>
      </c>
      <c r="C46" s="281">
        <f>'📈 PORTEFEUILLE'!L59</f>
        <v>14767.01792</v>
      </c>
      <c r="D46" s="251" t="s">
        <v>1156</v>
      </c>
      <c r="E46" s="280" t="s">
        <v>1157</v>
      </c>
    </row>
    <row r="47" ht="15.0" customHeight="1">
      <c r="B47" s="249" t="s">
        <v>25</v>
      </c>
      <c r="C47" s="281">
        <f>'📈 PORTEFEUILLE'!L68</f>
        <v>2764.168264</v>
      </c>
      <c r="D47" s="251" t="s">
        <v>1158</v>
      </c>
      <c r="E47" s="280" t="s">
        <v>1159</v>
      </c>
    </row>
    <row r="48" ht="15.0" customHeight="1">
      <c r="B48" s="249" t="s">
        <v>522</v>
      </c>
      <c r="C48" s="281">
        <f>CONFIG!B25</f>
        <v>0</v>
      </c>
      <c r="D48" s="251" t="s">
        <v>1160</v>
      </c>
      <c r="E48" s="280" t="s">
        <v>1161</v>
      </c>
    </row>
    <row r="49" ht="15.0" customHeight="1">
      <c r="B49" s="249" t="s">
        <v>1162</v>
      </c>
      <c r="C49" s="281">
        <f>CONFIG!B22</f>
        <v>27000</v>
      </c>
      <c r="D49" s="251" t="s">
        <v>1163</v>
      </c>
      <c r="E49" s="280" t="s">
        <v>1164</v>
      </c>
    </row>
    <row r="50" ht="15.0" customHeight="1">
      <c r="B50" s="249" t="s">
        <v>1165</v>
      </c>
      <c r="C50" s="281">
        <f>CONFIG!B23</f>
        <v>10000</v>
      </c>
      <c r="D50" s="251" t="s">
        <v>1163</v>
      </c>
      <c r="E50" s="280" t="s">
        <v>1164</v>
      </c>
    </row>
    <row r="51" ht="15.0" customHeight="1">
      <c r="B51" s="249" t="s">
        <v>1166</v>
      </c>
      <c r="C51" s="281">
        <f>CONFIG!B24</f>
        <v>300</v>
      </c>
      <c r="D51" s="251" t="s">
        <v>1167</v>
      </c>
      <c r="E51" s="280" t="s">
        <v>1161</v>
      </c>
    </row>
    <row r="52" ht="15.0" customHeight="1">
      <c r="B52" s="282" t="s">
        <v>1168</v>
      </c>
      <c r="C52" s="254">
        <f>SUM(B45:B51)</f>
        <v>0</v>
      </c>
      <c r="D52" s="251" t="s">
        <v>1169</v>
      </c>
      <c r="E52" s="283"/>
    </row>
    <row r="53" ht="15.75" customHeight="1"/>
    <row r="54" ht="41.25" customHeight="1">
      <c r="B54" s="284" t="s">
        <v>1170</v>
      </c>
      <c r="C54" s="285"/>
      <c r="D54" s="285"/>
      <c r="E54" s="285"/>
      <c r="F54" s="285"/>
      <c r="G54" s="285"/>
      <c r="H54" s="285"/>
      <c r="I54" s="285"/>
      <c r="J54" s="285"/>
      <c r="K54" s="285"/>
      <c r="L54" s="285"/>
      <c r="M54" s="285"/>
    </row>
    <row r="55" ht="27.75" customHeight="1">
      <c r="B55" s="249" t="s">
        <v>1171</v>
      </c>
      <c r="C55" s="286">
        <f>CONFIG!B31</f>
        <v>0.28</v>
      </c>
      <c r="D55" s="251" t="s">
        <v>1172</v>
      </c>
    </row>
    <row r="56" ht="15.0" customHeight="1">
      <c r="B56" s="249" t="s">
        <v>1173</v>
      </c>
      <c r="C56" s="287" t="str">
        <f>IF(B55&gt;0.45,"🔴 DÉPASSE 45% — RÉDUIRE",IF(B55&gt;0.35,"🟡 SURVEILLER (35%+)","✅ OK — Sous 35%"))</f>
        <v>🔴 DÉPASSE 45% — RÉDUIRE</v>
      </c>
    </row>
    <row r="57" ht="27.75" customHeight="1">
      <c r="B57" s="249" t="s">
        <v>1174</v>
      </c>
      <c r="C57" s="288" t="s">
        <v>1175</v>
      </c>
      <c r="D57" s="289" t="s">
        <v>1176</v>
      </c>
    </row>
    <row r="58" ht="27.75" customHeight="1">
      <c r="B58" s="265" t="s">
        <v>1177</v>
      </c>
      <c r="C58" s="273">
        <f>CONFIG!B44*-0.4</f>
        <v>-1083524.704</v>
      </c>
      <c r="D58" s="272" t="s">
        <v>1178</v>
      </c>
    </row>
    <row r="59" ht="15.75" customHeight="1"/>
    <row r="60" ht="41.25" customHeight="1">
      <c r="B60" s="284" t="s">
        <v>1179</v>
      </c>
      <c r="C60" s="285"/>
      <c r="D60" s="285"/>
      <c r="E60" s="285"/>
      <c r="F60" s="285"/>
      <c r="G60" s="285"/>
      <c r="H60" s="285"/>
      <c r="I60" s="285"/>
      <c r="J60" s="285"/>
      <c r="K60" s="285"/>
      <c r="L60" s="285"/>
      <c r="M60" s="285"/>
    </row>
    <row r="61" ht="15.0" customHeight="1">
      <c r="B61" s="287" t="s">
        <v>1180</v>
      </c>
      <c r="C61" s="290" t="s">
        <v>1181</v>
      </c>
      <c r="D61" s="291" t="s">
        <v>1182</v>
      </c>
    </row>
    <row r="62" ht="15.0" customHeight="1">
      <c r="B62" s="287" t="s">
        <v>1183</v>
      </c>
      <c r="C62" s="290" t="s">
        <v>1184</v>
      </c>
      <c r="D62" s="291" t="s">
        <v>1185</v>
      </c>
    </row>
    <row r="63" ht="15.0" customHeight="1">
      <c r="B63" s="287" t="s">
        <v>1186</v>
      </c>
      <c r="C63" s="290" t="s">
        <v>1187</v>
      </c>
      <c r="D63" s="291" t="s">
        <v>1188</v>
      </c>
    </row>
    <row r="64" ht="15.0" customHeight="1">
      <c r="B64" s="287" t="s">
        <v>1189</v>
      </c>
      <c r="C64" s="290" t="s">
        <v>1187</v>
      </c>
      <c r="D64" s="291" t="s">
        <v>1190</v>
      </c>
    </row>
    <row r="65" ht="15.0" customHeight="1">
      <c r="B65" s="287" t="s">
        <v>1191</v>
      </c>
      <c r="C65" s="290" t="s">
        <v>1192</v>
      </c>
      <c r="D65" s="291" t="s">
        <v>1193</v>
      </c>
    </row>
    <row r="66" ht="27.75" customHeight="1">
      <c r="B66" s="287" t="s">
        <v>1194</v>
      </c>
      <c r="C66" s="290" t="s">
        <v>1195</v>
      </c>
      <c r="D66" s="291" t="s">
        <v>1196</v>
      </c>
    </row>
    <row r="67" ht="15.0" customHeight="1">
      <c r="B67" s="287" t="s">
        <v>1197</v>
      </c>
      <c r="C67" s="290" t="s">
        <v>1198</v>
      </c>
      <c r="D67" s="291" t="s">
        <v>1199</v>
      </c>
    </row>
    <row r="68" ht="27.75" customHeight="1">
      <c r="B68" s="287" t="s">
        <v>355</v>
      </c>
      <c r="C68" s="290" t="s">
        <v>1200</v>
      </c>
      <c r="D68" s="291" t="s">
        <v>1201</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942"/>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0"/>
    <col customWidth="1" min="2" max="2" width="12.0"/>
    <col customWidth="1" min="3" max="3" width="14.0"/>
    <col customWidth="1" min="4" max="6" width="45.0"/>
    <col customWidth="1" min="7" max="8" width="20.0"/>
    <col customWidth="1" min="9" max="12" width="14.0"/>
  </cols>
  <sheetData>
    <row r="1" ht="31.5" customHeight="1">
      <c r="B1" s="292" t="s">
        <v>1202</v>
      </c>
      <c r="C1" s="2"/>
      <c r="D1" s="2"/>
      <c r="E1" s="2"/>
      <c r="F1" s="2"/>
      <c r="G1" s="2"/>
      <c r="H1" s="2"/>
      <c r="I1" s="2"/>
      <c r="J1" s="2"/>
    </row>
    <row r="2" ht="19.5" customHeight="1">
      <c r="B2" s="293" t="s">
        <v>1203</v>
      </c>
      <c r="C2" s="2"/>
      <c r="D2" s="2"/>
      <c r="E2" s="2"/>
      <c r="F2" s="2"/>
      <c r="G2" s="2"/>
      <c r="H2" s="2"/>
      <c r="I2" s="2"/>
      <c r="J2" s="2"/>
    </row>
    <row r="3" ht="15.0" customHeight="1"/>
    <row r="4" ht="15.0" customHeight="1">
      <c r="A4" s="294" t="s">
        <v>1204</v>
      </c>
      <c r="B4" s="2"/>
      <c r="C4" s="2"/>
      <c r="D4" s="2"/>
      <c r="E4" s="2"/>
      <c r="F4" s="2"/>
      <c r="G4" s="2"/>
      <c r="H4" s="2"/>
      <c r="I4" s="2"/>
      <c r="J4" s="2"/>
    </row>
    <row r="5" ht="21.75" customHeight="1">
      <c r="B5" s="295" t="s">
        <v>1205</v>
      </c>
      <c r="C5" s="296" t="s">
        <v>1206</v>
      </c>
      <c r="D5" s="296" t="s">
        <v>250</v>
      </c>
      <c r="E5" s="296" t="s">
        <v>270</v>
      </c>
      <c r="F5" s="296" t="s">
        <v>310</v>
      </c>
      <c r="G5" s="296" t="s">
        <v>1207</v>
      </c>
      <c r="H5" s="296" t="s">
        <v>1208</v>
      </c>
      <c r="I5" s="296" t="s">
        <v>1209</v>
      </c>
      <c r="J5" s="296" t="s">
        <v>1210</v>
      </c>
      <c r="K5" s="296" t="s">
        <v>1211</v>
      </c>
      <c r="L5" s="297" t="s">
        <v>1212</v>
      </c>
    </row>
    <row r="6" ht="19.5" customHeight="1">
      <c r="B6" s="298" t="s">
        <v>1213</v>
      </c>
      <c r="C6" s="299" t="s">
        <v>536</v>
      </c>
      <c r="D6" s="299" t="s">
        <v>19</v>
      </c>
      <c r="E6" s="299" t="s">
        <v>1214</v>
      </c>
      <c r="F6" s="300" t="s">
        <v>1215</v>
      </c>
      <c r="G6" s="301" t="s">
        <v>1216</v>
      </c>
      <c r="H6" s="299" t="s">
        <v>1217</v>
      </c>
      <c r="I6" s="299" t="s">
        <v>1218</v>
      </c>
      <c r="J6" s="302"/>
      <c r="K6" s="303"/>
      <c r="L6" s="304"/>
    </row>
    <row r="7" ht="19.5" customHeight="1">
      <c r="B7" s="305" t="s">
        <v>1213</v>
      </c>
      <c r="C7" s="306" t="s">
        <v>1219</v>
      </c>
      <c r="D7" s="306" t="s">
        <v>19</v>
      </c>
      <c r="E7" s="306" t="s">
        <v>1214</v>
      </c>
      <c r="F7" s="307" t="s">
        <v>1220</v>
      </c>
      <c r="G7" s="308" t="s">
        <v>1221</v>
      </c>
      <c r="H7" s="306" t="s">
        <v>1222</v>
      </c>
      <c r="I7" s="306" t="s">
        <v>1218</v>
      </c>
      <c r="J7" s="309"/>
      <c r="K7" s="310"/>
      <c r="L7" s="311"/>
    </row>
    <row r="8" ht="19.5" customHeight="1">
      <c r="B8" s="298" t="s">
        <v>1213</v>
      </c>
      <c r="C8" s="299" t="s">
        <v>1223</v>
      </c>
      <c r="D8" s="299" t="s">
        <v>19</v>
      </c>
      <c r="E8" s="299" t="s">
        <v>1214</v>
      </c>
      <c r="F8" s="300" t="s">
        <v>1224</v>
      </c>
      <c r="G8" s="301" t="s">
        <v>1225</v>
      </c>
      <c r="H8" s="299" t="s">
        <v>1226</v>
      </c>
      <c r="I8" s="299" t="s">
        <v>1218</v>
      </c>
      <c r="J8" s="302"/>
      <c r="K8" s="303"/>
      <c r="L8" s="304"/>
    </row>
    <row r="9" ht="19.5" customHeight="1">
      <c r="B9" s="305" t="s">
        <v>1213</v>
      </c>
      <c r="C9" s="306" t="s">
        <v>536</v>
      </c>
      <c r="D9" s="306" t="s">
        <v>19</v>
      </c>
      <c r="E9" s="306" t="s">
        <v>1214</v>
      </c>
      <c r="F9" s="307" t="s">
        <v>1227</v>
      </c>
      <c r="G9" s="308" t="s">
        <v>1228</v>
      </c>
      <c r="H9" s="306" t="s">
        <v>1229</v>
      </c>
      <c r="I9" s="306" t="s">
        <v>1218</v>
      </c>
      <c r="J9" s="309"/>
      <c r="K9" s="310"/>
      <c r="L9" s="311"/>
    </row>
    <row r="10" ht="19.5" customHeight="1">
      <c r="B10" s="298" t="s">
        <v>1213</v>
      </c>
      <c r="C10" s="299" t="s">
        <v>1219</v>
      </c>
      <c r="D10" s="299" t="s">
        <v>19</v>
      </c>
      <c r="E10" s="299" t="s">
        <v>1214</v>
      </c>
      <c r="F10" s="300" t="s">
        <v>1230</v>
      </c>
      <c r="G10" s="301" t="s">
        <v>1231</v>
      </c>
      <c r="H10" s="299" t="s">
        <v>1232</v>
      </c>
      <c r="I10" s="299" t="s">
        <v>1218</v>
      </c>
      <c r="J10" s="302"/>
      <c r="K10" s="303"/>
      <c r="L10" s="304"/>
    </row>
    <row r="11" ht="19.5" customHeight="1">
      <c r="B11" s="312" t="s">
        <v>1213</v>
      </c>
      <c r="C11" s="313" t="s">
        <v>1233</v>
      </c>
      <c r="D11" s="313" t="s">
        <v>19</v>
      </c>
      <c r="E11" s="313" t="s">
        <v>1234</v>
      </c>
      <c r="F11" s="314" t="s">
        <v>1235</v>
      </c>
      <c r="G11" s="315" t="s">
        <v>1236</v>
      </c>
      <c r="H11" s="313" t="s">
        <v>1237</v>
      </c>
      <c r="I11" s="313" t="s">
        <v>1238</v>
      </c>
      <c r="J11" s="316" t="s">
        <v>1239</v>
      </c>
      <c r="K11" s="310"/>
      <c r="L11" s="311"/>
    </row>
    <row r="12" ht="19.5" customHeight="1">
      <c r="B12" s="317" t="s">
        <v>1213</v>
      </c>
      <c r="C12" s="318" t="s">
        <v>1240</v>
      </c>
      <c r="D12" s="318" t="s">
        <v>19</v>
      </c>
      <c r="E12" s="318" t="s">
        <v>1234</v>
      </c>
      <c r="F12" s="319" t="s">
        <v>1241</v>
      </c>
      <c r="G12" s="320" t="s">
        <v>1242</v>
      </c>
      <c r="H12" s="318" t="s">
        <v>1243</v>
      </c>
      <c r="I12" s="318" t="s">
        <v>1244</v>
      </c>
      <c r="J12" s="321" t="s">
        <v>1245</v>
      </c>
      <c r="K12" s="303"/>
      <c r="L12" s="304"/>
    </row>
    <row r="13" ht="19.5" customHeight="1">
      <c r="B13" s="305" t="s">
        <v>1246</v>
      </c>
      <c r="C13" s="306" t="s">
        <v>1247</v>
      </c>
      <c r="D13" s="306" t="s">
        <v>22</v>
      </c>
      <c r="E13" s="306" t="s">
        <v>1214</v>
      </c>
      <c r="F13" s="307" t="s">
        <v>1248</v>
      </c>
      <c r="G13" s="308" t="s">
        <v>1249</v>
      </c>
      <c r="H13" s="306" t="s">
        <v>1250</v>
      </c>
      <c r="I13" s="306" t="s">
        <v>1251</v>
      </c>
      <c r="J13" s="309"/>
      <c r="K13" s="310"/>
      <c r="L13" s="311"/>
    </row>
    <row r="14" ht="19.5" customHeight="1">
      <c r="B14" s="298" t="s">
        <v>1252</v>
      </c>
      <c r="C14" s="299" t="s">
        <v>536</v>
      </c>
      <c r="D14" s="299" t="s">
        <v>19</v>
      </c>
      <c r="E14" s="299" t="s">
        <v>1214</v>
      </c>
      <c r="F14" s="300" t="s">
        <v>1253</v>
      </c>
      <c r="G14" s="301" t="s">
        <v>1254</v>
      </c>
      <c r="H14" s="299" t="s">
        <v>1255</v>
      </c>
      <c r="I14" s="299" t="s">
        <v>1256</v>
      </c>
      <c r="J14" s="302"/>
      <c r="K14" s="303"/>
      <c r="L14" s="304"/>
    </row>
    <row r="15" ht="19.5" customHeight="1">
      <c r="B15" s="322"/>
      <c r="C15" s="310"/>
      <c r="D15" s="310"/>
      <c r="E15" s="310"/>
      <c r="F15" s="323"/>
      <c r="G15" s="324"/>
      <c r="H15" s="310"/>
      <c r="I15" s="310"/>
      <c r="J15" s="325"/>
      <c r="K15" s="310"/>
      <c r="L15" s="311"/>
    </row>
    <row r="16" ht="19.5" customHeight="1">
      <c r="A16" s="326" t="s">
        <v>1257</v>
      </c>
      <c r="B16" s="327"/>
      <c r="C16" s="327"/>
      <c r="D16" s="327"/>
      <c r="E16" s="327"/>
      <c r="F16" s="327"/>
      <c r="G16" s="327"/>
      <c r="H16" s="327"/>
      <c r="I16" s="327"/>
      <c r="J16" s="328"/>
      <c r="K16" s="303"/>
      <c r="L16" s="304"/>
    </row>
    <row r="17" ht="19.5" customHeight="1">
      <c r="B17" s="329"/>
      <c r="C17" s="330"/>
      <c r="D17" s="331"/>
      <c r="E17" s="331"/>
      <c r="F17" s="332"/>
      <c r="G17" s="333"/>
      <c r="H17" s="331"/>
      <c r="I17" s="331"/>
      <c r="J17" s="334"/>
      <c r="K17" s="331"/>
      <c r="L17" s="335"/>
    </row>
    <row r="18" ht="19.5" customHeight="1">
      <c r="B18" s="336" t="s">
        <v>1213</v>
      </c>
      <c r="C18" s="337" t="s">
        <v>1258</v>
      </c>
      <c r="D18" s="338" t="s">
        <v>19</v>
      </c>
      <c r="E18" s="338" t="s">
        <v>1214</v>
      </c>
      <c r="F18" s="339" t="s">
        <v>1259</v>
      </c>
      <c r="G18" s="340" t="s">
        <v>1260</v>
      </c>
      <c r="H18" s="338" t="s">
        <v>1261</v>
      </c>
      <c r="I18" s="338" t="s">
        <v>1262</v>
      </c>
      <c r="J18" s="341" t="s">
        <v>1263</v>
      </c>
      <c r="K18" s="338" t="s">
        <v>1264</v>
      </c>
      <c r="L18" s="342" t="s">
        <v>1265</v>
      </c>
    </row>
    <row r="19" ht="19.5" customHeight="1">
      <c r="B19" s="329" t="s">
        <v>1252</v>
      </c>
      <c r="C19" s="330" t="s">
        <v>1266</v>
      </c>
      <c r="D19" s="331" t="s">
        <v>19</v>
      </c>
      <c r="E19" s="331" t="s">
        <v>1267</v>
      </c>
      <c r="F19" s="332" t="s">
        <v>1268</v>
      </c>
      <c r="G19" s="333" t="s">
        <v>1269</v>
      </c>
      <c r="H19" s="331" t="s">
        <v>1270</v>
      </c>
      <c r="I19" s="331" t="s">
        <v>1262</v>
      </c>
      <c r="J19" s="334" t="s">
        <v>1263</v>
      </c>
      <c r="K19" s="331" t="s">
        <v>1271</v>
      </c>
      <c r="L19" s="335" t="s">
        <v>1265</v>
      </c>
    </row>
    <row r="20" ht="19.5" customHeight="1">
      <c r="B20" s="336" t="s">
        <v>1252</v>
      </c>
      <c r="C20" s="337" t="s">
        <v>1272</v>
      </c>
      <c r="D20" s="338" t="s">
        <v>25</v>
      </c>
      <c r="E20" s="338" t="s">
        <v>1214</v>
      </c>
      <c r="F20" s="339" t="s">
        <v>1273</v>
      </c>
      <c r="G20" s="340" t="s">
        <v>1274</v>
      </c>
      <c r="H20" s="338" t="s">
        <v>1275</v>
      </c>
      <c r="I20" s="338" t="s">
        <v>1262</v>
      </c>
      <c r="J20" s="341" t="s">
        <v>1263</v>
      </c>
      <c r="K20" s="338" t="s">
        <v>1276</v>
      </c>
      <c r="L20" s="342" t="s">
        <v>1265</v>
      </c>
    </row>
    <row r="21" ht="19.5" customHeight="1">
      <c r="B21" s="343" t="s">
        <v>1252</v>
      </c>
      <c r="C21" s="344"/>
      <c r="D21" s="344"/>
      <c r="E21" s="344"/>
      <c r="F21" s="344"/>
      <c r="G21" s="344"/>
      <c r="H21" s="344"/>
      <c r="I21" s="344"/>
      <c r="J21" s="344"/>
      <c r="K21" s="344"/>
      <c r="L21" s="345"/>
    </row>
    <row r="22" ht="19.5" customHeight="1">
      <c r="B22" s="336" t="s">
        <v>1277</v>
      </c>
      <c r="C22" s="337" t="s">
        <v>1278</v>
      </c>
      <c r="D22" s="338" t="s">
        <v>19</v>
      </c>
      <c r="E22" s="338" t="s">
        <v>1214</v>
      </c>
      <c r="F22" s="339" t="s">
        <v>1279</v>
      </c>
      <c r="G22" s="340" t="s">
        <v>1280</v>
      </c>
      <c r="H22" s="338" t="s">
        <v>1281</v>
      </c>
      <c r="I22" s="338" t="s">
        <v>1262</v>
      </c>
      <c r="J22" s="341" t="s">
        <v>1263</v>
      </c>
      <c r="K22" s="338" t="s">
        <v>1282</v>
      </c>
      <c r="L22" s="342" t="s">
        <v>1265</v>
      </c>
    </row>
    <row r="23" ht="19.5" customHeight="1">
      <c r="B23" s="329" t="s">
        <v>1283</v>
      </c>
      <c r="C23" s="330" t="s">
        <v>1284</v>
      </c>
      <c r="D23" s="331" t="s">
        <v>19</v>
      </c>
      <c r="E23" s="331" t="s">
        <v>1214</v>
      </c>
      <c r="F23" s="332" t="s">
        <v>1285</v>
      </c>
      <c r="G23" s="333" t="s">
        <v>1286</v>
      </c>
      <c r="H23" s="331" t="s">
        <v>1287</v>
      </c>
      <c r="I23" s="331" t="s">
        <v>1262</v>
      </c>
      <c r="J23" s="334" t="s">
        <v>1263</v>
      </c>
      <c r="K23" s="331" t="s">
        <v>1282</v>
      </c>
      <c r="L23" s="335" t="s">
        <v>1265</v>
      </c>
    </row>
    <row r="24" ht="19.5" customHeight="1">
      <c r="B24" s="336" t="s">
        <v>1288</v>
      </c>
      <c r="C24" s="337" t="s">
        <v>1289</v>
      </c>
      <c r="D24" s="338" t="s">
        <v>19</v>
      </c>
      <c r="E24" s="338" t="s">
        <v>1214</v>
      </c>
      <c r="F24" s="339" t="s">
        <v>1290</v>
      </c>
      <c r="G24" s="340" t="s">
        <v>1291</v>
      </c>
      <c r="H24" s="338" t="s">
        <v>1292</v>
      </c>
      <c r="I24" s="338" t="s">
        <v>1262</v>
      </c>
      <c r="J24" s="341" t="s">
        <v>1263</v>
      </c>
      <c r="K24" s="338" t="s">
        <v>1282</v>
      </c>
      <c r="L24" s="342" t="s">
        <v>1265</v>
      </c>
    </row>
    <row r="25" ht="19.5" customHeight="1">
      <c r="B25" s="346" t="s">
        <v>1293</v>
      </c>
      <c r="C25" s="347" t="s">
        <v>1206</v>
      </c>
      <c r="D25" s="347" t="s">
        <v>1294</v>
      </c>
      <c r="E25" s="347" t="s">
        <v>1295</v>
      </c>
      <c r="F25" s="348" t="s">
        <v>1296</v>
      </c>
      <c r="G25" s="349" t="s">
        <v>1296</v>
      </c>
      <c r="H25" s="347" t="s">
        <v>1297</v>
      </c>
      <c r="I25" s="347" t="s">
        <v>1298</v>
      </c>
      <c r="J25" s="350" t="s">
        <v>1299</v>
      </c>
      <c r="K25" s="347" t="s">
        <v>1300</v>
      </c>
      <c r="L25" s="351" t="s">
        <v>1301</v>
      </c>
    </row>
    <row r="26" ht="19.5" customHeight="1">
      <c r="B26" s="352"/>
      <c r="C26" s="303"/>
      <c r="D26" s="303"/>
      <c r="E26" s="303"/>
      <c r="F26" s="353"/>
      <c r="G26" s="354"/>
      <c r="H26" s="303"/>
      <c r="I26" s="303"/>
      <c r="J26" s="355"/>
      <c r="K26" s="303"/>
      <c r="L26" s="304"/>
    </row>
    <row r="27" ht="19.5" customHeight="1">
      <c r="B27" s="322"/>
      <c r="C27" s="310"/>
      <c r="D27" s="310"/>
      <c r="E27" s="310"/>
      <c r="F27" s="323"/>
      <c r="G27" s="324"/>
      <c r="H27" s="310"/>
      <c r="I27" s="310"/>
      <c r="J27" s="325"/>
      <c r="K27" s="310"/>
      <c r="L27" s="311"/>
    </row>
    <row r="28" ht="19.5" customHeight="1">
      <c r="A28" s="356"/>
      <c r="B28" s="357"/>
      <c r="C28" s="357"/>
      <c r="D28" s="357"/>
      <c r="E28" s="357"/>
      <c r="F28" s="357"/>
      <c r="G28" s="357"/>
      <c r="H28" s="357"/>
      <c r="I28" s="357"/>
      <c r="J28" s="358"/>
      <c r="K28" s="303"/>
      <c r="L28" s="304"/>
    </row>
    <row r="29" ht="19.5" customHeight="1">
      <c r="B29" s="346" t="s">
        <v>1302</v>
      </c>
      <c r="C29" s="359"/>
      <c r="D29" s="345"/>
      <c r="E29" s="359"/>
      <c r="F29" s="344"/>
      <c r="G29" s="344"/>
      <c r="H29" s="344"/>
      <c r="I29" s="344"/>
      <c r="J29" s="345"/>
      <c r="K29" s="310"/>
      <c r="L29" s="311"/>
    </row>
    <row r="30" ht="19.5" customHeight="1">
      <c r="B30" s="352"/>
      <c r="C30" s="360"/>
      <c r="D30" s="345"/>
      <c r="E30" s="360"/>
      <c r="F30" s="344"/>
      <c r="G30" s="344"/>
      <c r="H30" s="344"/>
      <c r="I30" s="344"/>
      <c r="J30" s="345"/>
      <c r="K30" s="303"/>
      <c r="L30" s="304"/>
    </row>
    <row r="31" ht="19.5" customHeight="1">
      <c r="B31" s="322"/>
      <c r="C31" s="359"/>
      <c r="D31" s="345"/>
      <c r="E31" s="359"/>
      <c r="F31" s="344"/>
      <c r="G31" s="344"/>
      <c r="H31" s="344"/>
      <c r="I31" s="344"/>
      <c r="J31" s="345"/>
      <c r="K31" s="310"/>
      <c r="L31" s="311"/>
    </row>
    <row r="32" ht="19.5" customHeight="1">
      <c r="B32" s="352"/>
      <c r="C32" s="360"/>
      <c r="D32" s="345"/>
      <c r="E32" s="360"/>
      <c r="F32" s="344"/>
      <c r="G32" s="344"/>
      <c r="H32" s="344"/>
      <c r="I32" s="344"/>
      <c r="J32" s="345"/>
      <c r="K32" s="303"/>
      <c r="L32" s="304"/>
    </row>
    <row r="33" ht="19.5" customHeight="1">
      <c r="B33" s="322"/>
      <c r="C33" s="359"/>
      <c r="D33" s="345"/>
      <c r="E33" s="359"/>
      <c r="F33" s="344"/>
      <c r="G33" s="344"/>
      <c r="H33" s="344"/>
      <c r="I33" s="344"/>
      <c r="J33" s="345"/>
      <c r="K33" s="310"/>
      <c r="L33" s="311"/>
    </row>
    <row r="34" ht="19.5" customHeight="1">
      <c r="B34" s="352"/>
      <c r="C34" s="360"/>
      <c r="D34" s="345"/>
      <c r="E34" s="360"/>
      <c r="F34" s="344"/>
      <c r="G34" s="344"/>
      <c r="H34" s="344"/>
      <c r="I34" s="344"/>
      <c r="J34" s="345"/>
      <c r="K34" s="303"/>
      <c r="L34" s="304"/>
    </row>
    <row r="35" ht="19.5" customHeight="1">
      <c r="B35" s="322"/>
      <c r="C35" s="310"/>
      <c r="D35" s="310"/>
      <c r="E35" s="310"/>
      <c r="F35" s="323"/>
      <c r="G35" s="324"/>
      <c r="H35" s="310"/>
      <c r="I35" s="310"/>
      <c r="J35" s="325"/>
      <c r="K35" s="310"/>
      <c r="L35" s="311"/>
    </row>
    <row r="36" ht="19.5" customHeight="1">
      <c r="A36" s="29" t="s">
        <v>1303</v>
      </c>
      <c r="B36" s="352"/>
      <c r="C36" s="303"/>
      <c r="D36" s="303"/>
      <c r="E36" s="303"/>
      <c r="F36" s="353"/>
      <c r="G36" s="354"/>
      <c r="H36" s="303"/>
      <c r="I36" s="303"/>
      <c r="J36" s="355"/>
      <c r="K36" s="303"/>
      <c r="L36" s="304"/>
    </row>
    <row r="37" ht="19.5" customHeight="1">
      <c r="B37" s="361" t="s">
        <v>1304</v>
      </c>
      <c r="C37" s="362" t="s">
        <v>1305</v>
      </c>
      <c r="D37" s="310"/>
      <c r="E37" s="362" t="s">
        <v>354</v>
      </c>
      <c r="F37" s="323"/>
      <c r="G37" s="324"/>
      <c r="H37" s="310"/>
      <c r="I37" s="310"/>
      <c r="J37" s="325"/>
      <c r="K37" s="310"/>
      <c r="L37" s="311"/>
    </row>
    <row r="38" ht="19.5" customHeight="1">
      <c r="B38" s="363" t="s">
        <v>1306</v>
      </c>
      <c r="C38" s="364" t="s">
        <v>1307</v>
      </c>
      <c r="D38" s="303"/>
      <c r="E38" s="365" t="s">
        <v>1308</v>
      </c>
      <c r="F38" s="353"/>
      <c r="G38" s="354"/>
      <c r="H38" s="303"/>
      <c r="I38" s="303"/>
      <c r="J38" s="355"/>
      <c r="K38" s="303"/>
      <c r="L38" s="304"/>
    </row>
    <row r="39" ht="19.5" customHeight="1">
      <c r="B39" s="366" t="s">
        <v>1309</v>
      </c>
      <c r="C39" s="367" t="s">
        <v>1310</v>
      </c>
      <c r="D39" s="310"/>
      <c r="E39" s="368" t="s">
        <v>1311</v>
      </c>
      <c r="F39" s="323"/>
      <c r="G39" s="324"/>
      <c r="H39" s="310"/>
      <c r="I39" s="310"/>
      <c r="J39" s="325"/>
      <c r="K39" s="310"/>
      <c r="L39" s="311"/>
    </row>
    <row r="40" ht="19.5" customHeight="1">
      <c r="B40" s="363" t="s">
        <v>1312</v>
      </c>
      <c r="C40" s="364" t="s">
        <v>1313</v>
      </c>
      <c r="D40" s="303"/>
      <c r="E40" s="365" t="s">
        <v>1314</v>
      </c>
      <c r="F40" s="353"/>
      <c r="G40" s="354"/>
      <c r="H40" s="303"/>
      <c r="I40" s="303"/>
      <c r="J40" s="355"/>
      <c r="K40" s="303"/>
      <c r="L40" s="304"/>
    </row>
    <row r="41" ht="19.5" customHeight="1">
      <c r="B41" s="366" t="s">
        <v>1315</v>
      </c>
      <c r="C41" s="367" t="s">
        <v>1316</v>
      </c>
      <c r="D41" s="310"/>
      <c r="E41" s="368" t="s">
        <v>1317</v>
      </c>
      <c r="F41" s="323"/>
      <c r="G41" s="324"/>
      <c r="H41" s="310"/>
      <c r="I41" s="310"/>
      <c r="J41" s="325"/>
      <c r="K41" s="310"/>
      <c r="L41" s="311"/>
    </row>
    <row r="42" ht="19.5" customHeight="1">
      <c r="B42" s="363" t="s">
        <v>1318</v>
      </c>
      <c r="C42" s="364" t="s">
        <v>1319</v>
      </c>
      <c r="D42" s="303"/>
      <c r="E42" s="365" t="s">
        <v>1320</v>
      </c>
      <c r="F42" s="353"/>
      <c r="G42" s="354"/>
      <c r="H42" s="303"/>
      <c r="I42" s="303"/>
      <c r="J42" s="355"/>
      <c r="K42" s="303"/>
      <c r="L42" s="304"/>
    </row>
    <row r="43" ht="19.5" customHeight="1">
      <c r="B43" s="322"/>
      <c r="C43" s="310"/>
      <c r="D43" s="310"/>
      <c r="E43" s="310"/>
      <c r="F43" s="323"/>
      <c r="G43" s="324"/>
      <c r="H43" s="310"/>
      <c r="I43" s="310"/>
      <c r="J43" s="325"/>
      <c r="K43" s="310"/>
      <c r="L43" s="311"/>
    </row>
    <row r="44" ht="19.5" customHeight="1">
      <c r="B44" s="352"/>
      <c r="C44" s="303"/>
      <c r="D44" s="303"/>
      <c r="E44" s="303"/>
      <c r="F44" s="353"/>
      <c r="G44" s="354"/>
      <c r="H44" s="303"/>
      <c r="I44" s="303"/>
      <c r="J44" s="355"/>
      <c r="K44" s="303"/>
      <c r="L44" s="304"/>
    </row>
    <row r="45" ht="19.5" customHeight="1">
      <c r="B45" s="369" t="s">
        <v>1321</v>
      </c>
      <c r="C45" s="344"/>
      <c r="D45" s="344"/>
      <c r="E45" s="344"/>
      <c r="F45" s="344"/>
      <c r="G45" s="344"/>
      <c r="H45" s="344"/>
      <c r="I45" s="344"/>
      <c r="J45" s="344"/>
      <c r="K45" s="344"/>
      <c r="L45" s="345"/>
    </row>
    <row r="46" ht="19.5" customHeight="1">
      <c r="B46" s="370" t="s">
        <v>1322</v>
      </c>
      <c r="C46" s="344"/>
      <c r="D46" s="344"/>
      <c r="E46" s="344"/>
      <c r="F46" s="344"/>
      <c r="G46" s="344"/>
      <c r="H46" s="344"/>
      <c r="I46" s="344"/>
      <c r="J46" s="344"/>
      <c r="K46" s="344"/>
      <c r="L46" s="345"/>
    </row>
    <row r="47" ht="19.5" customHeight="1">
      <c r="B47" s="371" t="s">
        <v>1206</v>
      </c>
      <c r="C47" s="372" t="s">
        <v>250</v>
      </c>
      <c r="D47" s="372" t="s">
        <v>1323</v>
      </c>
      <c r="E47" s="372" t="s">
        <v>1324</v>
      </c>
      <c r="F47" s="373" t="s">
        <v>1325</v>
      </c>
      <c r="G47" s="374" t="s">
        <v>1326</v>
      </c>
      <c r="H47" s="372" t="s">
        <v>1327</v>
      </c>
      <c r="I47" s="372" t="s">
        <v>1328</v>
      </c>
      <c r="J47" s="375" t="s">
        <v>1211</v>
      </c>
      <c r="K47" s="372" t="s">
        <v>1329</v>
      </c>
      <c r="L47" s="311"/>
    </row>
    <row r="48" ht="19.5" customHeight="1">
      <c r="B48" s="376" t="s">
        <v>1240</v>
      </c>
      <c r="C48" s="377" t="s">
        <v>19</v>
      </c>
      <c r="D48" s="377" t="s">
        <v>1330</v>
      </c>
      <c r="E48" s="377" t="s">
        <v>1331</v>
      </c>
      <c r="F48" s="378" t="s">
        <v>1213</v>
      </c>
      <c r="G48" s="379" t="s">
        <v>1332</v>
      </c>
      <c r="H48" s="377" t="s">
        <v>1234</v>
      </c>
      <c r="I48" s="380" t="s">
        <v>1333</v>
      </c>
      <c r="J48" s="381" t="s">
        <v>434</v>
      </c>
      <c r="K48" s="377" t="s">
        <v>593</v>
      </c>
      <c r="L48" s="304"/>
    </row>
    <row r="49" ht="19.5" customHeight="1">
      <c r="B49" s="382" t="s">
        <v>1233</v>
      </c>
      <c r="C49" s="383" t="s">
        <v>19</v>
      </c>
      <c r="D49" s="383" t="s">
        <v>1334</v>
      </c>
      <c r="E49" s="383" t="s">
        <v>1335</v>
      </c>
      <c r="F49" s="384" t="s">
        <v>1213</v>
      </c>
      <c r="G49" s="385" t="s">
        <v>1332</v>
      </c>
      <c r="H49" s="383" t="s">
        <v>1234</v>
      </c>
      <c r="I49" s="386" t="s">
        <v>1336</v>
      </c>
      <c r="J49" s="387" t="s">
        <v>434</v>
      </c>
      <c r="K49" s="383" t="s">
        <v>593</v>
      </c>
      <c r="L49" s="311"/>
    </row>
    <row r="50" ht="19.5" customHeight="1">
      <c r="B50" s="376" t="s">
        <v>536</v>
      </c>
      <c r="C50" s="377" t="s">
        <v>19</v>
      </c>
      <c r="D50" s="377" t="s">
        <v>1337</v>
      </c>
      <c r="E50" s="377" t="s">
        <v>1338</v>
      </c>
      <c r="F50" s="378" t="s">
        <v>1213</v>
      </c>
      <c r="G50" s="379" t="s">
        <v>1332</v>
      </c>
      <c r="H50" s="388" t="s">
        <v>434</v>
      </c>
      <c r="I50" s="380" t="s">
        <v>1339</v>
      </c>
      <c r="J50" s="381" t="s">
        <v>434</v>
      </c>
      <c r="K50" s="388" t="s">
        <v>434</v>
      </c>
      <c r="L50" s="304"/>
    </row>
    <row r="51" ht="19.5" customHeight="1">
      <c r="B51" s="382" t="s">
        <v>1219</v>
      </c>
      <c r="C51" s="383" t="s">
        <v>19</v>
      </c>
      <c r="D51" s="383" t="s">
        <v>1340</v>
      </c>
      <c r="E51" s="383" t="s">
        <v>1341</v>
      </c>
      <c r="F51" s="384" t="s">
        <v>1213</v>
      </c>
      <c r="G51" s="385" t="s">
        <v>1332</v>
      </c>
      <c r="H51" s="389" t="s">
        <v>434</v>
      </c>
      <c r="I51" s="386" t="s">
        <v>1342</v>
      </c>
      <c r="J51" s="387" t="s">
        <v>434</v>
      </c>
      <c r="K51" s="389" t="s">
        <v>434</v>
      </c>
      <c r="L51" s="311"/>
    </row>
    <row r="52" ht="19.5" customHeight="1">
      <c r="B52" s="376" t="s">
        <v>1343</v>
      </c>
      <c r="C52" s="377" t="s">
        <v>19</v>
      </c>
      <c r="D52" s="377" t="s">
        <v>1344</v>
      </c>
      <c r="E52" s="377" t="s">
        <v>1345</v>
      </c>
      <c r="F52" s="378" t="s">
        <v>1346</v>
      </c>
      <c r="G52" s="379" t="s">
        <v>1332</v>
      </c>
      <c r="H52" s="388" t="s">
        <v>434</v>
      </c>
      <c r="I52" s="380" t="s">
        <v>1347</v>
      </c>
      <c r="J52" s="381" t="s">
        <v>434</v>
      </c>
      <c r="K52" s="388" t="s">
        <v>434</v>
      </c>
      <c r="L52" s="304"/>
    </row>
    <row r="53" ht="19.5" customHeight="1">
      <c r="B53" s="382" t="s">
        <v>1343</v>
      </c>
      <c r="C53" s="383" t="s">
        <v>19</v>
      </c>
      <c r="D53" s="383" t="s">
        <v>1348</v>
      </c>
      <c r="E53" s="383" t="s">
        <v>1345</v>
      </c>
      <c r="F53" s="384" t="s">
        <v>1349</v>
      </c>
      <c r="G53" s="385" t="s">
        <v>1332</v>
      </c>
      <c r="H53" s="389" t="s">
        <v>434</v>
      </c>
      <c r="I53" s="386" t="s">
        <v>1350</v>
      </c>
      <c r="J53" s="387" t="s">
        <v>434</v>
      </c>
      <c r="K53" s="389" t="s">
        <v>434</v>
      </c>
      <c r="L53" s="311"/>
    </row>
    <row r="54" ht="19.5" customHeight="1">
      <c r="B54" s="376" t="s">
        <v>1351</v>
      </c>
      <c r="C54" s="377" t="s">
        <v>19</v>
      </c>
      <c r="D54" s="377" t="s">
        <v>1352</v>
      </c>
      <c r="E54" s="377" t="s">
        <v>1353</v>
      </c>
      <c r="F54" s="378" t="s">
        <v>1354</v>
      </c>
      <c r="G54" s="379" t="s">
        <v>1332</v>
      </c>
      <c r="H54" s="388" t="s">
        <v>434</v>
      </c>
      <c r="I54" s="380" t="s">
        <v>1355</v>
      </c>
      <c r="J54" s="381" t="s">
        <v>434</v>
      </c>
      <c r="K54" s="388" t="s">
        <v>434</v>
      </c>
      <c r="L54" s="304"/>
    </row>
    <row r="55" ht="19.5" customHeight="1">
      <c r="B55" s="382" t="s">
        <v>1356</v>
      </c>
      <c r="C55" s="383" t="s">
        <v>19</v>
      </c>
      <c r="D55" s="383" t="s">
        <v>1357</v>
      </c>
      <c r="E55" s="383" t="s">
        <v>1358</v>
      </c>
      <c r="F55" s="384" t="s">
        <v>1354</v>
      </c>
      <c r="G55" s="385" t="s">
        <v>1332</v>
      </c>
      <c r="H55" s="389" t="s">
        <v>434</v>
      </c>
      <c r="I55" s="386" t="s">
        <v>1359</v>
      </c>
      <c r="J55" s="387" t="s">
        <v>434</v>
      </c>
      <c r="K55" s="389" t="s">
        <v>434</v>
      </c>
      <c r="L55" s="311"/>
    </row>
    <row r="56" ht="19.5" customHeight="1">
      <c r="B56" s="352"/>
      <c r="C56" s="303"/>
      <c r="D56" s="303"/>
      <c r="E56" s="303"/>
      <c r="F56" s="353"/>
      <c r="G56" s="354"/>
      <c r="H56" s="303"/>
      <c r="I56" s="303"/>
      <c r="J56" s="355"/>
      <c r="K56" s="303"/>
      <c r="L56" s="304"/>
    </row>
    <row r="57" ht="19.5" customHeight="1">
      <c r="B57" s="390" t="s">
        <v>1360</v>
      </c>
      <c r="C57" s="391"/>
      <c r="D57" s="391"/>
      <c r="E57" s="391"/>
      <c r="F57" s="391"/>
      <c r="G57" s="391"/>
      <c r="H57" s="391"/>
      <c r="I57" s="391"/>
      <c r="J57" s="391"/>
      <c r="K57" s="392"/>
      <c r="L57" s="393"/>
    </row>
    <row r="58" ht="15.75" customHeight="1"/>
    <row r="59" ht="15.75" customHeight="1"/>
    <row r="60" ht="21.75" customHeight="1">
      <c r="B60" s="394" t="s">
        <v>1361</v>
      </c>
      <c r="C60" s="395"/>
      <c r="D60" s="395"/>
      <c r="E60" s="395"/>
      <c r="F60" s="395"/>
      <c r="G60" s="395"/>
      <c r="H60" s="395"/>
      <c r="I60" s="395"/>
      <c r="J60" s="395"/>
      <c r="K60" s="395"/>
    </row>
    <row r="61" ht="15.75" customHeight="1">
      <c r="B61" s="396" t="s">
        <v>1362</v>
      </c>
      <c r="C61" s="396" t="s">
        <v>1363</v>
      </c>
      <c r="D61" s="396" t="s">
        <v>1364</v>
      </c>
      <c r="E61" s="396" t="s">
        <v>1365</v>
      </c>
      <c r="F61" s="396" t="s">
        <v>1366</v>
      </c>
      <c r="G61" s="396" t="s">
        <v>272</v>
      </c>
    </row>
    <row r="62" ht="45.0" customHeight="1">
      <c r="B62" s="397" t="s">
        <v>1213</v>
      </c>
      <c r="C62" s="398" t="s">
        <v>1367</v>
      </c>
      <c r="D62" s="291" t="s">
        <v>1368</v>
      </c>
      <c r="E62" s="399" t="s">
        <v>1369</v>
      </c>
      <c r="F62" s="282" t="s">
        <v>1370</v>
      </c>
      <c r="G62" s="397" t="s">
        <v>1371</v>
      </c>
    </row>
    <row r="63" ht="45.0" customHeight="1">
      <c r="B63" s="400" t="s">
        <v>1213</v>
      </c>
      <c r="C63" s="401" t="s">
        <v>1372</v>
      </c>
      <c r="D63" s="291" t="s">
        <v>1373</v>
      </c>
      <c r="E63" s="399" t="s">
        <v>1374</v>
      </c>
      <c r="F63" s="282" t="s">
        <v>1375</v>
      </c>
      <c r="G63" s="400" t="s">
        <v>1376</v>
      </c>
    </row>
    <row r="64" ht="45.0" customHeight="1">
      <c r="B64" s="400" t="s">
        <v>1252</v>
      </c>
      <c r="C64" s="401" t="s">
        <v>1377</v>
      </c>
      <c r="D64" s="291" t="s">
        <v>1378</v>
      </c>
      <c r="E64" s="399" t="s">
        <v>1379</v>
      </c>
      <c r="F64" s="282" t="s">
        <v>1380</v>
      </c>
      <c r="G64" s="400" t="s">
        <v>1376</v>
      </c>
    </row>
    <row r="65" ht="39.75" customHeight="1">
      <c r="B65" s="402" t="s">
        <v>1381</v>
      </c>
      <c r="C65" s="402" t="s">
        <v>1382</v>
      </c>
      <c r="D65" s="402" t="s">
        <v>1383</v>
      </c>
      <c r="E65" s="402" t="s">
        <v>1384</v>
      </c>
      <c r="F65" s="402" t="s">
        <v>434</v>
      </c>
      <c r="G65" s="402" t="s">
        <v>434</v>
      </c>
      <c r="H65" s="22" t="s">
        <v>1385</v>
      </c>
    </row>
    <row r="66" ht="39.75" customHeight="1">
      <c r="B66" s="402" t="s">
        <v>434</v>
      </c>
      <c r="C66" s="402" t="s">
        <v>434</v>
      </c>
      <c r="D66" s="402" t="s">
        <v>434</v>
      </c>
      <c r="E66" s="402" t="s">
        <v>434</v>
      </c>
      <c r="F66" s="402" t="s">
        <v>434</v>
      </c>
      <c r="G66" s="402" t="s">
        <v>434</v>
      </c>
    </row>
    <row r="67" ht="39.75" customHeight="1">
      <c r="B67" s="402" t="s">
        <v>434</v>
      </c>
      <c r="C67" s="402" t="s">
        <v>434</v>
      </c>
      <c r="D67" s="402" t="s">
        <v>434</v>
      </c>
      <c r="E67" s="402" t="s">
        <v>434</v>
      </c>
      <c r="F67" s="402" t="s">
        <v>434</v>
      </c>
      <c r="G67" s="402" t="s">
        <v>434</v>
      </c>
    </row>
    <row r="68" ht="39.75" customHeight="1">
      <c r="B68" s="402" t="s">
        <v>434</v>
      </c>
      <c r="C68" s="402" t="s">
        <v>434</v>
      </c>
      <c r="D68" s="402" t="s">
        <v>434</v>
      </c>
      <c r="E68" s="402" t="s">
        <v>434</v>
      </c>
      <c r="F68" s="402" t="s">
        <v>434</v>
      </c>
      <c r="G68" s="402" t="s">
        <v>434</v>
      </c>
    </row>
    <row r="69" ht="39.75" customHeight="1">
      <c r="B69" s="402" t="s">
        <v>434</v>
      </c>
      <c r="C69" s="402" t="s">
        <v>434</v>
      </c>
      <c r="D69" s="402" t="s">
        <v>434</v>
      </c>
      <c r="E69" s="402" t="s">
        <v>434</v>
      </c>
      <c r="F69" s="402" t="s">
        <v>434</v>
      </c>
      <c r="G69" s="402" t="s">
        <v>434</v>
      </c>
    </row>
    <row r="70" ht="15.75" customHeight="1"/>
    <row r="71" ht="15.75" customHeight="1"/>
    <row r="72" ht="21.75" customHeight="1">
      <c r="B72" s="403" t="s">
        <v>1386</v>
      </c>
      <c r="C72" s="404"/>
      <c r="D72" s="404"/>
      <c r="E72" s="404"/>
      <c r="F72" s="404"/>
      <c r="G72" s="404"/>
      <c r="H72" s="404"/>
      <c r="I72" s="404"/>
    </row>
    <row r="73" ht="15.75" customHeight="1">
      <c r="B73" s="405" t="s">
        <v>1387</v>
      </c>
      <c r="C73" s="406" t="s">
        <v>1213</v>
      </c>
      <c r="D73" s="282" t="s">
        <v>1388</v>
      </c>
      <c r="E73" s="400" t="s">
        <v>1389</v>
      </c>
    </row>
    <row r="74" ht="15.75" customHeight="1">
      <c r="B74" s="405" t="s">
        <v>1390</v>
      </c>
      <c r="C74" s="406" t="s">
        <v>1213</v>
      </c>
      <c r="D74" s="282" t="s">
        <v>1391</v>
      </c>
      <c r="E74" s="400" t="s">
        <v>1389</v>
      </c>
    </row>
    <row r="75" ht="15.75" customHeight="1">
      <c r="B75" s="405" t="s">
        <v>1392</v>
      </c>
      <c r="C75" s="406" t="s">
        <v>1252</v>
      </c>
      <c r="D75" s="282" t="s">
        <v>1393</v>
      </c>
      <c r="E75" s="400" t="s">
        <v>1389</v>
      </c>
    </row>
    <row r="76" ht="15.75" customHeight="1">
      <c r="B76" s="405" t="s">
        <v>1394</v>
      </c>
      <c r="C76" s="406" t="s">
        <v>1395</v>
      </c>
      <c r="D76" s="399" t="s">
        <v>1396</v>
      </c>
      <c r="E76" s="397" t="s">
        <v>1095</v>
      </c>
    </row>
    <row r="77" ht="15.75" customHeight="1">
      <c r="B77" s="405" t="s">
        <v>1397</v>
      </c>
      <c r="C77" s="406" t="s">
        <v>1395</v>
      </c>
      <c r="D77" s="399" t="s">
        <v>1398</v>
      </c>
      <c r="E77" s="397" t="s">
        <v>1095</v>
      </c>
    </row>
    <row r="78" ht="15.75" customHeight="1"/>
    <row r="79" ht="15.75" customHeight="1">
      <c r="A79" s="407" t="s">
        <v>1399</v>
      </c>
      <c r="B79" s="2"/>
      <c r="C79" s="2"/>
      <c r="D79" s="2"/>
      <c r="E79" s="2"/>
      <c r="F79" s="2"/>
      <c r="G79" s="2"/>
      <c r="H79" s="2"/>
      <c r="I79" s="2"/>
      <c r="J79" s="2"/>
      <c r="K79" s="2"/>
      <c r="L79" s="2"/>
    </row>
    <row r="80" ht="15.75" customHeight="1">
      <c r="A80" s="213" t="s">
        <v>1213</v>
      </c>
      <c r="B80" s="213" t="s">
        <v>1400</v>
      </c>
      <c r="C80" s="213" t="s">
        <v>1401</v>
      </c>
      <c r="D80" s="213" t="s">
        <v>1402</v>
      </c>
      <c r="E80" s="213" t="s">
        <v>1403</v>
      </c>
      <c r="F80" s="213" t="s">
        <v>1404</v>
      </c>
      <c r="G80" s="213" t="s">
        <v>1405</v>
      </c>
      <c r="H80" s="213" t="s">
        <v>1406</v>
      </c>
      <c r="I80" s="213"/>
      <c r="J80" s="213"/>
      <c r="K80" s="213"/>
      <c r="L80" s="213"/>
    </row>
    <row r="81" ht="15.75" customHeight="1">
      <c r="A81" s="213" t="s">
        <v>1213</v>
      </c>
      <c r="B81" s="213" t="s">
        <v>1284</v>
      </c>
      <c r="C81" s="213" t="s">
        <v>19</v>
      </c>
      <c r="D81" s="213" t="s">
        <v>1407</v>
      </c>
      <c r="E81" s="213" t="s">
        <v>1408</v>
      </c>
      <c r="F81" s="213" t="s">
        <v>1409</v>
      </c>
      <c r="G81" s="213" t="s">
        <v>1410</v>
      </c>
      <c r="H81" s="213" t="s">
        <v>1411</v>
      </c>
      <c r="I81" s="213"/>
      <c r="J81" s="213"/>
      <c r="K81" s="213"/>
      <c r="L81" s="213"/>
    </row>
    <row r="82" ht="15.75" customHeight="1">
      <c r="A82" s="213" t="s">
        <v>1213</v>
      </c>
      <c r="B82" s="213" t="s">
        <v>1412</v>
      </c>
      <c r="C82" s="213" t="s">
        <v>19</v>
      </c>
      <c r="D82" s="213" t="s">
        <v>1407</v>
      </c>
      <c r="E82" s="213" t="s">
        <v>1413</v>
      </c>
      <c r="F82" s="213" t="s">
        <v>1414</v>
      </c>
      <c r="G82" s="213" t="s">
        <v>1410</v>
      </c>
      <c r="H82" s="213" t="s">
        <v>1415</v>
      </c>
      <c r="I82" s="213"/>
      <c r="J82" s="213"/>
      <c r="K82" s="213"/>
      <c r="L82" s="213"/>
    </row>
    <row r="83" ht="15.75" customHeight="1">
      <c r="A83" s="213" t="s">
        <v>1213</v>
      </c>
      <c r="B83" s="213" t="s">
        <v>1416</v>
      </c>
      <c r="C83" s="213" t="s">
        <v>1417</v>
      </c>
      <c r="D83" s="213" t="s">
        <v>1418</v>
      </c>
      <c r="E83" s="213" t="s">
        <v>1419</v>
      </c>
      <c r="F83" s="213" t="s">
        <v>1420</v>
      </c>
      <c r="G83" s="213" t="s">
        <v>1421</v>
      </c>
      <c r="H83" s="213" t="s">
        <v>1422</v>
      </c>
      <c r="I83" s="213"/>
      <c r="J83" s="213"/>
      <c r="K83" s="213"/>
      <c r="L83" s="213"/>
    </row>
    <row r="84" ht="15.75" customHeight="1"/>
    <row r="85" ht="15.75" customHeight="1"/>
    <row r="86" ht="21.75" customHeight="1">
      <c r="A86" s="408" t="s">
        <v>1423</v>
      </c>
      <c r="B86" s="2"/>
      <c r="C86" s="2"/>
      <c r="D86" s="2"/>
      <c r="E86" s="2"/>
      <c r="F86" s="2"/>
      <c r="G86" s="2"/>
      <c r="H86" s="2"/>
      <c r="I86" s="2"/>
      <c r="J86" s="2"/>
      <c r="K86" s="2"/>
      <c r="L86" s="2"/>
      <c r="M86" s="2"/>
    </row>
    <row r="87" ht="19.5" customHeight="1">
      <c r="A87" s="409" t="s">
        <v>1424</v>
      </c>
      <c r="B87" s="2"/>
      <c r="C87" s="2"/>
      <c r="D87" s="2"/>
      <c r="E87" s="2"/>
      <c r="F87" s="2"/>
      <c r="G87" s="2"/>
      <c r="H87" s="2"/>
      <c r="I87" s="2"/>
      <c r="J87" s="2"/>
      <c r="K87" s="2"/>
      <c r="L87" s="2"/>
      <c r="M87" s="2"/>
    </row>
    <row r="88" ht="18.0" customHeight="1">
      <c r="A88" s="410" t="s">
        <v>337</v>
      </c>
      <c r="B88" s="411" t="s">
        <v>1425</v>
      </c>
      <c r="C88" s="2"/>
      <c r="D88" s="2"/>
      <c r="E88" s="2"/>
      <c r="F88" s="2"/>
      <c r="G88" s="2"/>
      <c r="H88" s="2"/>
      <c r="I88" s="2"/>
      <c r="J88" s="2"/>
      <c r="K88" s="2"/>
      <c r="L88" s="2"/>
      <c r="M88" s="2"/>
    </row>
    <row r="89" ht="18.0" customHeight="1">
      <c r="A89" s="410" t="s">
        <v>335</v>
      </c>
      <c r="B89" s="411" t="s">
        <v>1426</v>
      </c>
      <c r="C89" s="2"/>
      <c r="D89" s="2"/>
      <c r="E89" s="2"/>
      <c r="F89" s="2"/>
      <c r="G89" s="2"/>
      <c r="H89" s="2"/>
      <c r="I89" s="2"/>
      <c r="J89" s="2"/>
      <c r="K89" s="2"/>
      <c r="L89" s="2"/>
      <c r="M89" s="2"/>
    </row>
    <row r="90" ht="15.75" customHeight="1"/>
    <row r="91" ht="18.0" customHeight="1">
      <c r="A91" s="412" t="s">
        <v>1427</v>
      </c>
      <c r="B91" s="412" t="s">
        <v>1206</v>
      </c>
      <c r="C91" s="412" t="s">
        <v>270</v>
      </c>
      <c r="D91" s="412" t="s">
        <v>1428</v>
      </c>
      <c r="E91" s="412" t="s">
        <v>1429</v>
      </c>
      <c r="F91" s="412" t="s">
        <v>1430</v>
      </c>
      <c r="G91" s="412" t="s">
        <v>1431</v>
      </c>
      <c r="H91" s="412" t="s">
        <v>1432</v>
      </c>
      <c r="I91" s="412" t="s">
        <v>1433</v>
      </c>
      <c r="J91" s="412" t="s">
        <v>1212</v>
      </c>
      <c r="K91" s="412" t="s">
        <v>1211</v>
      </c>
    </row>
    <row r="92" ht="18.0" customHeight="1">
      <c r="A92" s="413" t="s">
        <v>1213</v>
      </c>
      <c r="B92" s="414" t="s">
        <v>536</v>
      </c>
      <c r="C92" s="413" t="s">
        <v>1434</v>
      </c>
      <c r="D92" s="413" t="s">
        <v>1337</v>
      </c>
      <c r="E92" s="415" t="s">
        <v>1435</v>
      </c>
      <c r="F92" s="416" t="s">
        <v>1436</v>
      </c>
      <c r="G92" s="417" t="str">
        <f t="shared" ref="G92:G97" si="1">IF(ISNUMBER(F92),(F92-D92)/D92,"⬜")</f>
        <v>⬜</v>
      </c>
      <c r="H92" s="416" t="s">
        <v>1436</v>
      </c>
      <c r="I92" s="417" t="str">
        <f t="shared" ref="I92:I97" si="2">IF(ISNUMBER(G92),G92-H92,"⬜")</f>
        <v>⬜</v>
      </c>
      <c r="J92" s="418" t="s">
        <v>1437</v>
      </c>
      <c r="K92" s="419" t="s">
        <v>1438</v>
      </c>
    </row>
    <row r="93" ht="18.0" customHeight="1">
      <c r="A93" s="420" t="s">
        <v>1213</v>
      </c>
      <c r="B93" s="421" t="s">
        <v>1219</v>
      </c>
      <c r="C93" s="420" t="s">
        <v>1434</v>
      </c>
      <c r="D93" s="420" t="s">
        <v>1340</v>
      </c>
      <c r="E93" s="422" t="s">
        <v>1439</v>
      </c>
      <c r="F93" s="416" t="s">
        <v>1436</v>
      </c>
      <c r="G93" s="417" t="str">
        <f t="shared" si="1"/>
        <v>⬜</v>
      </c>
      <c r="H93" s="416" t="s">
        <v>1436</v>
      </c>
      <c r="I93" s="417" t="str">
        <f t="shared" si="2"/>
        <v>⬜</v>
      </c>
      <c r="J93" s="418" t="s">
        <v>1437</v>
      </c>
      <c r="K93" s="419" t="s">
        <v>1438</v>
      </c>
    </row>
    <row r="94" ht="18.0" customHeight="1">
      <c r="A94" s="413" t="s">
        <v>1213</v>
      </c>
      <c r="B94" s="414" t="s">
        <v>1223</v>
      </c>
      <c r="C94" s="413" t="s">
        <v>1440</v>
      </c>
      <c r="D94" s="413" t="s">
        <v>1441</v>
      </c>
      <c r="E94" s="415" t="s">
        <v>1442</v>
      </c>
      <c r="F94" s="416" t="s">
        <v>1436</v>
      </c>
      <c r="G94" s="417" t="str">
        <f t="shared" si="1"/>
        <v>⬜</v>
      </c>
      <c r="H94" s="416" t="s">
        <v>1436</v>
      </c>
      <c r="I94" s="417" t="str">
        <f t="shared" si="2"/>
        <v>⬜</v>
      </c>
      <c r="J94" s="418" t="s">
        <v>1437</v>
      </c>
      <c r="K94" s="419" t="s">
        <v>1438</v>
      </c>
    </row>
    <row r="95" ht="18.0" customHeight="1">
      <c r="A95" s="420" t="s">
        <v>1381</v>
      </c>
      <c r="B95" s="421" t="s">
        <v>548</v>
      </c>
      <c r="C95" s="420" t="s">
        <v>1434</v>
      </c>
      <c r="D95" s="420" t="s">
        <v>1443</v>
      </c>
      <c r="E95" s="422" t="s">
        <v>1444</v>
      </c>
      <c r="F95" s="416" t="s">
        <v>1436</v>
      </c>
      <c r="G95" s="417" t="str">
        <f t="shared" si="1"/>
        <v>⬜</v>
      </c>
      <c r="H95" s="416" t="s">
        <v>1436</v>
      </c>
      <c r="I95" s="417" t="str">
        <f t="shared" si="2"/>
        <v>⬜</v>
      </c>
      <c r="J95" s="418" t="s">
        <v>1437</v>
      </c>
      <c r="K95" s="419" t="s">
        <v>1438</v>
      </c>
    </row>
    <row r="96" ht="18.0" customHeight="1">
      <c r="A96" s="413" t="s">
        <v>1213</v>
      </c>
      <c r="B96" s="414" t="s">
        <v>1240</v>
      </c>
      <c r="C96" s="413" t="s">
        <v>1445</v>
      </c>
      <c r="D96" s="413" t="s">
        <v>1330</v>
      </c>
      <c r="E96" s="415" t="s">
        <v>1446</v>
      </c>
      <c r="F96" s="416" t="s">
        <v>1447</v>
      </c>
      <c r="G96" s="417" t="str">
        <f t="shared" si="1"/>
        <v>⬜</v>
      </c>
      <c r="H96" s="416" t="s">
        <v>1436</v>
      </c>
      <c r="I96" s="417" t="str">
        <f t="shared" si="2"/>
        <v>⬜</v>
      </c>
      <c r="J96" s="418" t="s">
        <v>1437</v>
      </c>
      <c r="K96" s="419" t="s">
        <v>1438</v>
      </c>
    </row>
    <row r="97" ht="18.0" customHeight="1">
      <c r="A97" s="420" t="s">
        <v>1213</v>
      </c>
      <c r="B97" s="421" t="s">
        <v>1233</v>
      </c>
      <c r="C97" s="420" t="s">
        <v>1445</v>
      </c>
      <c r="D97" s="420" t="s">
        <v>1334</v>
      </c>
      <c r="E97" s="422" t="s">
        <v>1446</v>
      </c>
      <c r="F97" s="416" t="s">
        <v>1447</v>
      </c>
      <c r="G97" s="417" t="str">
        <f t="shared" si="1"/>
        <v>⬜</v>
      </c>
      <c r="H97" s="416" t="s">
        <v>1436</v>
      </c>
      <c r="I97" s="417" t="str">
        <f t="shared" si="2"/>
        <v>⬜</v>
      </c>
      <c r="J97" s="418" t="s">
        <v>1437</v>
      </c>
      <c r="K97" s="419" t="s">
        <v>1438</v>
      </c>
    </row>
    <row r="98" ht="34.5" customHeight="1">
      <c r="A98" s="423" t="s">
        <v>1381</v>
      </c>
      <c r="B98" s="424" t="s">
        <v>1382</v>
      </c>
      <c r="C98" s="425" t="s">
        <v>1448</v>
      </c>
      <c r="D98" s="426" t="s">
        <v>593</v>
      </c>
      <c r="E98" s="427" t="s">
        <v>1449</v>
      </c>
      <c r="F98" s="428" t="s">
        <v>593</v>
      </c>
      <c r="G98" s="428" t="s">
        <v>593</v>
      </c>
    </row>
    <row r="99" ht="34.5" customHeight="1">
      <c r="A99" s="429" t="s">
        <v>1381</v>
      </c>
      <c r="B99" s="430" t="s">
        <v>22</v>
      </c>
      <c r="C99" s="431" t="s">
        <v>1450</v>
      </c>
      <c r="D99" s="432" t="s">
        <v>593</v>
      </c>
      <c r="E99" s="433" t="s">
        <v>1451</v>
      </c>
      <c r="F99" s="434" t="s">
        <v>593</v>
      </c>
      <c r="G99" s="434" t="s">
        <v>593</v>
      </c>
    </row>
    <row r="100" ht="34.5" customHeight="1">
      <c r="A100" s="423" t="s">
        <v>1381</v>
      </c>
      <c r="B100" s="424" t="s">
        <v>1452</v>
      </c>
      <c r="C100" s="435" t="s">
        <v>1453</v>
      </c>
      <c r="D100" s="426" t="s">
        <v>593</v>
      </c>
      <c r="E100" s="427" t="s">
        <v>1454</v>
      </c>
      <c r="F100" s="428" t="s">
        <v>593</v>
      </c>
      <c r="G100" s="428" t="s">
        <v>593</v>
      </c>
    </row>
    <row r="101" ht="15.75" customHeight="1"/>
    <row r="102" ht="15.75" customHeight="1">
      <c r="B102" s="22" t="s">
        <v>1455</v>
      </c>
      <c r="C102" s="22" t="s">
        <v>1456</v>
      </c>
      <c r="D102" s="22" t="s">
        <v>1434</v>
      </c>
      <c r="E102" s="22" t="s">
        <v>1457</v>
      </c>
      <c r="F102" s="22" t="s">
        <v>1458</v>
      </c>
      <c r="G102" s="22" t="s">
        <v>1459</v>
      </c>
      <c r="H102" s="22" t="str">
        <f>IF(ISNUMBER(F102),(F102-D102)/D102,"⬜")</f>
        <v>⬜</v>
      </c>
      <c r="I102" s="22" t="s">
        <v>1459</v>
      </c>
    </row>
    <row r="103" ht="15.75" customHeight="1">
      <c r="B103" s="22" t="s">
        <v>1455</v>
      </c>
      <c r="C103" s="22" t="s">
        <v>1382</v>
      </c>
      <c r="D103" s="22" t="s">
        <v>1460</v>
      </c>
      <c r="E103" s="22" t="s">
        <v>593</v>
      </c>
      <c r="F103" s="22" t="s">
        <v>1461</v>
      </c>
      <c r="G103" s="22" t="s">
        <v>593</v>
      </c>
      <c r="H103" s="22" t="s">
        <v>593</v>
      </c>
    </row>
    <row r="104" ht="15.75" customHeight="1"/>
    <row r="105" ht="15.75" customHeight="1">
      <c r="B105" s="22" t="s">
        <v>1455</v>
      </c>
      <c r="C105" s="22" t="s">
        <v>1382</v>
      </c>
      <c r="D105" s="22" t="s">
        <v>1462</v>
      </c>
      <c r="E105" s="22" t="s">
        <v>593</v>
      </c>
      <c r="F105" s="22" t="s">
        <v>1463</v>
      </c>
      <c r="G105" s="22" t="s">
        <v>593</v>
      </c>
    </row>
    <row r="106" ht="15.75" customHeight="1">
      <c r="B106" s="22" t="s">
        <v>1464</v>
      </c>
      <c r="C106" s="22" t="s">
        <v>1465</v>
      </c>
      <c r="D106" s="22" t="s">
        <v>1466</v>
      </c>
      <c r="E106" s="22" t="s">
        <v>1467</v>
      </c>
      <c r="F106" s="22" t="s">
        <v>1468</v>
      </c>
      <c r="G106" s="22" t="s">
        <v>1469</v>
      </c>
    </row>
    <row r="107" ht="15.75" customHeight="1">
      <c r="B107" s="22" t="s">
        <v>1470</v>
      </c>
      <c r="C107" s="22" t="s">
        <v>1465</v>
      </c>
      <c r="D107" s="22" t="s">
        <v>1466</v>
      </c>
      <c r="E107" s="22" t="s">
        <v>1471</v>
      </c>
      <c r="F107" s="22" t="s">
        <v>1472</v>
      </c>
      <c r="G107" s="22" t="s">
        <v>1436</v>
      </c>
    </row>
    <row r="108" ht="15.75" customHeight="1">
      <c r="B108" s="22" t="s">
        <v>1473</v>
      </c>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C29:D29"/>
    <mergeCell ref="C30:D30"/>
    <mergeCell ref="C31:D31"/>
    <mergeCell ref="C32:D32"/>
    <mergeCell ref="C33:D33"/>
    <mergeCell ref="C34:D34"/>
    <mergeCell ref="B1:J1"/>
    <mergeCell ref="B2:J2"/>
    <mergeCell ref="A4:J4"/>
    <mergeCell ref="A16:J16"/>
    <mergeCell ref="B21:L21"/>
    <mergeCell ref="A28:J28"/>
    <mergeCell ref="E29:J29"/>
    <mergeCell ref="B57:K57"/>
    <mergeCell ref="A79:L79"/>
    <mergeCell ref="A86:M86"/>
    <mergeCell ref="A87:M87"/>
    <mergeCell ref="B88:M88"/>
    <mergeCell ref="B89:M89"/>
    <mergeCell ref="E30:J30"/>
    <mergeCell ref="E31:J31"/>
    <mergeCell ref="E32:J32"/>
    <mergeCell ref="E33:J33"/>
    <mergeCell ref="E34:J34"/>
    <mergeCell ref="B45:L45"/>
    <mergeCell ref="B46:L46"/>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2.0"/>
    <col customWidth="1" min="3" max="3" width="16.0"/>
    <col customWidth="1" min="4" max="4" width="20.0"/>
    <col customWidth="1" min="5" max="5" width="28.0"/>
    <col customWidth="1" min="6" max="6" width="22.0"/>
    <col customWidth="1" min="7" max="7" width="14.0"/>
    <col customWidth="1" min="8" max="8" width="28.0"/>
    <col customWidth="1" min="9" max="9" width="16.0"/>
  </cols>
  <sheetData>
    <row r="1" ht="30.0" customHeight="1">
      <c r="A1" s="436" t="s">
        <v>1474</v>
      </c>
      <c r="B1" s="2"/>
      <c r="C1" s="2"/>
      <c r="D1" s="2"/>
      <c r="E1" s="2"/>
      <c r="F1" s="2"/>
      <c r="G1" s="2"/>
      <c r="H1" s="2"/>
      <c r="I1" s="2"/>
    </row>
    <row r="2" ht="24.75" customHeight="1">
      <c r="A2" s="437" t="s">
        <v>1475</v>
      </c>
      <c r="B2" s="2"/>
      <c r="C2" s="2"/>
      <c r="D2" s="2"/>
      <c r="E2" s="2"/>
      <c r="F2" s="2"/>
      <c r="G2" s="2"/>
      <c r="H2" s="2"/>
      <c r="I2" s="2"/>
    </row>
    <row r="3" ht="21.75" customHeight="1">
      <c r="A3" s="83" t="s">
        <v>1476</v>
      </c>
      <c r="B3" s="2"/>
      <c r="C3" s="2"/>
      <c r="D3" s="2"/>
      <c r="E3" s="2"/>
      <c r="F3" s="2"/>
      <c r="G3" s="2"/>
      <c r="H3" s="2"/>
      <c r="I3" s="2"/>
    </row>
    <row r="4" ht="21.75" customHeight="1">
      <c r="A4" s="438" t="s">
        <v>1477</v>
      </c>
      <c r="B4" s="438" t="s">
        <v>354</v>
      </c>
      <c r="C4" s="438" t="s">
        <v>1478</v>
      </c>
      <c r="D4" s="438" t="s">
        <v>1479</v>
      </c>
      <c r="E4" s="438" t="s">
        <v>1480</v>
      </c>
      <c r="F4" s="438" t="s">
        <v>272</v>
      </c>
      <c r="G4" s="438" t="s">
        <v>1481</v>
      </c>
    </row>
    <row r="5" ht="51.75" customHeight="1">
      <c r="A5" s="435" t="s">
        <v>1482</v>
      </c>
      <c r="B5" s="439" t="s">
        <v>1483</v>
      </c>
      <c r="C5" s="439" t="s">
        <v>1484</v>
      </c>
      <c r="D5" s="439" t="s">
        <v>1485</v>
      </c>
      <c r="E5" s="439" t="s">
        <v>1486</v>
      </c>
      <c r="F5" s="435" t="s">
        <v>1487</v>
      </c>
      <c r="G5" s="440" t="s">
        <v>1488</v>
      </c>
    </row>
    <row r="6" ht="51.75" customHeight="1">
      <c r="A6" s="441" t="s">
        <v>1489</v>
      </c>
      <c r="B6" s="442" t="s">
        <v>1490</v>
      </c>
      <c r="C6" s="442" t="s">
        <v>1491</v>
      </c>
      <c r="D6" s="442" t="s">
        <v>1492</v>
      </c>
      <c r="E6" s="442" t="s">
        <v>1493</v>
      </c>
      <c r="F6" s="431" t="s">
        <v>1494</v>
      </c>
      <c r="G6" s="443" t="s">
        <v>1495</v>
      </c>
    </row>
    <row r="7" ht="51.75" customHeight="1">
      <c r="A7" s="435" t="s">
        <v>1496</v>
      </c>
      <c r="B7" s="439" t="s">
        <v>1497</v>
      </c>
      <c r="C7" s="439" t="s">
        <v>1498</v>
      </c>
      <c r="D7" s="439" t="s">
        <v>1499</v>
      </c>
      <c r="E7" s="439" t="s">
        <v>1500</v>
      </c>
      <c r="F7" s="444" t="s">
        <v>1494</v>
      </c>
      <c r="G7" s="440" t="s">
        <v>1501</v>
      </c>
    </row>
    <row r="8" ht="51.75" customHeight="1">
      <c r="A8" s="441" t="s">
        <v>1502</v>
      </c>
      <c r="B8" s="442" t="s">
        <v>1503</v>
      </c>
      <c r="C8" s="442" t="s">
        <v>1504</v>
      </c>
      <c r="D8" s="442" t="s">
        <v>1505</v>
      </c>
      <c r="E8" s="442" t="s">
        <v>1506</v>
      </c>
      <c r="F8" s="445" t="s">
        <v>1507</v>
      </c>
      <c r="G8" s="443" t="s">
        <v>1508</v>
      </c>
    </row>
    <row r="9" ht="51.75" customHeight="1">
      <c r="A9" s="435" t="s">
        <v>1509</v>
      </c>
      <c r="B9" s="439" t="s">
        <v>1510</v>
      </c>
      <c r="C9" s="439" t="s">
        <v>1511</v>
      </c>
      <c r="D9" s="439" t="s">
        <v>1512</v>
      </c>
      <c r="E9" s="439" t="s">
        <v>1513</v>
      </c>
      <c r="F9" s="444" t="s">
        <v>1494</v>
      </c>
      <c r="G9" s="440" t="s">
        <v>1514</v>
      </c>
    </row>
    <row r="10" ht="14.25" customHeight="1"/>
    <row r="11" ht="21.75" customHeight="1">
      <c r="A11" s="446" t="s">
        <v>1515</v>
      </c>
      <c r="B11" s="2"/>
      <c r="C11" s="2"/>
      <c r="D11" s="2"/>
      <c r="E11" s="2"/>
      <c r="F11" s="2"/>
      <c r="G11" s="2"/>
      <c r="H11" s="2"/>
      <c r="I11" s="2"/>
    </row>
    <row r="12" ht="15.0" customHeight="1">
      <c r="A12" s="447" t="s">
        <v>1205</v>
      </c>
      <c r="B12" s="447" t="s">
        <v>1206</v>
      </c>
      <c r="C12" s="447" t="s">
        <v>270</v>
      </c>
      <c r="D12" s="447" t="s">
        <v>1516</v>
      </c>
      <c r="E12" s="447" t="s">
        <v>1517</v>
      </c>
      <c r="F12" s="447" t="s">
        <v>1518</v>
      </c>
      <c r="G12" s="447" t="s">
        <v>1465</v>
      </c>
      <c r="H12" s="447" t="s">
        <v>1519</v>
      </c>
    </row>
    <row r="13" ht="54.75" customHeight="1">
      <c r="A13" s="448" t="s">
        <v>1213</v>
      </c>
      <c r="B13" s="449" t="s">
        <v>536</v>
      </c>
      <c r="C13" s="450" t="s">
        <v>1434</v>
      </c>
      <c r="D13" s="451" t="s">
        <v>1520</v>
      </c>
      <c r="E13" s="452" t="s">
        <v>1521</v>
      </c>
      <c r="F13" s="453" t="s">
        <v>1522</v>
      </c>
      <c r="G13" s="454" t="s">
        <v>1523</v>
      </c>
      <c r="H13" s="452" t="s">
        <v>1524</v>
      </c>
    </row>
    <row r="14" ht="54.75" customHeight="1">
      <c r="A14" s="429" t="s">
        <v>1213</v>
      </c>
      <c r="B14" s="88" t="s">
        <v>1525</v>
      </c>
      <c r="C14" s="441" t="s">
        <v>1434</v>
      </c>
      <c r="D14" s="455" t="s">
        <v>1526</v>
      </c>
      <c r="E14" s="442" t="s">
        <v>1527</v>
      </c>
      <c r="F14" s="456" t="s">
        <v>1528</v>
      </c>
      <c r="G14" s="434" t="s">
        <v>1523</v>
      </c>
      <c r="H14" s="442" t="s">
        <v>1529</v>
      </c>
    </row>
    <row r="15" ht="54.75" customHeight="1">
      <c r="A15" s="448" t="s">
        <v>1213</v>
      </c>
      <c r="B15" s="449" t="s">
        <v>1219</v>
      </c>
      <c r="C15" s="450" t="s">
        <v>1434</v>
      </c>
      <c r="D15" s="451" t="s">
        <v>1526</v>
      </c>
      <c r="E15" s="452" t="s">
        <v>1530</v>
      </c>
      <c r="F15" s="453" t="s">
        <v>1531</v>
      </c>
      <c r="G15" s="454" t="s">
        <v>1523</v>
      </c>
      <c r="H15" s="452" t="s">
        <v>1532</v>
      </c>
    </row>
    <row r="16" ht="54.75" customHeight="1">
      <c r="A16" s="429" t="s">
        <v>1213</v>
      </c>
      <c r="B16" s="88" t="s">
        <v>1533</v>
      </c>
      <c r="C16" s="445" t="s">
        <v>1445</v>
      </c>
      <c r="D16" s="455" t="s">
        <v>1534</v>
      </c>
      <c r="E16" s="442" t="s">
        <v>1535</v>
      </c>
      <c r="F16" s="456" t="s">
        <v>1536</v>
      </c>
      <c r="G16" s="441" t="s">
        <v>1537</v>
      </c>
      <c r="H16" s="442" t="s">
        <v>1538</v>
      </c>
    </row>
    <row r="17" ht="54.75" customHeight="1">
      <c r="A17" s="448" t="s">
        <v>1381</v>
      </c>
      <c r="B17" s="449" t="s">
        <v>548</v>
      </c>
      <c r="C17" s="450" t="s">
        <v>1434</v>
      </c>
      <c r="D17" s="451" t="s">
        <v>1539</v>
      </c>
      <c r="E17" s="452" t="s">
        <v>1540</v>
      </c>
      <c r="F17" s="453" t="s">
        <v>1541</v>
      </c>
      <c r="G17" s="450" t="s">
        <v>1542</v>
      </c>
      <c r="H17" s="452" t="s">
        <v>1543</v>
      </c>
    </row>
    <row r="18" ht="14.25" customHeight="1"/>
    <row r="19" ht="21.75" customHeight="1">
      <c r="A19" s="457" t="s">
        <v>1544</v>
      </c>
      <c r="B19" s="2"/>
      <c r="C19" s="2"/>
      <c r="D19" s="2"/>
      <c r="E19" s="2"/>
      <c r="F19" s="2"/>
      <c r="G19" s="2"/>
      <c r="H19" s="2"/>
      <c r="I19" s="2"/>
    </row>
    <row r="20" ht="15.0" customHeight="1">
      <c r="A20" s="458" t="s">
        <v>1305</v>
      </c>
      <c r="B20" s="458" t="s">
        <v>645</v>
      </c>
      <c r="C20" s="458" t="s">
        <v>1545</v>
      </c>
      <c r="D20" s="459" t="s">
        <v>1546</v>
      </c>
      <c r="E20" s="460"/>
      <c r="F20" s="460"/>
      <c r="G20" s="460"/>
      <c r="H20" s="460"/>
      <c r="I20" s="461"/>
    </row>
    <row r="21" ht="37.5" customHeight="1">
      <c r="A21" s="462" t="s">
        <v>1547</v>
      </c>
      <c r="B21" s="463" t="s">
        <v>1548</v>
      </c>
      <c r="C21" s="463" t="s">
        <v>1549</v>
      </c>
      <c r="D21" s="464" t="s">
        <v>1550</v>
      </c>
      <c r="E21" s="2"/>
      <c r="F21" s="2"/>
      <c r="G21" s="2"/>
      <c r="H21" s="2"/>
      <c r="I21" s="2"/>
    </row>
    <row r="22" ht="37.5" customHeight="1">
      <c r="A22" s="465" t="s">
        <v>1551</v>
      </c>
      <c r="B22" s="442" t="s">
        <v>1552</v>
      </c>
      <c r="C22" s="442" t="s">
        <v>1553</v>
      </c>
      <c r="D22" s="466" t="s">
        <v>1554</v>
      </c>
      <c r="E22" s="2"/>
      <c r="F22" s="2"/>
      <c r="G22" s="2"/>
      <c r="H22" s="2"/>
      <c r="I22" s="2"/>
    </row>
    <row r="23" ht="37.5" customHeight="1">
      <c r="A23" s="462" t="s">
        <v>1555</v>
      </c>
      <c r="B23" s="463" t="s">
        <v>1556</v>
      </c>
      <c r="C23" s="463" t="s">
        <v>1557</v>
      </c>
      <c r="D23" s="467" t="s">
        <v>1558</v>
      </c>
      <c r="E23" s="2"/>
      <c r="F23" s="2"/>
      <c r="G23" s="2"/>
      <c r="H23" s="2"/>
      <c r="I23" s="2"/>
    </row>
    <row r="24" ht="37.5" customHeight="1">
      <c r="A24" s="465" t="s">
        <v>1559</v>
      </c>
      <c r="B24" s="442" t="s">
        <v>1560</v>
      </c>
      <c r="C24" s="442" t="s">
        <v>1561</v>
      </c>
      <c r="D24" s="466" t="s">
        <v>1562</v>
      </c>
      <c r="E24" s="2"/>
      <c r="F24" s="2"/>
      <c r="G24" s="2"/>
      <c r="H24" s="2"/>
      <c r="I24" s="2"/>
    </row>
    <row r="25" ht="14.25" customHeight="1"/>
    <row r="26" ht="21.75" customHeight="1">
      <c r="A26" s="468" t="s">
        <v>1563</v>
      </c>
      <c r="B26" s="2"/>
      <c r="C26" s="2"/>
      <c r="D26" s="2"/>
      <c r="E26" s="2"/>
      <c r="F26" s="2"/>
      <c r="G26" s="2"/>
      <c r="H26" s="2"/>
      <c r="I26" s="2"/>
    </row>
    <row r="27" ht="15.0" customHeight="1">
      <c r="A27" s="469" t="s">
        <v>1564</v>
      </c>
      <c r="B27" s="469" t="s">
        <v>1565</v>
      </c>
      <c r="C27" s="470" t="s">
        <v>1566</v>
      </c>
      <c r="D27" s="460"/>
      <c r="E27" s="460"/>
      <c r="F27" s="460"/>
      <c r="G27" s="460"/>
      <c r="H27" s="461"/>
      <c r="I27" s="469" t="s">
        <v>272</v>
      </c>
    </row>
    <row r="28" ht="31.5" customHeight="1">
      <c r="A28" s="471" t="s">
        <v>1567</v>
      </c>
      <c r="B28" s="472" t="s">
        <v>1568</v>
      </c>
      <c r="C28" s="473" t="s">
        <v>1569</v>
      </c>
      <c r="D28" s="2"/>
      <c r="E28" s="2"/>
      <c r="F28" s="2"/>
      <c r="G28" s="2"/>
      <c r="H28" s="2"/>
      <c r="I28" s="474" t="s">
        <v>1570</v>
      </c>
    </row>
    <row r="29" ht="31.5" customHeight="1">
      <c r="A29" s="431" t="s">
        <v>1571</v>
      </c>
      <c r="B29" s="430" t="s">
        <v>1572</v>
      </c>
      <c r="C29" s="475" t="s">
        <v>1573</v>
      </c>
      <c r="D29" s="2"/>
      <c r="E29" s="2"/>
      <c r="F29" s="2"/>
      <c r="G29" s="2"/>
      <c r="H29" s="2"/>
      <c r="I29" s="87" t="s">
        <v>1574</v>
      </c>
    </row>
    <row r="30" ht="31.5" customHeight="1">
      <c r="A30" s="471" t="s">
        <v>1575</v>
      </c>
      <c r="B30" s="472" t="s">
        <v>1576</v>
      </c>
      <c r="C30" s="473" t="s">
        <v>1577</v>
      </c>
      <c r="D30" s="2"/>
      <c r="E30" s="2"/>
      <c r="F30" s="2"/>
      <c r="G30" s="2"/>
      <c r="H30" s="2"/>
      <c r="I30" s="474" t="s">
        <v>1578</v>
      </c>
    </row>
    <row r="31" ht="31.5" customHeight="1">
      <c r="A31" s="431" t="s">
        <v>1579</v>
      </c>
      <c r="B31" s="430" t="s">
        <v>1580</v>
      </c>
      <c r="C31" s="475" t="s">
        <v>1581</v>
      </c>
      <c r="D31" s="2"/>
      <c r="E31" s="2"/>
      <c r="F31" s="2"/>
      <c r="G31" s="2"/>
      <c r="H31" s="2"/>
      <c r="I31" s="476" t="s">
        <v>1582</v>
      </c>
    </row>
    <row r="32" ht="31.5" customHeight="1">
      <c r="A32" s="471" t="s">
        <v>1583</v>
      </c>
      <c r="B32" s="472" t="s">
        <v>1584</v>
      </c>
      <c r="C32" s="473" t="s">
        <v>1585</v>
      </c>
      <c r="D32" s="2"/>
      <c r="E32" s="2"/>
      <c r="F32" s="2"/>
      <c r="G32" s="2"/>
      <c r="H32" s="2"/>
      <c r="I32" s="474" t="s">
        <v>1586</v>
      </c>
    </row>
    <row r="33" ht="34.5" customHeight="1">
      <c r="B33" s="477" t="s">
        <v>1587</v>
      </c>
      <c r="C33" s="477" t="s">
        <v>1588</v>
      </c>
      <c r="D33" s="477" t="s">
        <v>1589</v>
      </c>
      <c r="E33" s="477" t="s">
        <v>1590</v>
      </c>
      <c r="F33" s="477"/>
    </row>
    <row r="34" ht="14.25" customHeight="1"/>
    <row r="35" ht="14.25" customHeight="1">
      <c r="A35" s="478" t="s">
        <v>1591</v>
      </c>
    </row>
    <row r="36" ht="14.25" customHeight="1">
      <c r="A36" s="22" t="s">
        <v>1592</v>
      </c>
      <c r="B36" s="22" t="s">
        <v>1593</v>
      </c>
    </row>
    <row r="37" ht="14.25" customHeight="1">
      <c r="A37" s="22" t="s">
        <v>1594</v>
      </c>
      <c r="B37" s="22" t="s">
        <v>1595</v>
      </c>
    </row>
    <row r="38" ht="14.25" customHeight="1">
      <c r="A38" s="22" t="s">
        <v>1596</v>
      </c>
      <c r="B38" s="22" t="s">
        <v>1597</v>
      </c>
    </row>
    <row r="39" ht="14.25" customHeight="1">
      <c r="A39" s="22" t="s">
        <v>1598</v>
      </c>
      <c r="B39" s="22" t="s">
        <v>1599</v>
      </c>
    </row>
    <row r="40" ht="14.25" customHeight="1">
      <c r="A40" s="22" t="s">
        <v>1208</v>
      </c>
      <c r="B40" s="22" t="s">
        <v>1600</v>
      </c>
    </row>
    <row r="41" ht="14.25" customHeight="1">
      <c r="A41" s="22" t="s">
        <v>1601</v>
      </c>
      <c r="B41" s="22" t="s">
        <v>1602</v>
      </c>
    </row>
    <row r="42" ht="14.25" customHeight="1">
      <c r="A42" s="22" t="s">
        <v>1465</v>
      </c>
      <c r="B42" s="22" t="s">
        <v>1603</v>
      </c>
    </row>
    <row r="43" ht="14.25" customHeight="1">
      <c r="A43" s="22" t="s">
        <v>272</v>
      </c>
      <c r="B43" s="22" t="s">
        <v>1604</v>
      </c>
    </row>
    <row r="44" ht="14.25" customHeight="1"/>
    <row r="45" ht="14.25" customHeight="1">
      <c r="A45" s="22" t="s">
        <v>1605</v>
      </c>
    </row>
    <row r="46" ht="14.25" customHeight="1">
      <c r="A46" s="22" t="s">
        <v>1606</v>
      </c>
      <c r="B46" s="22" t="s">
        <v>1607</v>
      </c>
    </row>
    <row r="47" ht="14.25" customHeight="1">
      <c r="A47" s="22" t="s">
        <v>1608</v>
      </c>
      <c r="B47" s="22" t="s">
        <v>1609</v>
      </c>
    </row>
    <row r="48" ht="14.25" customHeight="1">
      <c r="A48" s="22" t="s">
        <v>1610</v>
      </c>
      <c r="B48" s="22" t="s">
        <v>1611</v>
      </c>
    </row>
    <row r="49" ht="14.25" customHeight="1"/>
    <row r="50" ht="14.25" customHeight="1">
      <c r="A50" s="22" t="s">
        <v>1612</v>
      </c>
    </row>
    <row r="51" ht="14.25" customHeight="1">
      <c r="A51" s="22" t="s">
        <v>1613</v>
      </c>
      <c r="B51" s="22" t="s">
        <v>1614</v>
      </c>
    </row>
    <row r="52" ht="14.25" customHeight="1">
      <c r="A52" s="22" t="s">
        <v>1615</v>
      </c>
      <c r="B52" s="22" t="s">
        <v>1616</v>
      </c>
    </row>
    <row r="53" ht="14.25" customHeight="1">
      <c r="A53" s="22" t="s">
        <v>353</v>
      </c>
      <c r="B53" s="22" t="s">
        <v>1617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I1"/>
    <mergeCell ref="A2:I2"/>
    <mergeCell ref="A3:I3"/>
    <mergeCell ref="A11:I11"/>
    <mergeCell ref="A19:I19"/>
    <mergeCell ref="D20:I20"/>
    <mergeCell ref="D21:I21"/>
    <mergeCell ref="C30:H30"/>
    <mergeCell ref="C31:H31"/>
    <mergeCell ref="C32:H32"/>
    <mergeCell ref="D22:I22"/>
    <mergeCell ref="D23:I23"/>
    <mergeCell ref="D24:I24"/>
    <mergeCell ref="A26:I26"/>
    <mergeCell ref="C27:H27"/>
    <mergeCell ref="C28:H28"/>
    <mergeCell ref="C29:H29"/>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1.0"/>
    <col customWidth="1" min="2" max="2" width="22.0"/>
    <col customWidth="1" min="3" max="3" width="9.0"/>
    <col customWidth="1" min="4" max="4" width="6.0"/>
    <col customWidth="1" min="5" max="5" width="7.0"/>
    <col customWidth="1" min="6" max="6" width="9.0"/>
    <col customWidth="1" min="7" max="7" width="10.0"/>
    <col customWidth="1" min="8" max="8" width="5.0"/>
    <col customWidth="1" min="9" max="9" width="10.0"/>
    <col customWidth="1" min="10" max="12" width="13.0"/>
    <col customWidth="1" min="13" max="14" width="9.0"/>
    <col customWidth="1" min="15" max="15" width="8.0"/>
    <col customWidth="1" min="16" max="16" width="11.0"/>
    <col customWidth="1" min="17" max="17" width="9.0"/>
    <col customWidth="1" min="18" max="18" width="22.0"/>
  </cols>
  <sheetData>
    <row r="1" ht="27.75" customHeight="1">
      <c r="A1" s="479" t="s">
        <v>1618</v>
      </c>
      <c r="B1" s="480"/>
      <c r="C1" s="480"/>
      <c r="D1" s="480"/>
      <c r="E1" s="480"/>
      <c r="F1" s="480"/>
      <c r="G1" s="480"/>
      <c r="H1" s="480"/>
      <c r="I1" s="480"/>
      <c r="J1" s="480"/>
      <c r="K1" s="480"/>
      <c r="L1" s="480"/>
      <c r="M1" s="480"/>
      <c r="N1" s="480"/>
      <c r="O1" s="480"/>
      <c r="P1" s="480"/>
      <c r="Q1" s="480"/>
      <c r="R1" s="481"/>
    </row>
    <row r="2" ht="19.5" customHeight="1">
      <c r="A2" s="482" t="str">
        <f>"💰 Total: $"&amp;TEXT('📈 PORTEFEUILLE'!C11,"#,##0")&amp;" CAD"</f>
        <v>💰 Total: $85,386 CAD</v>
      </c>
      <c r="B2" s="480"/>
      <c r="C2" s="480"/>
      <c r="D2" s="481"/>
      <c r="E2" s="483" t="s">
        <v>1619</v>
      </c>
      <c r="F2" s="480"/>
      <c r="G2" s="480"/>
      <c r="H2" s="481"/>
      <c r="I2" s="484" t="s">
        <v>1620</v>
      </c>
      <c r="J2" s="480"/>
      <c r="K2" s="481"/>
      <c r="L2" s="485" t="s">
        <v>1621</v>
      </c>
      <c r="M2" s="480"/>
      <c r="N2" s="481"/>
      <c r="O2" s="482" t="s">
        <v>1622</v>
      </c>
      <c r="P2" s="480"/>
      <c r="Q2" s="480"/>
      <c r="R2" s="481"/>
    </row>
    <row r="3" ht="18.0" customHeight="1">
      <c r="A3" s="486" t="s">
        <v>1623</v>
      </c>
      <c r="B3" s="480"/>
      <c r="C3" s="480"/>
      <c r="D3" s="481"/>
      <c r="E3" s="487" t="s">
        <v>1624</v>
      </c>
      <c r="F3" s="480"/>
      <c r="G3" s="480"/>
      <c r="H3" s="481"/>
      <c r="I3" s="488" t="s">
        <v>1625</v>
      </c>
      <c r="J3" s="480"/>
      <c r="K3" s="480"/>
      <c r="L3" s="481"/>
      <c r="M3" s="489" t="s">
        <v>1626</v>
      </c>
      <c r="N3" s="480"/>
      <c r="O3" s="480"/>
      <c r="P3" s="480"/>
      <c r="Q3" s="480"/>
      <c r="R3" s="481"/>
    </row>
    <row r="4" ht="19.5" customHeight="1">
      <c r="A4" s="490" t="s">
        <v>1627</v>
      </c>
      <c r="B4" s="490" t="s">
        <v>1628</v>
      </c>
      <c r="C4" s="490" t="s">
        <v>1629</v>
      </c>
      <c r="D4" s="490" t="s">
        <v>1630</v>
      </c>
      <c r="E4" s="490" t="s">
        <v>1631</v>
      </c>
      <c r="F4" s="490" t="s">
        <v>1632</v>
      </c>
      <c r="G4" s="490" t="s">
        <v>1633</v>
      </c>
      <c r="H4" s="490" t="s">
        <v>1634</v>
      </c>
      <c r="I4" s="490" t="s">
        <v>1635</v>
      </c>
      <c r="J4" s="490" t="s">
        <v>1636</v>
      </c>
      <c r="K4" s="490" t="s">
        <v>1637</v>
      </c>
      <c r="L4" s="490" t="s">
        <v>1638</v>
      </c>
      <c r="M4" s="490" t="s">
        <v>1639</v>
      </c>
      <c r="N4" s="490" t="s">
        <v>1640</v>
      </c>
      <c r="O4" s="490" t="s">
        <v>1641</v>
      </c>
      <c r="P4" s="490" t="s">
        <v>1642</v>
      </c>
      <c r="Q4" s="490" t="s">
        <v>1643</v>
      </c>
      <c r="R4" s="490" t="s">
        <v>1644</v>
      </c>
    </row>
    <row r="5" ht="15.75" customHeight="1">
      <c r="A5" s="491" t="str">
        <f>'📈 PORTEFEUILLE'!B15</f>
        <v>VFV.TO</v>
      </c>
      <c r="B5" s="492" t="str">
        <f>'📈 PORTEFEUILLE'!C15</f>
        <v>Vanguard S&amp;P 500</v>
      </c>
      <c r="C5" s="493" t="str">
        <f>'📈 PORTEFEUILLE'!D15</f>
        <v>ETF</v>
      </c>
      <c r="D5" s="494" t="str">
        <f>'📈 PORTEFEUILLE'!E15</f>
        <v>T1</v>
      </c>
      <c r="E5" s="495" t="str">
        <f>'📈 PORTEFEUILLE'!F15</f>
        <v>TFSA</v>
      </c>
      <c r="F5" s="496">
        <f>'📈 PORTEFEUILLE'!G15</f>
        <v>84</v>
      </c>
      <c r="G5" s="497">
        <f>'📈 PORTEFEUILLE'!I15</f>
        <v>161.8</v>
      </c>
      <c r="H5" s="498" t="str">
        <f>'📈 PORTEFEUILLE'!K15</f>
        <v>CAD</v>
      </c>
      <c r="I5" s="497">
        <f>'📈 PORTEFEUILLE'!I15</f>
        <v>161.8</v>
      </c>
      <c r="J5" s="499">
        <f>'📈 PORTEFEUILLE'!L15</f>
        <v>13591.2</v>
      </c>
      <c r="K5" s="500">
        <f>IFERROR('📈 PORTEFEUILLE'!G15*'📈 PORTEFEUILLE'!H15,0)</f>
        <v>10073.6664</v>
      </c>
      <c r="L5" s="501">
        <f>'📈 PORTEFEUILLE'!N15</f>
        <v>3517.5336</v>
      </c>
      <c r="M5" s="502">
        <f>'📈 PORTEFEUILLE'!O15</f>
        <v>0.3491810688</v>
      </c>
      <c r="N5" s="503">
        <f>'📈 PORTEFEUILLE'!P15</f>
        <v>0.159173232</v>
      </c>
      <c r="O5" s="504">
        <v>0.0092</v>
      </c>
      <c r="P5" s="497">
        <v>126.383712</v>
      </c>
      <c r="Q5" s="497">
        <v>10.531976</v>
      </c>
      <c r="R5" s="492" t="str">
        <f>'📈 PORTEFEUILLE'!Q15</f>
        <v>✅ Accumuler</v>
      </c>
    </row>
    <row r="6" ht="15.75" customHeight="1">
      <c r="A6" s="505" t="str">
        <f>'📈 PORTEFEUILLE'!B29</f>
        <v>TD.TO</v>
      </c>
      <c r="B6" s="506" t="str">
        <f>'📈 PORTEFEUILLE'!C29</f>
        <v>TD Bank</v>
      </c>
      <c r="C6" s="507" t="str">
        <f>'📈 PORTEFEUILLE'!D29</f>
        <v>Action</v>
      </c>
      <c r="D6" s="508" t="str">
        <f>'📈 PORTEFEUILLE'!E29</f>
        <v>T3</v>
      </c>
      <c r="E6" s="509" t="str">
        <f>'📈 PORTEFEUILLE'!F29</f>
        <v>TFSA</v>
      </c>
      <c r="F6" s="510">
        <f>'📈 PORTEFEUILLE'!G29</f>
        <v>87</v>
      </c>
      <c r="G6" s="511">
        <f>'📈 PORTEFEUILLE'!I29</f>
        <v>128.05</v>
      </c>
      <c r="H6" s="512" t="str">
        <f>'📈 PORTEFEUILLE'!K29</f>
        <v>CAD</v>
      </c>
      <c r="I6" s="511">
        <f>'📈 PORTEFEUILLE'!I29</f>
        <v>128.05</v>
      </c>
      <c r="J6" s="513">
        <f>'📈 PORTEFEUILLE'!L29</f>
        <v>11140.35</v>
      </c>
      <c r="K6" s="514">
        <f>IFERROR('📈 PORTEFEUILLE'!G29*'📈 PORTEFEUILLE'!H29,0)</f>
        <v>6945.6276</v>
      </c>
      <c r="L6" s="515">
        <f>'📈 PORTEFEUILLE'!N29</f>
        <v>4194.7224</v>
      </c>
      <c r="M6" s="516">
        <f>'📈 PORTEFEUILLE'!O29</f>
        <v>0.6039371302</v>
      </c>
      <c r="N6" s="517">
        <f>'📈 PORTEFEUILLE'!P29</f>
        <v>0.1304701215</v>
      </c>
      <c r="O6" s="518">
        <v>0.048</v>
      </c>
      <c r="P6" s="511">
        <v>544.17456</v>
      </c>
      <c r="Q6" s="511">
        <v>45.34788</v>
      </c>
      <c r="R6" s="506" t="str">
        <f>'📈 PORTEFEUILLE'!Q29</f>
        <v>🔵 Diluer — ne plus acheter</v>
      </c>
    </row>
    <row r="7" ht="15.75" customHeight="1">
      <c r="A7" s="519" t="str">
        <f>'📈 PORTEFEUILLE'!B19</f>
        <v>SMH</v>
      </c>
      <c r="B7" s="492" t="str">
        <f>'📈 PORTEFEUILLE'!C19</f>
        <v>VanEck Semis</v>
      </c>
      <c r="C7" s="493" t="str">
        <f>'📈 PORTEFEUILLE'!D19</f>
        <v>ETF</v>
      </c>
      <c r="D7" s="494" t="str">
        <f>'📈 PORTEFEUILLE'!E19</f>
        <v>T1</v>
      </c>
      <c r="E7" s="495" t="str">
        <f>'📈 PORTEFEUILLE'!F19</f>
        <v>TFSA</v>
      </c>
      <c r="F7" s="496">
        <f>'📈 PORTEFEUILLE'!G19</f>
        <v>19.2266</v>
      </c>
      <c r="G7" s="497">
        <f>'📈 PORTEFEUILLE'!I19</f>
        <v>525.180747</v>
      </c>
      <c r="H7" s="520" t="str">
        <f>'📈 PORTEFEUILLE'!K19</f>
        <v>USD</v>
      </c>
      <c r="I7" s="497">
        <f>'📈 PORTEFEUILLE'!I19</f>
        <v>525.180747</v>
      </c>
      <c r="J7" s="499">
        <f>'📈 PORTEFEUILLE'!L19</f>
        <v>10097.44015</v>
      </c>
      <c r="K7" s="500">
        <f>IFERROR('📈 PORTEFEUILLE'!G19*'📈 PORTEFEUILLE'!H19,0)</f>
        <v>7566.922597</v>
      </c>
      <c r="L7" s="501">
        <f>'📈 PORTEFEUILLE'!N19</f>
        <v>2530.517553</v>
      </c>
      <c r="M7" s="502">
        <f>'📈 PORTEFEUILLE'!O19</f>
        <v>0.3344183214</v>
      </c>
      <c r="N7" s="503">
        <f>'📈 PORTEFEUILLE'!P19</f>
        <v>0.118256091</v>
      </c>
      <c r="O7" s="504">
        <v>0.007</v>
      </c>
      <c r="P7" s="497">
        <v>72.5960733929858</v>
      </c>
      <c r="Q7" s="497">
        <v>6.04967278274882</v>
      </c>
      <c r="R7" s="492" t="str">
        <f>'📈 PORTEFEUILLE'!Q19</f>
        <v>✅ Accumuler</v>
      </c>
    </row>
    <row r="8" ht="15.75" customHeight="1">
      <c r="A8" s="519" t="str">
        <f>'📈 PORTEFEUILLE'!B17</f>
        <v>AVGO</v>
      </c>
      <c r="B8" s="492" t="str">
        <f>'📈 PORTEFEUILLE'!C17</f>
        <v>Broadcom</v>
      </c>
      <c r="C8" s="493" t="str">
        <f>'📈 PORTEFEUILLE'!D17</f>
        <v>Action</v>
      </c>
      <c r="D8" s="494" t="str">
        <f>'📈 PORTEFEUILLE'!E17</f>
        <v>T1</v>
      </c>
      <c r="E8" s="495" t="str">
        <f>'📈 PORTEFEUILLE'!F17</f>
        <v>TFSA</v>
      </c>
      <c r="F8" s="496">
        <f>'📈 PORTEFEUILLE'!G17</f>
        <v>16.5743</v>
      </c>
      <c r="G8" s="497">
        <f>'📈 PORTEFEUILLE'!I17</f>
        <v>436.816744</v>
      </c>
      <c r="H8" s="520" t="str">
        <f>'📈 PORTEFEUILLE'!K17</f>
        <v>USD</v>
      </c>
      <c r="I8" s="497">
        <f>'📈 PORTEFEUILLE'!I17</f>
        <v>436.816744</v>
      </c>
      <c r="J8" s="499">
        <f>'📈 PORTEFEUILLE'!L17</f>
        <v>7239.93176</v>
      </c>
      <c r="K8" s="500">
        <f>IFERROR('📈 PORTEFEUILLE'!G17*'📈 PORTEFEUILLE'!H17,0)</f>
        <v>5671.050886</v>
      </c>
      <c r="L8" s="521">
        <f>'📈 PORTEFEUILLE'!N17</f>
        <v>1568.880874</v>
      </c>
      <c r="M8" s="522">
        <f>'📈 PORTEFEUILLE'!O17</f>
        <v>0.2766472926</v>
      </c>
      <c r="N8" s="503">
        <f>'📈 PORTEFEUILLE'!P17</f>
        <v>0.08479040393</v>
      </c>
      <c r="O8" s="504">
        <v>0.012</v>
      </c>
      <c r="P8" s="497">
        <v>91.446738847338</v>
      </c>
      <c r="Q8" s="497">
        <v>7.6205615706115</v>
      </c>
      <c r="R8" s="492" t="str">
        <f>'📈 PORTEFEUILLE'!Q17</f>
        <v>✅ Accumuler</v>
      </c>
    </row>
    <row r="9" ht="15.75" customHeight="1">
      <c r="A9" s="519" t="str">
        <f>'📈 PORTEFEUILLE'!B22</f>
        <v>GEV</v>
      </c>
      <c r="B9" s="492" t="str">
        <f>'📈 PORTEFEUILLE'!C22</f>
        <v>GE Vernova</v>
      </c>
      <c r="C9" s="493" t="str">
        <f>'📈 PORTEFEUILLE'!D22</f>
        <v>Action</v>
      </c>
      <c r="D9" s="494" t="str">
        <f>'📈 PORTEFEUILLE'!E22</f>
        <v>T1</v>
      </c>
      <c r="E9" s="495" t="str">
        <f>'📈 PORTEFEUILLE'!F22</f>
        <v>TFSA</v>
      </c>
      <c r="F9" s="496">
        <f>'📈 PORTEFEUILLE'!G22</f>
        <v>2.4431</v>
      </c>
      <c r="G9" s="497">
        <f>'📈 PORTEFEUILLE'!I22</f>
        <v>1091.526618</v>
      </c>
      <c r="H9" s="520" t="str">
        <f>'📈 PORTEFEUILLE'!K22</f>
        <v>USD</v>
      </c>
      <c r="I9" s="497">
        <f>'📈 PORTEFEUILLE'!I22</f>
        <v>1091.526618</v>
      </c>
      <c r="J9" s="499">
        <f>'📈 PORTEFEUILLE'!L22</f>
        <v>2666.70868</v>
      </c>
      <c r="K9" s="500">
        <f>IFERROR('📈 PORTEFEUILLE'!G22*'📈 PORTEFEUILLE'!H22,0)</f>
        <v>2032.636479</v>
      </c>
      <c r="L9" s="501">
        <f>'📈 PORTEFEUILLE'!N22</f>
        <v>634.0722013</v>
      </c>
      <c r="M9" s="502">
        <f>'📈 PORTEFEUILLE'!O22</f>
        <v>0.311945696</v>
      </c>
      <c r="N9" s="503">
        <f>'📈 PORTEFEUILLE'!P22</f>
        <v>0.03123113776</v>
      </c>
      <c r="O9" s="504">
        <v>0.003</v>
      </c>
      <c r="P9" s="497">
        <v>8.35367081934</v>
      </c>
      <c r="Q9" s="497">
        <v>0.696139234945</v>
      </c>
      <c r="R9" s="492" t="str">
        <f>'📈 PORTEFEUILLE'!Q22</f>
        <v>✅ Accumuler</v>
      </c>
    </row>
    <row r="10" ht="15.75" customHeight="1">
      <c r="A10" s="519" t="str">
        <f>'📈 PORTEFEUILLE'!B62</f>
        <v>SCHD</v>
      </c>
      <c r="B10" s="492" t="str">
        <f>'📈 PORTEFEUILLE'!C62</f>
        <v>Schwab US Div</v>
      </c>
      <c r="C10" s="493" t="str">
        <f>'📈 PORTEFEUILLE'!D62</f>
        <v>ETF</v>
      </c>
      <c r="D10" s="494" t="str">
        <f>'📈 PORTEFEUILLE'!E62</f>
        <v>T1</v>
      </c>
      <c r="E10" s="523" t="str">
        <f>'📈 PORTEFEUILLE'!F62</f>
        <v>REER</v>
      </c>
      <c r="F10" s="496">
        <f>'📈 PORTEFEUILLE'!G62</f>
        <v>64.3053</v>
      </c>
      <c r="G10" s="497">
        <f>'📈 PORTEFEUILLE'!I62</f>
        <v>41.76172</v>
      </c>
      <c r="H10" s="520" t="str">
        <f>'📈 PORTEFEUILLE'!K62</f>
        <v>USD</v>
      </c>
      <c r="I10" s="497">
        <f>'📈 PORTEFEUILLE'!I62</f>
        <v>41.76172</v>
      </c>
      <c r="J10" s="499">
        <f>'📈 PORTEFEUILLE'!L62</f>
        <v>2685.499933</v>
      </c>
      <c r="K10" s="500">
        <f>IFERROR('📈 PORTEFEUILLE'!G62*'📈 PORTEFEUILLE'!H62,0)</f>
        <v>1639.836594</v>
      </c>
      <c r="L10" s="501">
        <f>'📈 PORTEFEUILLE'!N62</f>
        <v>1045.663339</v>
      </c>
      <c r="M10" s="502">
        <f>'📈 PORTEFEUILLE'!O62</f>
        <v>0</v>
      </c>
      <c r="N10" s="503">
        <f>'📈 PORTEFEUILLE'!P62</f>
        <v>0</v>
      </c>
      <c r="O10" s="504">
        <v>0.035</v>
      </c>
      <c r="P10" s="497">
        <v>94.4367042027675</v>
      </c>
      <c r="Q10" s="497">
        <v>7.86972535023063</v>
      </c>
      <c r="R10" s="492" t="str">
        <f>'📈 PORTEFEUILLE'!Q62</f>
        <v>✅ REER débloqué · accumuler $2,000/mois · snowball ARC +$1,060</v>
      </c>
    </row>
    <row r="11" ht="15.75" customHeight="1">
      <c r="A11" s="491" t="str">
        <f>'📈 PORTEFEUILLE'!B47</f>
        <v>VFV.TO</v>
      </c>
      <c r="B11" s="492" t="str">
        <f>'📈 PORTEFEUILLE'!C47</f>
        <v>Vanguard S&amp;P 500</v>
      </c>
      <c r="C11" s="493" t="str">
        <f>'📈 PORTEFEUILLE'!D47</f>
        <v>ETF</v>
      </c>
      <c r="D11" s="494" t="str">
        <f>'📈 PORTEFEUILLE'!E47</f>
        <v>T1</v>
      </c>
      <c r="E11" s="494" t="str">
        <f>'📈 PORTEFEUILLE'!F47</f>
        <v>FHSA</v>
      </c>
      <c r="F11" s="496">
        <f>'📈 PORTEFEUILLE'!G47</f>
        <v>16</v>
      </c>
      <c r="G11" s="497">
        <f>'📈 PORTEFEUILLE'!I47</f>
        <v>161.8</v>
      </c>
      <c r="H11" s="498" t="str">
        <f>'📈 PORTEFEUILLE'!K47</f>
        <v>CAD</v>
      </c>
      <c r="I11" s="497">
        <f>'📈 PORTEFEUILLE'!I47</f>
        <v>161.8</v>
      </c>
      <c r="J11" s="499">
        <f>'📈 PORTEFEUILLE'!L47</f>
        <v>2588.8</v>
      </c>
      <c r="K11" s="500">
        <f>IFERROR('📈 PORTEFEUILLE'!G47*'📈 PORTEFEUILLE'!H47,0)</f>
        <v>2518.0992</v>
      </c>
      <c r="L11" s="501">
        <f>'📈 PORTEFEUILLE'!N47</f>
        <v>70.7008</v>
      </c>
      <c r="M11" s="502">
        <f>'📈 PORTEFEUILLE'!O47</f>
        <v>0</v>
      </c>
      <c r="N11" s="503">
        <f>'📈 PORTEFEUILLE'!P47</f>
        <v>0</v>
      </c>
      <c r="O11" s="504">
        <v>0.0092</v>
      </c>
      <c r="P11" s="497">
        <v>24.073088</v>
      </c>
      <c r="Q11" s="497">
        <v>2.00609066666667</v>
      </c>
      <c r="R11" s="492" t="str">
        <f>'📈 PORTEFEUILLE'!Q47</f>
        <v>✅ Achat auto $2,500/mois</v>
      </c>
    </row>
    <row r="12" ht="15.75" customHeight="1">
      <c r="A12" s="519" t="str">
        <f>'📈 PORTEFEUILLE'!B16</f>
        <v>GOOG</v>
      </c>
      <c r="B12" s="492" t="str">
        <f>'📈 PORTEFEUILLE'!C16</f>
        <v>Alphabet</v>
      </c>
      <c r="C12" s="493" t="str">
        <f>'📈 PORTEFEUILLE'!D16</f>
        <v>Action</v>
      </c>
      <c r="D12" s="494" t="str">
        <f>'📈 PORTEFEUILLE'!E16</f>
        <v>T1</v>
      </c>
      <c r="E12" s="495" t="str">
        <f>'📈 PORTEFEUILLE'!F16</f>
        <v>TFSA</v>
      </c>
      <c r="F12" s="496">
        <f>'📈 PORTEFEUILLE'!G16</f>
        <v>6</v>
      </c>
      <c r="G12" s="497">
        <f>'📈 PORTEFEUILLE'!I16</f>
        <v>408.749614</v>
      </c>
      <c r="H12" s="520" t="str">
        <f>'📈 PORTEFEUILLE'!K16</f>
        <v>USD</v>
      </c>
      <c r="I12" s="497">
        <f>'📈 PORTEFEUILLE'!I16</f>
        <v>408.749614</v>
      </c>
      <c r="J12" s="499">
        <f>'📈 PORTEFEUILLE'!L16</f>
        <v>2452.497684</v>
      </c>
      <c r="K12" s="500">
        <f>IFERROR('📈 PORTEFEUILLE'!G16*'📈 PORTEFEUILLE'!H16,0)</f>
        <v>543.6354</v>
      </c>
      <c r="L12" s="501">
        <f>'📈 PORTEFEUILLE'!N16</f>
        <v>1908.862284</v>
      </c>
      <c r="M12" s="502">
        <f>'📈 PORTEFEUILLE'!O16</f>
        <v>3.511291362</v>
      </c>
      <c r="N12" s="503">
        <f>'📈 PORTEFEUILLE'!P16</f>
        <v>0.02872240736</v>
      </c>
      <c r="O12" s="504">
        <v>0.005</v>
      </c>
      <c r="P12" s="497">
        <v>12.46286832</v>
      </c>
      <c r="Q12" s="497">
        <v>1.03857236</v>
      </c>
      <c r="R12" s="492" t="str">
        <f>'📈 PORTEFEUILLE'!Q16</f>
        <v>✅ Accumuler</v>
      </c>
    </row>
    <row r="13" ht="15.75" customHeight="1">
      <c r="A13" s="505" t="str">
        <f>'📈 PORTEFEUILLE'!B30</f>
        <v>ZLB.TO</v>
      </c>
      <c r="B13" s="506" t="str">
        <f>'📈 PORTEFEUILLE'!C30</f>
        <v>BMO Low Vol</v>
      </c>
      <c r="C13" s="507" t="str">
        <f>'📈 PORTEFEUILLE'!D30</f>
        <v>ETF</v>
      </c>
      <c r="D13" s="508" t="str">
        <f>'📈 PORTEFEUILLE'!E30</f>
        <v>T3</v>
      </c>
      <c r="E13" s="509" t="str">
        <f>'📈 PORTEFEUILLE'!F30</f>
        <v>TFSA</v>
      </c>
      <c r="F13" s="510">
        <f>'📈 PORTEFEUILLE'!G30</f>
        <v>37</v>
      </c>
      <c r="G13" s="511">
        <f>'📈 PORTEFEUILLE'!I30</f>
        <v>59.04</v>
      </c>
      <c r="H13" s="512" t="str">
        <f>'📈 PORTEFEUILLE'!K30</f>
        <v>CAD</v>
      </c>
      <c r="I13" s="511">
        <f>'📈 PORTEFEUILLE'!I30</f>
        <v>59.04</v>
      </c>
      <c r="J13" s="513">
        <f>'📈 PORTEFEUILLE'!L30</f>
        <v>2184.48</v>
      </c>
      <c r="K13" s="514">
        <f>IFERROR('📈 PORTEFEUILLE'!G30*'📈 PORTEFEUILLE'!H30,0)</f>
        <v>2151.2392</v>
      </c>
      <c r="L13" s="515">
        <f>'📈 PORTEFEUILLE'!N30</f>
        <v>33.2408</v>
      </c>
      <c r="M13" s="516">
        <f>'📈 PORTEFEUILLE'!O30</f>
        <v>0.01545193115</v>
      </c>
      <c r="N13" s="517">
        <f>'📈 PORTEFEUILLE'!P30</f>
        <v>0.02558352036</v>
      </c>
      <c r="O13" s="518">
        <v>0.024</v>
      </c>
      <c r="P13" s="511">
        <v>52.40088</v>
      </c>
      <c r="Q13" s="511">
        <v>4.36674</v>
      </c>
      <c r="R13" s="506" t="str">
        <f>'📈 PORTEFEUILLE'!Q30</f>
        <v>🔵 Garder</v>
      </c>
    </row>
    <row r="14" ht="15.75" customHeight="1">
      <c r="A14" s="519" t="str">
        <f>'📈 PORTEFEUILLE'!B18</f>
        <v>AMZN</v>
      </c>
      <c r="B14" s="492" t="str">
        <f>'📈 PORTEFEUILLE'!C18</f>
        <v>Amazon</v>
      </c>
      <c r="C14" s="493" t="str">
        <f>'📈 PORTEFEUILLE'!D18</f>
        <v>Action</v>
      </c>
      <c r="D14" s="494" t="str">
        <f>'📈 PORTEFEUILLE'!E18</f>
        <v>T1</v>
      </c>
      <c r="E14" s="495" t="str">
        <f>'📈 PORTEFEUILLE'!F18</f>
        <v>TFSA</v>
      </c>
      <c r="F14" s="496">
        <f>'📈 PORTEFEUILLE'!G18</f>
        <v>7.4817</v>
      </c>
      <c r="G14" s="497">
        <f>'📈 PORTEFEUILLE'!I18</f>
        <v>281.579753</v>
      </c>
      <c r="H14" s="520" t="str">
        <f>'📈 PORTEFEUILLE'!K18</f>
        <v>USD</v>
      </c>
      <c r="I14" s="497">
        <f>'📈 PORTEFEUILLE'!I18</f>
        <v>281.579753</v>
      </c>
      <c r="J14" s="499">
        <f>'📈 PORTEFEUILLE'!L18</f>
        <v>2106.695238</v>
      </c>
      <c r="K14" s="500">
        <f>IFERROR('📈 PORTEFEUILLE'!G18*'📈 PORTEFEUILLE'!H18,0)</f>
        <v>850.9513501</v>
      </c>
      <c r="L14" s="501">
        <f>'📈 PORTEFEUILLE'!N18</f>
        <v>1255.743888</v>
      </c>
      <c r="M14" s="502">
        <f>'📈 PORTEFEUILLE'!O18</f>
        <v>1.475694101</v>
      </c>
      <c r="N14" s="503">
        <f>'📈 PORTEFEUILLE'!P18</f>
        <v>0.02467254473</v>
      </c>
      <c r="O14" s="504">
        <v>0.0</v>
      </c>
      <c r="P14" s="497">
        <v>0.0</v>
      </c>
      <c r="Q14" s="497">
        <v>0.0</v>
      </c>
      <c r="R14" s="492" t="str">
        <f>'📈 PORTEFEUILLE'!Q18</f>
        <v>✅ Accumuler</v>
      </c>
    </row>
    <row r="15" ht="15.75" customHeight="1">
      <c r="A15" s="519" t="str">
        <f>'📈 PORTEFEUILLE'!B48</f>
        <v>AMZN</v>
      </c>
      <c r="B15" s="492" t="str">
        <f>'📈 PORTEFEUILLE'!C48</f>
        <v>Amazon</v>
      </c>
      <c r="C15" s="493" t="str">
        <f>'📈 PORTEFEUILLE'!D48</f>
        <v>Action</v>
      </c>
      <c r="D15" s="494" t="str">
        <f>'📈 PORTEFEUILLE'!E48</f>
        <v>T1</v>
      </c>
      <c r="E15" s="494" t="str">
        <f>'📈 PORTEFEUILLE'!F48</f>
        <v>FHSA</v>
      </c>
      <c r="F15" s="496">
        <f>'📈 PORTEFEUILLE'!G48</f>
        <v>7</v>
      </c>
      <c r="G15" s="497">
        <f>'📈 PORTEFEUILLE'!I48</f>
        <v>281.579753</v>
      </c>
      <c r="H15" s="520" t="str">
        <f>'📈 PORTEFEUILLE'!K48</f>
        <v>USD</v>
      </c>
      <c r="I15" s="497">
        <f>'📈 PORTEFEUILLE'!I48</f>
        <v>281.579753</v>
      </c>
      <c r="J15" s="499">
        <f>'📈 PORTEFEUILLE'!L48</f>
        <v>1971.058271</v>
      </c>
      <c r="K15" s="500">
        <f>IFERROR('📈 PORTEFEUILLE'!G48*'📈 PORTEFEUILLE'!H48,0)</f>
        <v>1084.5926</v>
      </c>
      <c r="L15" s="501">
        <f>'📈 PORTEFEUILLE'!N48</f>
        <v>886.465671</v>
      </c>
      <c r="M15" s="502">
        <f>'📈 PORTEFEUILLE'!O48</f>
        <v>0.02807705113</v>
      </c>
      <c r="N15" s="503">
        <f>'📈 PORTEFEUILLE'!P48</f>
        <v>0.03031871086</v>
      </c>
      <c r="O15" s="504">
        <v>0.0</v>
      </c>
      <c r="P15" s="497">
        <v>0.0</v>
      </c>
      <c r="Q15" s="497">
        <v>0.0</v>
      </c>
      <c r="R15" s="492" t="str">
        <f>'📈 PORTEFEUILLE'!Q48</f>
        <v>✅ Garder</v>
      </c>
    </row>
    <row r="16" ht="15.75" customHeight="1">
      <c r="A16" s="505" t="str">
        <f>'📈 PORTEFEUILLE'!B51</f>
        <v>TD.TO</v>
      </c>
      <c r="B16" s="506" t="str">
        <f>'📈 PORTEFEUILLE'!C51</f>
        <v>TD Bank</v>
      </c>
      <c r="C16" s="507" t="str">
        <f>'📈 PORTEFEUILLE'!D51</f>
        <v>Action</v>
      </c>
      <c r="D16" s="508" t="str">
        <f>'📈 PORTEFEUILLE'!E51</f>
        <v>T3</v>
      </c>
      <c r="E16" s="524" t="str">
        <f>'📈 PORTEFEUILLE'!F51</f>
        <v>FHSA</v>
      </c>
      <c r="F16" s="510">
        <f>'📈 PORTEFEUILLE'!G51</f>
        <v>15</v>
      </c>
      <c r="G16" s="511">
        <f>'📈 PORTEFEUILLE'!I51</f>
        <v>128.05</v>
      </c>
      <c r="H16" s="512" t="str">
        <f>'📈 PORTEFEUILLE'!K51</f>
        <v>CAD</v>
      </c>
      <c r="I16" s="511">
        <f>'📈 PORTEFEUILLE'!I51</f>
        <v>128.05</v>
      </c>
      <c r="J16" s="513">
        <f>'📈 PORTEFEUILLE'!L51</f>
        <v>1920.75</v>
      </c>
      <c r="K16" s="514">
        <f>IFERROR('📈 PORTEFEUILLE'!G51*'📈 PORTEFEUILLE'!H51,0)</f>
        <v>1234.35</v>
      </c>
      <c r="L16" s="515">
        <f>'📈 PORTEFEUILLE'!N51</f>
        <v>686.4</v>
      </c>
      <c r="M16" s="516">
        <f>'📈 PORTEFEUILLE'!O51</f>
        <v>-0.005242136795</v>
      </c>
      <c r="N16" s="517">
        <f>'📈 PORTEFEUILLE'!P51</f>
        <v>0.007000544429</v>
      </c>
      <c r="O16" s="518">
        <v>0.048</v>
      </c>
      <c r="P16" s="511">
        <v>93.8232</v>
      </c>
      <c r="Q16" s="511">
        <v>7.8186</v>
      </c>
      <c r="R16" s="506" t="str">
        <f>'📈 PORTEFEUILLE'!Q51</f>
        <v>🔵 Garder</v>
      </c>
    </row>
    <row r="17" ht="15.75" customHeight="1">
      <c r="A17" s="525" t="str">
        <f>'📈 PORTEFEUILLE'!B37</f>
        <v>XEI.TO</v>
      </c>
      <c r="B17" s="526" t="str">
        <f>'📈 PORTEFEUILLE'!C37</f>
        <v>iShares High Div</v>
      </c>
      <c r="C17" s="527" t="str">
        <f>'📈 PORTEFEUILLE'!D37</f>
        <v>ETF</v>
      </c>
      <c r="D17" s="528" t="str">
        <f>'📈 PORTEFEUILLE'!E37</f>
        <v>T4</v>
      </c>
      <c r="E17" s="529" t="str">
        <f>'📈 PORTEFEUILLE'!F37</f>
        <v>TFSA</v>
      </c>
      <c r="F17" s="530">
        <f>'📈 PORTEFEUILLE'!G37</f>
        <v>51</v>
      </c>
      <c r="G17" s="531">
        <f>'📈 PORTEFEUILLE'!I37</f>
        <v>35.89</v>
      </c>
      <c r="H17" s="532" t="str">
        <f>'📈 PORTEFEUILLE'!K37</f>
        <v>CAD</v>
      </c>
      <c r="I17" s="531">
        <f>'📈 PORTEFEUILLE'!I37</f>
        <v>35.89</v>
      </c>
      <c r="J17" s="533">
        <f>'📈 PORTEFEUILLE'!L37</f>
        <v>1830.39</v>
      </c>
      <c r="K17" s="534">
        <f>IFERROR('📈 PORTEFEUILLE'!G37*'📈 PORTEFEUILLE'!H37,0)</f>
        <v>1564.7361</v>
      </c>
      <c r="L17" s="535">
        <f>'📈 PORTEFEUILLE'!N37</f>
        <v>265.6539</v>
      </c>
      <c r="M17" s="536">
        <f>'📈 PORTEFEUILLE'!O37</f>
        <v>0.1697755296</v>
      </c>
      <c r="N17" s="537">
        <f>'📈 PORTEFEUILLE'!P37</f>
        <v>0.02143659811</v>
      </c>
      <c r="O17" s="538">
        <v>0.055</v>
      </c>
      <c r="P17" s="531">
        <v>100.1385</v>
      </c>
      <c r="Q17" s="531">
        <v>8.344875</v>
      </c>
      <c r="R17" s="526" t="str">
        <f>'📈 PORTEFEUILLE'!Q37</f>
        <v>🔄 Diluer</v>
      </c>
    </row>
    <row r="18" ht="15.75" customHeight="1">
      <c r="A18" s="539" t="str">
        <f>'📈 PORTEFEUILLE'!B49</f>
        <v>QQQM</v>
      </c>
      <c r="B18" s="540" t="str">
        <f>'📈 PORTEFEUILLE'!C49</f>
        <v>Invesco Nasdaq100</v>
      </c>
      <c r="C18" s="541" t="str">
        <f>'📈 PORTEFEUILLE'!D49</f>
        <v>ETF</v>
      </c>
      <c r="D18" s="542" t="str">
        <f>'📈 PORTEFEUILLE'!E49</f>
        <v>T2</v>
      </c>
      <c r="E18" s="543" t="str">
        <f>'📈 PORTEFEUILLE'!F49</f>
        <v>FHSA</v>
      </c>
      <c r="F18" s="544">
        <f>'📈 PORTEFEUILLE'!G49</f>
        <v>5.311</v>
      </c>
      <c r="G18" s="545">
        <f>'📈 PORTEFEUILLE'!I49</f>
        <v>331.449755</v>
      </c>
      <c r="H18" s="546" t="str">
        <f>'📈 PORTEFEUILLE'!K49</f>
        <v>USD</v>
      </c>
      <c r="I18" s="545">
        <f>'📈 PORTEFEUILLE'!I49</f>
        <v>331.449755</v>
      </c>
      <c r="J18" s="547">
        <f>'📈 PORTEFEUILLE'!L49</f>
        <v>1760.329649</v>
      </c>
      <c r="K18" s="548">
        <f>IFERROR('📈 PORTEFEUILLE'!G49*'📈 PORTEFEUILLE'!H49,0)</f>
        <v>1313.97539</v>
      </c>
      <c r="L18" s="549">
        <f>'📈 PORTEFEUILLE'!N49</f>
        <v>446.3542584</v>
      </c>
      <c r="M18" s="550">
        <f>'📈 PORTEFEUILLE'!O49</f>
        <v>0.8173259443</v>
      </c>
      <c r="N18" s="551">
        <f>'📈 PORTEFEUILLE'!P49</f>
        <v>0.02308403346</v>
      </c>
      <c r="O18" s="552">
        <v>0.006</v>
      </c>
      <c r="P18" s="545">
        <v>10.750288394664</v>
      </c>
      <c r="Q18" s="545">
        <v>0.895857366222</v>
      </c>
      <c r="R18" s="540" t="str">
        <f>'📈 PORTEFEUILLE'!Q49</f>
        <v>✅ Migration ZQQ ✅</v>
      </c>
    </row>
    <row r="19" ht="15.75" customHeight="1">
      <c r="A19" s="525" t="str">
        <f>'📈 PORTEFEUILLE'!B54</f>
        <v>SRU.UN.TO</v>
      </c>
      <c r="B19" s="526" t="str">
        <f>'📈 PORTEFEUILLE'!C54</f>
        <v>SmartCentres</v>
      </c>
      <c r="C19" s="527" t="str">
        <f>'📈 PORTEFEUILLE'!D54</f>
        <v>REIT</v>
      </c>
      <c r="D19" s="528" t="str">
        <f>'📈 PORTEFEUILLE'!E54</f>
        <v>T4</v>
      </c>
      <c r="E19" s="553" t="str">
        <f>'📈 PORTEFEUILLE'!F54</f>
        <v>FHSA</v>
      </c>
      <c r="F19" s="530">
        <f>'📈 PORTEFEUILLE'!G54</f>
        <v>63</v>
      </c>
      <c r="G19" s="531">
        <f>'📈 PORTEFEUILLE'!I54</f>
        <v>26.84</v>
      </c>
      <c r="H19" s="532" t="str">
        <f>'📈 PORTEFEUILLE'!K54</f>
        <v>CAD</v>
      </c>
      <c r="I19" s="531">
        <f>'📈 PORTEFEUILLE'!I54</f>
        <v>26.84</v>
      </c>
      <c r="J19" s="533">
        <f>'📈 PORTEFEUILLE'!L54</f>
        <v>1690.92</v>
      </c>
      <c r="K19" s="534">
        <f>IFERROR('📈 PORTEFEUILLE'!G54*'📈 PORTEFEUILLE'!H54,0)</f>
        <v>1487.43</v>
      </c>
      <c r="L19" s="535">
        <f>'📈 PORTEFEUILLE'!N54</f>
        <v>203.49</v>
      </c>
      <c r="M19" s="536">
        <f>'📈 PORTEFEUILLE'!O54</f>
        <v>-0.0004503391087</v>
      </c>
      <c r="N19" s="537">
        <f>'📈 PORTEFEUILLE'!P54</f>
        <v>0.002074339489</v>
      </c>
      <c r="O19" s="538">
        <v>0.072</v>
      </c>
      <c r="P19" s="531">
        <v>121.338</v>
      </c>
      <c r="Q19" s="531">
        <v>10.1115</v>
      </c>
      <c r="R19" s="526" t="str">
        <f>'📈 PORTEFEUILLE'!Q54</f>
        <v>🔄 Diluer</v>
      </c>
    </row>
    <row r="20" ht="15.75" customHeight="1">
      <c r="A20" s="525" t="str">
        <f>'📈 PORTEFEUILLE'!B55</f>
        <v>REI.UN.TO</v>
      </c>
      <c r="B20" s="526" t="str">
        <f>'📈 PORTEFEUILLE'!C55</f>
        <v>RioCan REIT</v>
      </c>
      <c r="C20" s="527" t="str">
        <f>'📈 PORTEFEUILLE'!D55</f>
        <v>REIT</v>
      </c>
      <c r="D20" s="528" t="str">
        <f>'📈 PORTEFEUILLE'!E55</f>
        <v>T4</v>
      </c>
      <c r="E20" s="553" t="str">
        <f>'📈 PORTEFEUILLE'!F55</f>
        <v>FHSA</v>
      </c>
      <c r="F20" s="530">
        <f>'📈 PORTEFEUILLE'!G55</f>
        <v>80</v>
      </c>
      <c r="G20" s="531">
        <f>'📈 PORTEFEUILLE'!I55</f>
        <v>19.02</v>
      </c>
      <c r="H20" s="532" t="str">
        <f>'📈 PORTEFEUILLE'!K55</f>
        <v>CAD</v>
      </c>
      <c r="I20" s="531">
        <f>'📈 PORTEFEUILLE'!I55</f>
        <v>19.02</v>
      </c>
      <c r="J20" s="533">
        <f>'📈 PORTEFEUILLE'!L55</f>
        <v>1521.6</v>
      </c>
      <c r="K20" s="534">
        <f>IFERROR('📈 PORTEFEUILLE'!G55*'📈 PORTEFEUILLE'!H55,0)</f>
        <v>1498.4</v>
      </c>
      <c r="L20" s="535">
        <f>'📈 PORTEFEUILLE'!N55</f>
        <v>23.2</v>
      </c>
      <c r="M20" s="536">
        <f>'📈 PORTEFEUILLE'!O55</f>
        <v>0.136806438</v>
      </c>
      <c r="N20" s="537">
        <f>'📈 PORTEFEUILLE'!P55</f>
        <v>0.0198031963</v>
      </c>
      <c r="O20" s="538">
        <v>0.056</v>
      </c>
      <c r="P20" s="531">
        <v>85.5232</v>
      </c>
      <c r="Q20" s="531">
        <v>7.12693333333333</v>
      </c>
      <c r="R20" s="526" t="str">
        <f>'📈 PORTEFEUILLE'!Q55</f>
        <v>🔄 Diluer</v>
      </c>
    </row>
    <row r="21" ht="15.75" customHeight="1">
      <c r="A21" s="525" t="str">
        <f>'📈 PORTEFEUILLE'!B38</f>
        <v>SRU.UN.TO</v>
      </c>
      <c r="B21" s="526" t="str">
        <f>'📈 PORTEFEUILLE'!C38</f>
        <v>SmartCentres</v>
      </c>
      <c r="C21" s="527" t="str">
        <f>'📈 PORTEFEUILLE'!D38</f>
        <v>REIT</v>
      </c>
      <c r="D21" s="528" t="str">
        <f>'📈 PORTEFEUILLE'!E38</f>
        <v>T4</v>
      </c>
      <c r="E21" s="529" t="str">
        <f>'📈 PORTEFEUILLE'!F38</f>
        <v>TFSA</v>
      </c>
      <c r="F21" s="530">
        <f>'📈 PORTEFEUILLE'!G38</f>
        <v>57</v>
      </c>
      <c r="G21" s="531">
        <f>'📈 PORTEFEUILLE'!I38</f>
        <v>26.84</v>
      </c>
      <c r="H21" s="532" t="str">
        <f>'📈 PORTEFEUILLE'!K38</f>
        <v>CAD</v>
      </c>
      <c r="I21" s="531">
        <f>'📈 PORTEFEUILLE'!I38</f>
        <v>26.84</v>
      </c>
      <c r="J21" s="533">
        <f>'📈 PORTEFEUILLE'!L38</f>
        <v>1529.88</v>
      </c>
      <c r="K21" s="534">
        <f>IFERROR('📈 PORTEFEUILLE'!G38*'📈 PORTEFEUILLE'!H38,0)</f>
        <v>1439.4951</v>
      </c>
      <c r="L21" s="535">
        <f>'📈 PORTEFEUILLE'!N38</f>
        <v>90.3849</v>
      </c>
      <c r="M21" s="536">
        <f>'📈 PORTEFEUILLE'!O38</f>
        <v>0.06278930717</v>
      </c>
      <c r="N21" s="537">
        <f>'📈 PORTEFEUILLE'!P38</f>
        <v>0.0179171776</v>
      </c>
      <c r="O21" s="538">
        <v>0.072</v>
      </c>
      <c r="P21" s="531">
        <v>109.782</v>
      </c>
      <c r="Q21" s="531">
        <v>9.1485</v>
      </c>
      <c r="R21" s="526" t="str">
        <f>'📈 PORTEFEUILLE'!Q38</f>
        <v>🔄 Diluer</v>
      </c>
    </row>
    <row r="22" ht="15.75" customHeight="1">
      <c r="A22" s="539" t="str">
        <f>'📈 PORTEFEUILLE'!B26</f>
        <v>QQQM</v>
      </c>
      <c r="B22" s="540" t="str">
        <f>'📈 PORTEFEUILLE'!C26</f>
        <v>Invesco Nasdaq100</v>
      </c>
      <c r="C22" s="541" t="str">
        <f>'📈 PORTEFEUILLE'!D26</f>
        <v>ETF</v>
      </c>
      <c r="D22" s="542" t="str">
        <f>'📈 PORTEFEUILLE'!E26</f>
        <v>T2</v>
      </c>
      <c r="E22" s="554" t="str">
        <f>'📈 PORTEFEUILLE'!F26</f>
        <v>TFSA</v>
      </c>
      <c r="F22" s="544">
        <f>'📈 PORTEFEUILLE'!G26</f>
        <v>4.4515</v>
      </c>
      <c r="G22" s="545">
        <f>'📈 PORTEFEUILLE'!I26</f>
        <v>331.449755</v>
      </c>
      <c r="H22" s="546" t="str">
        <f>'📈 PORTEFEUILLE'!K26</f>
        <v>USD</v>
      </c>
      <c r="I22" s="545">
        <f>'📈 PORTEFEUILLE'!I26</f>
        <v>331.449755</v>
      </c>
      <c r="J22" s="547">
        <f>'📈 PORTEFEUILLE'!L26</f>
        <v>1475.448584</v>
      </c>
      <c r="K22" s="548">
        <f>IFERROR('📈 PORTEFEUILLE'!G26*'📈 PORTEFEUILLE'!H26,0)</f>
        <v>1099.99592</v>
      </c>
      <c r="L22" s="549">
        <f>'📈 PORTEFEUILLE'!N26</f>
        <v>375.4526642</v>
      </c>
      <c r="M22" s="550">
        <f>'📈 PORTEFEUILLE'!O26</f>
        <v>0.3413218697</v>
      </c>
      <c r="N22" s="551">
        <f>'📈 PORTEFEUILLE'!P26</f>
        <v>0.0172797045</v>
      </c>
      <c r="O22" s="552">
        <v>0.006</v>
      </c>
      <c r="P22" s="545">
        <v>9.010526979636</v>
      </c>
      <c r="Q22" s="545">
        <v>0.750877248303</v>
      </c>
      <c r="R22" s="540" t="str">
        <f>'📈 PORTEFEUILLE'!Q26</f>
        <v>✅ Migration ZQQ ✅</v>
      </c>
    </row>
    <row r="23" ht="15.75" customHeight="1">
      <c r="A23" s="505" t="str">
        <f>'📈 PORTEFEUILLE'!B31</f>
        <v>H.TO</v>
      </c>
      <c r="B23" s="506" t="str">
        <f>'📈 PORTEFEUILLE'!C31</f>
        <v>Hydro One</v>
      </c>
      <c r="C23" s="507" t="str">
        <f>'📈 PORTEFEUILLE'!D31</f>
        <v>Action</v>
      </c>
      <c r="D23" s="508" t="str">
        <f>'📈 PORTEFEUILLE'!E31</f>
        <v>T3</v>
      </c>
      <c r="E23" s="509" t="str">
        <f>'📈 PORTEFEUILLE'!F31</f>
        <v>TFSA</v>
      </c>
      <c r="F23" s="510">
        <f>'📈 PORTEFEUILLE'!G31</f>
        <v>22</v>
      </c>
      <c r="G23" s="511">
        <f>'📈 PORTEFEUILLE'!I31</f>
        <v>60.09</v>
      </c>
      <c r="H23" s="512" t="str">
        <f>'📈 PORTEFEUILLE'!K31</f>
        <v>CAD</v>
      </c>
      <c r="I23" s="511">
        <f>'📈 PORTEFEUILLE'!I31</f>
        <v>60.09</v>
      </c>
      <c r="J23" s="513">
        <f>'📈 PORTEFEUILLE'!L31</f>
        <v>1321.98</v>
      </c>
      <c r="K23" s="514">
        <f>IFERROR('📈 PORTEFEUILLE'!G31*'📈 PORTEFEUILLE'!H31,0)</f>
        <v>1163.0586</v>
      </c>
      <c r="L23" s="515">
        <f>'📈 PORTEFEUILLE'!N31</f>
        <v>158.9214</v>
      </c>
      <c r="M23" s="516">
        <f>'📈 PORTEFEUILLE'!O31</f>
        <v>0.1366409225</v>
      </c>
      <c r="N23" s="517">
        <f>'📈 PORTEFEUILLE'!P31</f>
        <v>0.01548235838</v>
      </c>
      <c r="O23" s="518">
        <v>0.03</v>
      </c>
      <c r="P23" s="511">
        <v>38.7222</v>
      </c>
      <c r="Q23" s="511">
        <v>3.22685</v>
      </c>
      <c r="R23" s="506" t="str">
        <f>'📈 PORTEFEUILLE'!Q31</f>
        <v>🔵 Garder</v>
      </c>
    </row>
    <row r="24" ht="15.75" customHeight="1">
      <c r="A24" s="525" t="str">
        <f>'📈 PORTEFEUILLE'!B39</f>
        <v>XIC.TO</v>
      </c>
      <c r="B24" s="526" t="str">
        <f>'📈 PORTEFEUILLE'!C39</f>
        <v>iShares TSX</v>
      </c>
      <c r="C24" s="527" t="str">
        <f>'📈 PORTEFEUILLE'!D39</f>
        <v>ETF</v>
      </c>
      <c r="D24" s="528" t="str">
        <f>'📈 PORTEFEUILLE'!E39</f>
        <v>T4</v>
      </c>
      <c r="E24" s="529" t="str">
        <f>'📈 PORTEFEUILLE'!F39</f>
        <v>TFSA</v>
      </c>
      <c r="F24" s="530">
        <f>'📈 PORTEFEUILLE'!G39</f>
        <v>21</v>
      </c>
      <c r="G24" s="531">
        <f>'📈 PORTEFEUILLE'!I39</f>
        <v>52.08</v>
      </c>
      <c r="H24" s="532" t="str">
        <f>'📈 PORTEFEUILLE'!K39</f>
        <v>CAD</v>
      </c>
      <c r="I24" s="531">
        <f>'📈 PORTEFEUILLE'!I39</f>
        <v>52.08</v>
      </c>
      <c r="J24" s="533">
        <f>'📈 PORTEFEUILLE'!L39</f>
        <v>1093.68</v>
      </c>
      <c r="K24" s="534">
        <f>IFERROR('📈 PORTEFEUILLE'!G39*'📈 PORTEFEUILLE'!H39,0)</f>
        <v>848.5386</v>
      </c>
      <c r="L24" s="535">
        <f>'📈 PORTEFEUILLE'!N39</f>
        <v>245.1414</v>
      </c>
      <c r="M24" s="536">
        <f>'📈 PORTEFEUILLE'!O39</f>
        <v>0.2888983483</v>
      </c>
      <c r="N24" s="537">
        <f>'📈 PORTEFEUILLE'!P39</f>
        <v>0.01280862473</v>
      </c>
      <c r="O24" s="538">
        <v>0.025</v>
      </c>
      <c r="P24" s="531">
        <v>27.8355</v>
      </c>
      <c r="Q24" s="531">
        <v>2.319625</v>
      </c>
      <c r="R24" s="526" t="str">
        <f>'📈 PORTEFEUILLE'!Q39</f>
        <v>🔄 Diluer</v>
      </c>
    </row>
    <row r="25" ht="15.75" customHeight="1">
      <c r="A25" s="539" t="str">
        <f>'📈 PORTEFEUILLE'!B23</f>
        <v>MSFT</v>
      </c>
      <c r="B25" s="540" t="str">
        <f>'📈 PORTEFEUILLE'!C23</f>
        <v>Microsoft</v>
      </c>
      <c r="C25" s="541" t="str">
        <f>'📈 PORTEFEUILLE'!D23</f>
        <v>Action</v>
      </c>
      <c r="D25" s="542" t="str">
        <f>'📈 PORTEFEUILLE'!E23</f>
        <v>T2</v>
      </c>
      <c r="E25" s="554" t="str">
        <f>'📈 PORTEFEUILLE'!F23</f>
        <v>TFSA</v>
      </c>
      <c r="F25" s="544">
        <f>'📈 PORTEFEUILLE'!G23</f>
        <v>2</v>
      </c>
      <c r="G25" s="545">
        <f>'📈 PORTEFEUILLE'!I23</f>
        <v>536.326245</v>
      </c>
      <c r="H25" s="546" t="str">
        <f>'📈 PORTEFEUILLE'!K23</f>
        <v>USD</v>
      </c>
      <c r="I25" s="545">
        <f>'📈 PORTEFEUILLE'!I23</f>
        <v>536.326245</v>
      </c>
      <c r="J25" s="547">
        <f>'📈 PORTEFEUILLE'!L23</f>
        <v>1072.65249</v>
      </c>
      <c r="K25" s="548">
        <f>IFERROR('📈 PORTEFEUILLE'!G23*'📈 PORTEFEUILLE'!H23,0)</f>
        <v>625.1876</v>
      </c>
      <c r="L25" s="549">
        <f>'📈 PORTEFEUILLE'!N23</f>
        <v>447.46489</v>
      </c>
      <c r="M25" s="550">
        <f>'📈 PORTEFEUILLE'!O23</f>
        <v>0.7157289908</v>
      </c>
      <c r="N25" s="551">
        <f>'📈 PORTEFEUILLE'!P23</f>
        <v>0.01256236121</v>
      </c>
      <c r="O25" s="552">
        <v>0.008</v>
      </c>
      <c r="P25" s="545">
        <v>8.751645056</v>
      </c>
      <c r="Q25" s="545">
        <v>0.729303754666667</v>
      </c>
      <c r="R25" s="540" t="str">
        <f>'📈 PORTEFEUILLE'!Q23</f>
        <v>✅ Garder</v>
      </c>
    </row>
    <row r="26" ht="15.75" customHeight="1">
      <c r="A26" s="539" t="str">
        <f>'📈 PORTEFEUILLE'!B25</f>
        <v>TSLA</v>
      </c>
      <c r="B26" s="540" t="str">
        <f>'📈 PORTEFEUILLE'!C25</f>
        <v>Tesla</v>
      </c>
      <c r="C26" s="541" t="str">
        <f>'📈 PORTEFEUILLE'!D25</f>
        <v>Action</v>
      </c>
      <c r="D26" s="542" t="str">
        <f>'📈 PORTEFEUILLE'!E25</f>
        <v>T2</v>
      </c>
      <c r="E26" s="554" t="str">
        <f>'📈 PORTEFEUILLE'!F25</f>
        <v>TFSA</v>
      </c>
      <c r="F26" s="544">
        <f>'📈 PORTEFEUILLE'!G25</f>
        <v>1.8645</v>
      </c>
      <c r="G26" s="545">
        <f>'📈 PORTEFEUILLE'!I25</f>
        <v>530.42808</v>
      </c>
      <c r="H26" s="546" t="str">
        <f>'📈 PORTEFEUILLE'!K25</f>
        <v>USD</v>
      </c>
      <c r="I26" s="545">
        <f>'📈 PORTEFEUILLE'!I25</f>
        <v>530.42808</v>
      </c>
      <c r="J26" s="547">
        <f>'📈 PORTEFEUILLE'!L25</f>
        <v>988.9831552</v>
      </c>
      <c r="K26" s="548">
        <f>IFERROR('📈 PORTEFEUILLE'!G25*'📈 PORTEFEUILLE'!H25,0)</f>
        <v>565.9958238</v>
      </c>
      <c r="L26" s="549">
        <f>'📈 PORTEFEUILLE'!N25</f>
        <v>422.9873314</v>
      </c>
      <c r="M26" s="550">
        <f>'📈 PORTEFEUILLE'!O25</f>
        <v>0.7473329547</v>
      </c>
      <c r="N26" s="551">
        <f>'📈 PORTEFEUILLE'!P25</f>
        <v>0.01158246845</v>
      </c>
      <c r="O26" s="552">
        <v>0.0</v>
      </c>
      <c r="P26" s="545">
        <v>0.0</v>
      </c>
      <c r="Q26" s="545">
        <v>0.0</v>
      </c>
      <c r="R26" s="540" t="str">
        <f>'📈 PORTEFEUILLE'!Q25</f>
        <v>✅ Garder</v>
      </c>
    </row>
    <row r="27" ht="15.75" customHeight="1">
      <c r="A27" s="555" t="str">
        <f>'📈 PORTEFEUILLE'!B27</f>
        <v>XEQT.TO</v>
      </c>
      <c r="B27" s="540" t="str">
        <f>'📈 PORTEFEUILLE'!C27</f>
        <v>iShares Core Eq</v>
      </c>
      <c r="C27" s="541" t="str">
        <f>'📈 PORTEFEUILLE'!D27</f>
        <v>ETF</v>
      </c>
      <c r="D27" s="542" t="str">
        <f>'📈 PORTEFEUILLE'!E27</f>
        <v>T2</v>
      </c>
      <c r="E27" s="554" t="str">
        <f>'📈 PORTEFEUILLE'!F27</f>
        <v>TFSA</v>
      </c>
      <c r="F27" s="544">
        <f>'📈 PORTEFEUILLE'!G27</f>
        <v>25</v>
      </c>
      <c r="G27" s="545">
        <f>'📈 PORTEFEUILLE'!I27</f>
        <v>39.85</v>
      </c>
      <c r="H27" s="556" t="str">
        <f>'📈 PORTEFEUILLE'!K27</f>
        <v>CAD</v>
      </c>
      <c r="I27" s="545">
        <f>'📈 PORTEFEUILLE'!I27</f>
        <v>39.85</v>
      </c>
      <c r="J27" s="547">
        <f>'📈 PORTEFEUILLE'!L27</f>
        <v>996.25</v>
      </c>
      <c r="K27" s="548">
        <f>IFERROR('📈 PORTEFEUILLE'!G27*'📈 PORTEFEUILLE'!H27,0)</f>
        <v>999.25</v>
      </c>
      <c r="L27" s="549">
        <f>'📈 PORTEFEUILLE'!N27</f>
        <v>-3</v>
      </c>
      <c r="M27" s="550">
        <f>'📈 PORTEFEUILLE'!O27</f>
        <v>-0.003002251689</v>
      </c>
      <c r="N27" s="551">
        <f>'📈 PORTEFEUILLE'!P27</f>
        <v>0.01166757405</v>
      </c>
      <c r="O27" s="552">
        <v>0.02</v>
      </c>
      <c r="P27" s="545">
        <v>20.23</v>
      </c>
      <c r="Q27" s="545">
        <v>1.68583333333333</v>
      </c>
      <c r="R27" s="540" t="str">
        <f>'📈 PORTEFEUILLE'!Q27</f>
        <v>✅ Migration ZEQT ✅</v>
      </c>
    </row>
    <row r="28" ht="15.75" customHeight="1">
      <c r="A28" s="525" t="str">
        <f>'📈 PORTEFEUILLE'!B56</f>
        <v>XIC.TO</v>
      </c>
      <c r="B28" s="526" t="str">
        <f>'📈 PORTEFEUILLE'!C56</f>
        <v>iShares TSX</v>
      </c>
      <c r="C28" s="527" t="str">
        <f>'📈 PORTEFEUILLE'!D56</f>
        <v>ETF</v>
      </c>
      <c r="D28" s="528" t="str">
        <f>'📈 PORTEFEUILLE'!E56</f>
        <v>T4</v>
      </c>
      <c r="E28" s="553" t="str">
        <f>'📈 PORTEFEUILLE'!F56</f>
        <v>FHSA</v>
      </c>
      <c r="F28" s="530">
        <f>'📈 PORTEFEUILLE'!G56</f>
        <v>19</v>
      </c>
      <c r="G28" s="531">
        <f>'📈 PORTEFEUILLE'!I56</f>
        <v>52.08</v>
      </c>
      <c r="H28" s="532" t="str">
        <f>'📈 PORTEFEUILLE'!K56</f>
        <v>CAD</v>
      </c>
      <c r="I28" s="531">
        <f>'📈 PORTEFEUILLE'!I56</f>
        <v>52.08</v>
      </c>
      <c r="J28" s="533">
        <f>'📈 PORTEFEUILLE'!L56</f>
        <v>989.52</v>
      </c>
      <c r="K28" s="534">
        <f>IFERROR('📈 PORTEFEUILLE'!G56*'📈 PORTEFEUILLE'!H56,0)</f>
        <v>919.0395</v>
      </c>
      <c r="L28" s="535">
        <f>'📈 PORTEFEUILLE'!N56</f>
        <v>70.4805</v>
      </c>
      <c r="M28" s="536">
        <f>'📈 PORTEFEUILLE'!O56</f>
        <v>0.01548318206</v>
      </c>
      <c r="N28" s="537">
        <f>'📈 PORTEFEUILLE'!P56</f>
        <v>0.01782020645</v>
      </c>
      <c r="O28" s="538">
        <v>0.025</v>
      </c>
      <c r="P28" s="531">
        <v>25.1845</v>
      </c>
      <c r="Q28" s="531">
        <v>2.09870833333333</v>
      </c>
      <c r="R28" s="526" t="str">
        <f>'📈 PORTEFEUILLE'!Q56</f>
        <v>🔄 Diluer</v>
      </c>
    </row>
    <row r="29" ht="15.75" customHeight="1">
      <c r="A29" s="539" t="str">
        <f>'📈 PORTEFEUILLE'!B24</f>
        <v>NVDA</v>
      </c>
      <c r="B29" s="540" t="str">
        <f>'📈 PORTEFEUILLE'!C24</f>
        <v>NVIDIA</v>
      </c>
      <c r="C29" s="541" t="str">
        <f>'📈 PORTEFEUILLE'!D24</f>
        <v>Action</v>
      </c>
      <c r="D29" s="542" t="str">
        <f>'📈 PORTEFEUILLE'!E24</f>
        <v>T2</v>
      </c>
      <c r="E29" s="554" t="str">
        <f>'📈 PORTEFEUILLE'!F24</f>
        <v>TFSA</v>
      </c>
      <c r="F29" s="544">
        <f>'📈 PORTEFEUILLE'!G24</f>
        <v>4</v>
      </c>
      <c r="G29" s="545">
        <f>'📈 PORTEFEUILLE'!I24</f>
        <v>244.400975</v>
      </c>
      <c r="H29" s="546" t="str">
        <f>'📈 PORTEFEUILLE'!K24</f>
        <v>USD</v>
      </c>
      <c r="I29" s="545">
        <f>'📈 PORTEFEUILLE'!I24</f>
        <v>244.400975</v>
      </c>
      <c r="J29" s="547">
        <f>'📈 PORTEFEUILLE'!L24</f>
        <v>977.6039</v>
      </c>
      <c r="K29" s="548">
        <f>IFERROR('📈 PORTEFEUILLE'!G24*'📈 PORTEFEUILLE'!H24,0)</f>
        <v>514.36</v>
      </c>
      <c r="L29" s="549">
        <f>'📈 PORTEFEUILLE'!N24</f>
        <v>463.2439</v>
      </c>
      <c r="M29" s="550">
        <f>'📈 PORTEFEUILLE'!O24</f>
        <v>0.9006219379</v>
      </c>
      <c r="N29" s="551">
        <f>'📈 PORTEFEUILLE'!P24</f>
        <v>0.01144920039</v>
      </c>
      <c r="O29" s="552">
        <v>0.003</v>
      </c>
      <c r="P29" s="545">
        <v>3.00636504</v>
      </c>
      <c r="Q29" s="545">
        <v>0.25053042</v>
      </c>
      <c r="R29" s="540" t="str">
        <f>'📈 PORTEFEUILLE'!Q24</f>
        <v>✅ Garder</v>
      </c>
    </row>
    <row r="30" ht="15.75" customHeight="1">
      <c r="A30" s="525" t="str">
        <f>'📈 PORTEFEUILLE'!B57</f>
        <v>XEI.TO</v>
      </c>
      <c r="B30" s="526" t="str">
        <f>'📈 PORTEFEUILLE'!C57</f>
        <v>iShares High Div</v>
      </c>
      <c r="C30" s="527" t="str">
        <f>'📈 PORTEFEUILLE'!D57</f>
        <v>ETF</v>
      </c>
      <c r="D30" s="528" t="str">
        <f>'📈 PORTEFEUILLE'!E57</f>
        <v>T4</v>
      </c>
      <c r="E30" s="553" t="str">
        <f>'📈 PORTEFEUILLE'!F57</f>
        <v>FHSA</v>
      </c>
      <c r="F30" s="530">
        <f>'📈 PORTEFEUILLE'!G57</f>
        <v>26</v>
      </c>
      <c r="G30" s="531">
        <f>'📈 PORTEFEUILLE'!I57</f>
        <v>35.89</v>
      </c>
      <c r="H30" s="532" t="str">
        <f>'📈 PORTEFEUILLE'!K57</f>
        <v>CAD</v>
      </c>
      <c r="I30" s="531">
        <f>'📈 PORTEFEUILLE'!I57</f>
        <v>35.89</v>
      </c>
      <c r="J30" s="533">
        <f>'📈 PORTEFEUILLE'!L57</f>
        <v>933.14</v>
      </c>
      <c r="K30" s="534">
        <f>IFERROR('📈 PORTEFEUILLE'!G57*'📈 PORTEFEUILLE'!H57,0)</f>
        <v>847.8886</v>
      </c>
      <c r="L30" s="535">
        <f>'📈 PORTEFEUILLE'!N57</f>
        <v>85.2514</v>
      </c>
      <c r="M30" s="536">
        <f>'📈 PORTEFEUILLE'!O57</f>
        <v>0.07668930443</v>
      </c>
      <c r="N30" s="537">
        <f>'📈 PORTEFEUILLE'!P57</f>
        <v>0.01158875571</v>
      </c>
      <c r="O30" s="538">
        <v>0.055</v>
      </c>
      <c r="P30" s="531">
        <v>51.051</v>
      </c>
      <c r="Q30" s="531">
        <v>4.25425</v>
      </c>
      <c r="R30" s="526" t="str">
        <f>'📈 PORTEFEUILLE'!Q57</f>
        <v>🔄 Migration VDY ✅</v>
      </c>
    </row>
    <row r="31" ht="15.75" customHeight="1">
      <c r="A31" s="519" t="str">
        <f>'📈 PORTEFEUILLE'!B20</f>
        <v>META</v>
      </c>
      <c r="B31" s="492" t="str">
        <f>'📈 PORTEFEUILLE'!C20</f>
        <v>Meta Platforms</v>
      </c>
      <c r="C31" s="493" t="str">
        <f>'📈 PORTEFEUILLE'!D20</f>
        <v>Action</v>
      </c>
      <c r="D31" s="494" t="str">
        <f>'📈 PORTEFEUILLE'!E20</f>
        <v>T1</v>
      </c>
      <c r="E31" s="495" t="str">
        <f>'📈 PORTEFEUILLE'!F20</f>
        <v>TFSA</v>
      </c>
      <c r="F31" s="496">
        <f>'📈 PORTEFEUILLE'!G20</f>
        <v>1</v>
      </c>
      <c r="G31" s="497">
        <f>'📈 PORTEFEUILLE'!I20</f>
        <v>832.129389</v>
      </c>
      <c r="H31" s="520" t="str">
        <f>'📈 PORTEFEUILLE'!K20</f>
        <v>USD</v>
      </c>
      <c r="I31" s="497">
        <f>'📈 PORTEFEUILLE'!I20</f>
        <v>832.129389</v>
      </c>
      <c r="J31" s="499">
        <f>'📈 PORTEFEUILLE'!L20</f>
        <v>832.129389</v>
      </c>
      <c r="K31" s="500">
        <f>IFERROR('📈 PORTEFEUILLE'!G20*'📈 PORTEFEUILLE'!H20,0)</f>
        <v>637.7698</v>
      </c>
      <c r="L31" s="501">
        <f>'📈 PORTEFEUILLE'!N20</f>
        <v>194.359589</v>
      </c>
      <c r="M31" s="502">
        <f>'📈 PORTEFEUILLE'!O20</f>
        <v>0.3047488122</v>
      </c>
      <c r="N31" s="503">
        <f>'📈 PORTEFEUILLE'!P20</f>
        <v>0.009745476802</v>
      </c>
      <c r="O31" s="504">
        <v>0.004</v>
      </c>
      <c r="P31" s="497">
        <v>3.5335398</v>
      </c>
      <c r="Q31" s="497">
        <v>0.29446165</v>
      </c>
      <c r="R31" s="492" t="str">
        <f>'📈 PORTEFEUILLE'!Q20</f>
        <v>✅ Accumuler</v>
      </c>
    </row>
    <row r="32" ht="15.75" customHeight="1">
      <c r="A32" s="557" t="str">
        <f>'📈 PORTEFEUILLE'!B33</f>
        <v>QTUM</v>
      </c>
      <c r="B32" s="506" t="str">
        <f>'📈 PORTEFEUILLE'!C33</f>
        <v>Defiance Quantum</v>
      </c>
      <c r="C32" s="507" t="str">
        <f>'📈 PORTEFEUILLE'!D33</f>
        <v>ETF</v>
      </c>
      <c r="D32" s="508" t="str">
        <f>'📈 PORTEFEUILLE'!E33</f>
        <v>T3</v>
      </c>
      <c r="E32" s="509" t="str">
        <f>'📈 PORTEFEUILLE'!F33</f>
        <v>TFSA</v>
      </c>
      <c r="F32" s="510">
        <f>'📈 PORTEFEUILLE'!G33</f>
        <v>5</v>
      </c>
      <c r="G32" s="511">
        <f>'📈 PORTEFEUILLE'!I33</f>
        <v>148.294783</v>
      </c>
      <c r="H32" s="558" t="str">
        <f>'📈 PORTEFEUILLE'!K33</f>
        <v>USD</v>
      </c>
      <c r="I32" s="511">
        <f>'📈 PORTEFEUILLE'!I33</f>
        <v>148.294783</v>
      </c>
      <c r="J32" s="513">
        <f>'📈 PORTEFEUILLE'!L33</f>
        <v>741.473915</v>
      </c>
      <c r="K32" s="514">
        <f>IFERROR('📈 PORTEFEUILLE'!G33*'📈 PORTEFEUILLE'!H33,0)</f>
        <v>604.05</v>
      </c>
      <c r="L32" s="559">
        <f>'📈 PORTEFEUILLE'!N33</f>
        <v>137.423915</v>
      </c>
      <c r="M32" s="560">
        <f>'📈 PORTEFEUILLE'!O33</f>
        <v>0.2275042049</v>
      </c>
      <c r="N32" s="517">
        <f>'📈 PORTEFEUILLE'!P33</f>
        <v>0.008683765931</v>
      </c>
      <c r="O32" s="518">
        <v>0.004</v>
      </c>
      <c r="P32" s="511">
        <v>3.05913692</v>
      </c>
      <c r="Q32" s="511">
        <v>0.254928076666667</v>
      </c>
      <c r="R32" s="506" t="str">
        <f>'📈 PORTEFEUILLE'!Q33</f>
        <v>🔵 Garder (max 5)</v>
      </c>
    </row>
    <row r="33" ht="15.75" customHeight="1">
      <c r="A33" s="491" t="str">
        <f>'📈 PORTEFEUILLE'!B21</f>
        <v>ENB.TO</v>
      </c>
      <c r="B33" s="492" t="str">
        <f>'📈 PORTEFEUILLE'!C21</f>
        <v>Enbridge</v>
      </c>
      <c r="C33" s="493" t="str">
        <f>'📈 PORTEFEUILLE'!D21</f>
        <v>Action</v>
      </c>
      <c r="D33" s="494" t="str">
        <f>'📈 PORTEFEUILLE'!E21</f>
        <v>T1</v>
      </c>
      <c r="E33" s="495" t="str">
        <f>'📈 PORTEFEUILLE'!F21</f>
        <v>TFSA</v>
      </c>
      <c r="F33" s="496">
        <f>'📈 PORTEFEUILLE'!G21</f>
        <v>9</v>
      </c>
      <c r="G33" s="497">
        <f>'📈 PORTEFEUILLE'!I21</f>
        <v>74.28</v>
      </c>
      <c r="H33" s="498" t="str">
        <f>'📈 PORTEFEUILLE'!K21</f>
        <v>CAD</v>
      </c>
      <c r="I33" s="497">
        <f>'📈 PORTEFEUILLE'!I21</f>
        <v>74.28</v>
      </c>
      <c r="J33" s="499">
        <f>'📈 PORTEFEUILLE'!L21</f>
        <v>668.52</v>
      </c>
      <c r="K33" s="500">
        <f>IFERROR('📈 PORTEFEUILLE'!G21*'📈 PORTEFEUILLE'!H21,0)</f>
        <v>446.58</v>
      </c>
      <c r="L33" s="501">
        <f>'📈 PORTEFEUILLE'!N21</f>
        <v>221.94</v>
      </c>
      <c r="M33" s="502">
        <f>'📈 PORTEFEUILLE'!O21</f>
        <v>0.4969770254</v>
      </c>
      <c r="N33" s="503">
        <f>'📈 PORTEFEUILLE'!P21</f>
        <v>0.007829366728</v>
      </c>
      <c r="O33" s="504">
        <v>0.065</v>
      </c>
      <c r="P33" s="497">
        <v>42.6231</v>
      </c>
      <c r="Q33" s="497">
        <v>3.551925</v>
      </c>
      <c r="R33" s="492" t="str">
        <f>'📈 PORTEFEUILLE'!Q21</f>
        <v>✅ Garder</v>
      </c>
    </row>
    <row r="34" ht="15.75" customHeight="1">
      <c r="A34" s="555" t="str">
        <f>'📈 PORTEFEUILLE'!B50</f>
        <v>XEQT.TO</v>
      </c>
      <c r="B34" s="540" t="str">
        <f>'📈 PORTEFEUILLE'!C50</f>
        <v>iShares Core Eq</v>
      </c>
      <c r="C34" s="541" t="str">
        <f>'📈 PORTEFEUILLE'!D50</f>
        <v>ETF</v>
      </c>
      <c r="D34" s="542" t="str">
        <f>'📈 PORTEFEUILLE'!E50</f>
        <v>T2</v>
      </c>
      <c r="E34" s="543" t="str">
        <f>'📈 PORTEFEUILLE'!F50</f>
        <v>FHSA</v>
      </c>
      <c r="F34" s="544">
        <f>'📈 PORTEFEUILLE'!G50</f>
        <v>15</v>
      </c>
      <c r="G34" s="545">
        <f>'📈 PORTEFEUILLE'!I50</f>
        <v>39.85</v>
      </c>
      <c r="H34" s="556" t="str">
        <f>'📈 PORTEFEUILLE'!K50</f>
        <v>CAD</v>
      </c>
      <c r="I34" s="545">
        <f>'📈 PORTEFEUILLE'!I50</f>
        <v>39.85</v>
      </c>
      <c r="J34" s="547">
        <f>'📈 PORTEFEUILLE'!L50</f>
        <v>597.75</v>
      </c>
      <c r="K34" s="548">
        <f>IFERROR('📈 PORTEFEUILLE'!G50*'📈 PORTEFEUILLE'!H50,0)</f>
        <v>600.9</v>
      </c>
      <c r="L34" s="549">
        <f>'📈 PORTEFEUILLE'!N50</f>
        <v>-3.15</v>
      </c>
      <c r="M34" s="550">
        <f>'📈 PORTEFEUILLE'!O50</f>
        <v>0.3396975786</v>
      </c>
      <c r="N34" s="551">
        <f>'📈 PORTEFEUILLE'!P50</f>
        <v>0.02061608685</v>
      </c>
      <c r="O34" s="552">
        <v>0.02</v>
      </c>
      <c r="P34" s="545">
        <v>12.138</v>
      </c>
      <c r="Q34" s="545">
        <v>1.0115</v>
      </c>
      <c r="R34" s="540" t="str">
        <f>'📈 PORTEFEUILLE'!Q50</f>
        <v>✅ Migration ZEQT ✅</v>
      </c>
    </row>
    <row r="35" ht="15.75" customHeight="1">
      <c r="A35" s="505" t="str">
        <f>'📈 PORTEFEUILLE'!B52</f>
        <v>H.TO</v>
      </c>
      <c r="B35" s="506" t="str">
        <f>'📈 PORTEFEUILLE'!C52</f>
        <v>Hydro One</v>
      </c>
      <c r="C35" s="507" t="str">
        <f>'📈 PORTEFEUILLE'!D52</f>
        <v>Action</v>
      </c>
      <c r="D35" s="508" t="str">
        <f>'📈 PORTEFEUILLE'!E52</f>
        <v>T3</v>
      </c>
      <c r="E35" s="524" t="str">
        <f>'📈 PORTEFEUILLE'!F52</f>
        <v>FHSA</v>
      </c>
      <c r="F35" s="510">
        <f>'📈 PORTEFEUILLE'!G52</f>
        <v>10</v>
      </c>
      <c r="G35" s="511">
        <f>'📈 PORTEFEUILLE'!I52</f>
        <v>60.09</v>
      </c>
      <c r="H35" s="512" t="str">
        <f>'📈 PORTEFEUILLE'!K52</f>
        <v>CAD</v>
      </c>
      <c r="I35" s="511">
        <f>'📈 PORTEFEUILLE'!I52</f>
        <v>60.09</v>
      </c>
      <c r="J35" s="513">
        <f>'📈 PORTEFEUILLE'!L52</f>
        <v>600.9</v>
      </c>
      <c r="K35" s="514">
        <f>IFERROR('📈 PORTEFEUILLE'!G52*'📈 PORTEFEUILLE'!H52,0)</f>
        <v>517.8</v>
      </c>
      <c r="L35" s="515">
        <f>'📈 PORTEFEUILLE'!N52</f>
        <v>83.1</v>
      </c>
      <c r="M35" s="516">
        <f>'📈 PORTEFEUILLE'!O52</f>
        <v>0.5560821485</v>
      </c>
      <c r="N35" s="517">
        <f>'📈 PORTEFEUILLE'!P52</f>
        <v>0.02249484854</v>
      </c>
      <c r="O35" s="518">
        <v>0.03</v>
      </c>
      <c r="P35" s="511">
        <v>17.601</v>
      </c>
      <c r="Q35" s="511">
        <v>1.46675</v>
      </c>
      <c r="R35" s="506" t="str">
        <f>'📈 PORTEFEUILLE'!Q52</f>
        <v>🔵 Garder</v>
      </c>
    </row>
    <row r="36" ht="15.75" customHeight="1">
      <c r="A36" s="539" t="str">
        <f>'📈 PORTEFEUILLE'!B28</f>
        <v>SPGI</v>
      </c>
      <c r="B36" s="540" t="str">
        <f>'📈 PORTEFEUILLE'!C28</f>
        <v>S&amp;P Global</v>
      </c>
      <c r="C36" s="541" t="str">
        <f>'📈 PORTEFEUILLE'!D28</f>
        <v>Action</v>
      </c>
      <c r="D36" s="542" t="str">
        <f>'📈 PORTEFEUILLE'!E28</f>
        <v>T2</v>
      </c>
      <c r="E36" s="554" t="str">
        <f>'📈 PORTEFEUILLE'!F28</f>
        <v>TFSA</v>
      </c>
      <c r="F36" s="544">
        <f>'📈 PORTEFEUILLE'!G28</f>
        <v>0.9996</v>
      </c>
      <c r="G36" s="545">
        <f>'📈 PORTEFEUILLE'!I28</f>
        <v>572.854191</v>
      </c>
      <c r="H36" s="546" t="str">
        <f>'📈 PORTEFEUILLE'!K28</f>
        <v>USD</v>
      </c>
      <c r="I36" s="545">
        <f>'📈 PORTEFEUILLE'!I28</f>
        <v>572.854191</v>
      </c>
      <c r="J36" s="547">
        <f>'📈 PORTEFEUILLE'!L28</f>
        <v>572.6250493</v>
      </c>
      <c r="K36" s="548">
        <f>IFERROR('📈 PORTEFEUILLE'!G28*'📈 PORTEFEUILLE'!H28,0)</f>
        <v>443.0685017</v>
      </c>
      <c r="L36" s="561">
        <f>'📈 PORTEFEUILLE'!N28</f>
        <v>129.5565476</v>
      </c>
      <c r="M36" s="562">
        <f>'📈 PORTEFEUILLE'!O28</f>
        <v>0.2924074881</v>
      </c>
      <c r="N36" s="551">
        <f>'📈 PORTEFEUILLE'!P28</f>
        <v>0.006706293767</v>
      </c>
      <c r="O36" s="552">
        <v>0.009</v>
      </c>
      <c r="P36" s="545">
        <v>5.2158412716228</v>
      </c>
      <c r="Q36" s="545">
        <v>0.4346534393019</v>
      </c>
      <c r="R36" s="540" t="str">
        <f>'📈 PORTEFEUILLE'!Q28</f>
        <v>✅ Garder</v>
      </c>
    </row>
    <row r="37" ht="15.75" customHeight="1">
      <c r="A37" s="505" t="str">
        <f>'📈 PORTEFEUILLE'!B32</f>
        <v>T.TO</v>
      </c>
      <c r="B37" s="506" t="str">
        <f>'📈 PORTEFEUILLE'!C32</f>
        <v>TELUS</v>
      </c>
      <c r="C37" s="507" t="str">
        <f>'📈 PORTEFEUILLE'!D32</f>
        <v>Action</v>
      </c>
      <c r="D37" s="508" t="str">
        <f>'📈 PORTEFEUILLE'!E32</f>
        <v>T3</v>
      </c>
      <c r="E37" s="509" t="str">
        <f>'📈 PORTEFEUILLE'!F32</f>
        <v>TFSA</v>
      </c>
      <c r="F37" s="510">
        <f>'📈 PORTEFEUILLE'!G32</f>
        <v>32</v>
      </c>
      <c r="G37" s="511">
        <f>'📈 PORTEFEUILLE'!I32</f>
        <v>18.01</v>
      </c>
      <c r="H37" s="512" t="str">
        <f>'📈 PORTEFEUILLE'!K32</f>
        <v>CAD</v>
      </c>
      <c r="I37" s="511">
        <f>'📈 PORTEFEUILLE'!I32</f>
        <v>18.01</v>
      </c>
      <c r="J37" s="513">
        <f>'📈 PORTEFEUILLE'!L32</f>
        <v>576.32</v>
      </c>
      <c r="K37" s="514">
        <f>IFERROR('📈 PORTEFEUILLE'!G32*'📈 PORTEFEUILLE'!H32,0)</f>
        <v>705.28</v>
      </c>
      <c r="L37" s="559">
        <f>'📈 PORTEFEUILLE'!N32</f>
        <v>-128.96</v>
      </c>
      <c r="M37" s="560">
        <f>'📈 PORTEFEUILLE'!O32</f>
        <v>-0.1828493648</v>
      </c>
      <c r="N37" s="517">
        <f>'📈 PORTEFEUILLE'!P32</f>
        <v>0.006749567152</v>
      </c>
      <c r="O37" s="518">
        <v>0.085</v>
      </c>
      <c r="P37" s="511">
        <v>49.0688</v>
      </c>
      <c r="Q37" s="511">
        <v>4.08906666666667</v>
      </c>
      <c r="R37" s="506" t="str">
        <f>'📈 PORTEFEUILLE'!Q32</f>
        <v>👀 Surveiller div Q3</v>
      </c>
    </row>
    <row r="38" ht="15.75" customHeight="1">
      <c r="A38" s="525" t="str">
        <f>'📈 PORTEFEUILLE'!B40</f>
        <v>ZRE.TO</v>
      </c>
      <c r="B38" s="526" t="str">
        <f>'📈 PORTEFEUILLE'!C40</f>
        <v>BMO Equal REITs</v>
      </c>
      <c r="C38" s="527" t="str">
        <f>'📈 PORTEFEUILLE'!D40</f>
        <v>ETF</v>
      </c>
      <c r="D38" s="528" t="str">
        <f>'📈 PORTEFEUILLE'!E40</f>
        <v>T4</v>
      </c>
      <c r="E38" s="529" t="str">
        <f>'📈 PORTEFEUILLE'!F40</f>
        <v>TFSA</v>
      </c>
      <c r="F38" s="530">
        <f>'📈 PORTEFEUILLE'!G40</f>
        <v>19</v>
      </c>
      <c r="G38" s="531">
        <f>'📈 PORTEFEUILLE'!I40</f>
        <v>22.33</v>
      </c>
      <c r="H38" s="532" t="str">
        <f>'📈 PORTEFEUILLE'!K40</f>
        <v>CAD</v>
      </c>
      <c r="I38" s="531">
        <f>'📈 PORTEFEUILLE'!I40</f>
        <v>22.33</v>
      </c>
      <c r="J38" s="533">
        <f>'📈 PORTEFEUILLE'!L40</f>
        <v>424.27</v>
      </c>
      <c r="K38" s="534">
        <f>IFERROR('📈 PORTEFEUILLE'!G40*'📈 PORTEFEUILLE'!H40,0)</f>
        <v>395.77</v>
      </c>
      <c r="L38" s="535">
        <f>'📈 PORTEFEUILLE'!N40</f>
        <v>28.5</v>
      </c>
      <c r="M38" s="536">
        <f>'📈 PORTEFEUILLE'!O40</f>
        <v>0.07201152184</v>
      </c>
      <c r="N38" s="537">
        <f>'📈 PORTEFEUILLE'!P40</f>
        <v>0.004968834772</v>
      </c>
      <c r="O38" s="538">
        <v>0.05</v>
      </c>
      <c r="P38" s="531">
        <v>21.4225</v>
      </c>
      <c r="Q38" s="531">
        <v>1.78520833333333</v>
      </c>
      <c r="R38" s="526" t="str">
        <f>'📈 PORTEFEUILLE'!Q40</f>
        <v>🔄 Diluer</v>
      </c>
    </row>
    <row r="39" ht="15.75" customHeight="1">
      <c r="A39" s="525" t="str">
        <f>'📈 PORTEFEUILLE'!B41</f>
        <v>MFC.TO</v>
      </c>
      <c r="B39" s="526" t="str">
        <f>'📈 PORTEFEUILLE'!C41</f>
        <v>Manulife</v>
      </c>
      <c r="C39" s="527" t="str">
        <f>'📈 PORTEFEUILLE'!D41</f>
        <v>Action</v>
      </c>
      <c r="D39" s="528" t="str">
        <f>'📈 PORTEFEUILLE'!E41</f>
        <v>T4</v>
      </c>
      <c r="E39" s="529" t="str">
        <f>'📈 PORTEFEUILLE'!F41</f>
        <v>TFSA</v>
      </c>
      <c r="F39" s="530">
        <f>'📈 PORTEFEUILLE'!G41</f>
        <v>8</v>
      </c>
      <c r="G39" s="531">
        <f>'📈 PORTEFEUILLE'!I41</f>
        <v>45.9</v>
      </c>
      <c r="H39" s="532" t="str">
        <f>'📈 PORTEFEUILLE'!K41</f>
        <v>CAD</v>
      </c>
      <c r="I39" s="531">
        <f>'📈 PORTEFEUILLE'!I41</f>
        <v>45.9</v>
      </c>
      <c r="J39" s="533">
        <f>'📈 PORTEFEUILLE'!L41</f>
        <v>367.2</v>
      </c>
      <c r="K39" s="534">
        <f>IFERROR('📈 PORTEFEUILLE'!G41*'📈 PORTEFEUILLE'!H41,0)</f>
        <v>413.6</v>
      </c>
      <c r="L39" s="563">
        <f>'📈 PORTEFEUILLE'!N41</f>
        <v>-46.4</v>
      </c>
      <c r="M39" s="564">
        <f>'📈 PORTEFEUILLE'!O41</f>
        <v>-0.1121856867</v>
      </c>
      <c r="N39" s="537">
        <f>'📈 PORTEFEUILLE'!P41</f>
        <v>0.004300459915</v>
      </c>
      <c r="O39" s="538">
        <v>0.044</v>
      </c>
      <c r="P39" s="531">
        <v>16.14624</v>
      </c>
      <c r="Q39" s="531">
        <v>1.34552</v>
      </c>
      <c r="R39" s="526" t="str">
        <f>'📈 PORTEFEUILLE'!Q41</f>
        <v>🔄 Diluer</v>
      </c>
    </row>
    <row r="40" ht="15.75" customHeight="1">
      <c r="A40" s="505" t="str">
        <f>'📈 PORTEFEUILLE'!B34</f>
        <v>HURA.TO</v>
      </c>
      <c r="B40" s="506" t="str">
        <f>'📈 PORTEFEUILLE'!C34</f>
        <v>Global X Uranium</v>
      </c>
      <c r="C40" s="507" t="str">
        <f>'📈 PORTEFEUILLE'!D34</f>
        <v>ETF</v>
      </c>
      <c r="D40" s="508" t="str">
        <f>'📈 PORTEFEUILLE'!E34</f>
        <v>T3</v>
      </c>
      <c r="E40" s="509" t="str">
        <f>'📈 PORTEFEUILLE'!F34</f>
        <v>TFSA</v>
      </c>
      <c r="F40" s="510">
        <f>'📈 PORTEFEUILLE'!G34</f>
        <v>6</v>
      </c>
      <c r="G40" s="511">
        <f>'📈 PORTEFEUILLE'!I34</f>
        <v>57.54</v>
      </c>
      <c r="H40" s="512" t="str">
        <f>'📈 PORTEFEUILLE'!K34</f>
        <v>CAD</v>
      </c>
      <c r="I40" s="511">
        <f>'📈 PORTEFEUILLE'!I34</f>
        <v>57.54</v>
      </c>
      <c r="J40" s="513">
        <f>'📈 PORTEFEUILLE'!L34</f>
        <v>345.24</v>
      </c>
      <c r="K40" s="514">
        <f>IFERROR('📈 PORTEFEUILLE'!G34*'📈 PORTEFEUILLE'!H34,0)</f>
        <v>331.5</v>
      </c>
      <c r="L40" s="515">
        <f>'📈 PORTEFEUILLE'!N34</f>
        <v>13.74</v>
      </c>
      <c r="M40" s="516">
        <f>'📈 PORTEFEUILLE'!O34</f>
        <v>0.0414479638</v>
      </c>
      <c r="N40" s="517">
        <f>'📈 PORTEFEUILLE'!P34</f>
        <v>0.004043275548</v>
      </c>
      <c r="O40" s="518">
        <v>0.002</v>
      </c>
      <c r="P40" s="511">
        <v>0.71424</v>
      </c>
      <c r="Q40" s="511">
        <v>0.05952</v>
      </c>
      <c r="R40" s="506" t="str">
        <f>'📈 PORTEFEUILLE'!Q34</f>
        <v>🔵 Garder</v>
      </c>
    </row>
    <row r="41" ht="15.75" customHeight="1">
      <c r="A41" s="525" t="str">
        <f>'📈 PORTEFEUILLE'!B42</f>
        <v>VDU.TO</v>
      </c>
      <c r="B41" s="526" t="str">
        <f>'📈 PORTEFEUILLE'!C42</f>
        <v>Vanguard Dev</v>
      </c>
      <c r="C41" s="527" t="str">
        <f>'📈 PORTEFEUILLE'!D42</f>
        <v>ETF</v>
      </c>
      <c r="D41" s="528" t="str">
        <f>'📈 PORTEFEUILLE'!E42</f>
        <v>T4</v>
      </c>
      <c r="E41" s="529" t="str">
        <f>'📈 PORTEFEUILLE'!F42</f>
        <v>TFSA</v>
      </c>
      <c r="F41" s="530">
        <f>'📈 PORTEFEUILLE'!G42</f>
        <v>6</v>
      </c>
      <c r="G41" s="531">
        <f>'📈 PORTEFEUILLE'!I42</f>
        <v>55.07</v>
      </c>
      <c r="H41" s="532" t="str">
        <f>'📈 PORTEFEUILLE'!K42</f>
        <v>CAD</v>
      </c>
      <c r="I41" s="531">
        <f>'📈 PORTEFEUILLE'!I42</f>
        <v>55.07</v>
      </c>
      <c r="J41" s="533">
        <f>'📈 PORTEFEUILLE'!L42</f>
        <v>330.42</v>
      </c>
      <c r="K41" s="534">
        <f>IFERROR('📈 PORTEFEUILLE'!G42*'📈 PORTEFEUILLE'!H42,0)</f>
        <v>262.5</v>
      </c>
      <c r="L41" s="535">
        <f>'📈 PORTEFEUILLE'!N42</f>
        <v>67.92</v>
      </c>
      <c r="M41" s="536">
        <f>'📈 PORTEFEUILLE'!O42</f>
        <v>0.2587428571</v>
      </c>
      <c r="N41" s="537">
        <f>'📈 PORTEFEUILLE'!P42</f>
        <v>0.003869711234</v>
      </c>
      <c r="O41" s="538">
        <v>0.038</v>
      </c>
      <c r="P41" s="531">
        <v>12.81132</v>
      </c>
      <c r="Q41" s="531">
        <v>1.06761</v>
      </c>
      <c r="R41" s="526" t="str">
        <f>'📈 PORTEFEUILLE'!Q42</f>
        <v>🔄 Diluer</v>
      </c>
    </row>
    <row r="42" ht="15.75" customHeight="1">
      <c r="A42" s="505" t="str">
        <f>'📈 PORTEFEUILLE'!B53</f>
        <v>ZLB.TO</v>
      </c>
      <c r="B42" s="506" t="str">
        <f>'📈 PORTEFEUILLE'!C53</f>
        <v>BMO Low Vol</v>
      </c>
      <c r="C42" s="507" t="str">
        <f>'📈 PORTEFEUILLE'!D53</f>
        <v>ETF</v>
      </c>
      <c r="D42" s="508" t="str">
        <f>'📈 PORTEFEUILLE'!E53</f>
        <v>T3</v>
      </c>
      <c r="E42" s="524" t="str">
        <f>'📈 PORTEFEUILLE'!F53</f>
        <v>FHSA</v>
      </c>
      <c r="F42" s="510">
        <f>'📈 PORTEFEUILLE'!G53</f>
        <v>3</v>
      </c>
      <c r="G42" s="511">
        <f>'📈 PORTEFEUILLE'!I53</f>
        <v>59.04</v>
      </c>
      <c r="H42" s="512" t="str">
        <f>'📈 PORTEFEUILLE'!K53</f>
        <v>CAD</v>
      </c>
      <c r="I42" s="511">
        <f>'📈 PORTEFEUILLE'!I53</f>
        <v>59.04</v>
      </c>
      <c r="J42" s="513">
        <f>'📈 PORTEFEUILLE'!L53</f>
        <v>177.12</v>
      </c>
      <c r="K42" s="514">
        <f>IFERROR('📈 PORTEFEUILLE'!G53*'📈 PORTEFEUILLE'!H53,0)</f>
        <v>177.1998</v>
      </c>
      <c r="L42" s="559">
        <f>'📈 PORTEFEUILLE'!N53</f>
        <v>-0.0798</v>
      </c>
      <c r="M42" s="560">
        <f>'📈 PORTEFEUILLE'!O53</f>
        <v>0.1604866744</v>
      </c>
      <c r="N42" s="517">
        <f>'📈 PORTEFEUILLE'!P53</f>
        <v>0.007037435629</v>
      </c>
      <c r="O42" s="518">
        <v>0.024</v>
      </c>
      <c r="P42" s="511">
        <v>4.24872</v>
      </c>
      <c r="Q42" s="511">
        <v>0.35406</v>
      </c>
      <c r="R42" s="506" t="str">
        <f>'📈 PORTEFEUILLE'!Q53</f>
        <v>🔵 Garder</v>
      </c>
    </row>
    <row r="43" ht="15.75" customHeight="1">
      <c r="A43" s="539" t="str">
        <f>'📈 PORTEFEUILLE'!B63</f>
        <v>JEPI</v>
      </c>
      <c r="B43" s="540" t="str">
        <f>'📈 PORTEFEUILLE'!C63</f>
        <v>JPMorgan Income</v>
      </c>
      <c r="C43" s="541" t="str">
        <f>'📈 PORTEFEUILLE'!D63</f>
        <v>ETF</v>
      </c>
      <c r="D43" s="542" t="str">
        <f>'📈 PORTEFEUILLE'!E63</f>
        <v>T2</v>
      </c>
      <c r="E43" s="565" t="str">
        <f>'📈 PORTEFEUILLE'!F63</f>
        <v>REER</v>
      </c>
      <c r="F43" s="544">
        <f>'📈 PORTEFEUILLE'!G63</f>
        <v>1</v>
      </c>
      <c r="G43" s="545">
        <f>'📈 PORTEFEUILLE'!I63</f>
        <v>77.408331</v>
      </c>
      <c r="H43" s="546" t="str">
        <f>'📈 PORTEFEUILLE'!K63</f>
        <v>USD</v>
      </c>
      <c r="I43" s="545">
        <f>'📈 PORTEFEUILLE'!I63</f>
        <v>77.408331</v>
      </c>
      <c r="J43" s="547">
        <f>'📈 PORTEFEUILLE'!L63</f>
        <v>77.408331</v>
      </c>
      <c r="K43" s="548">
        <f>IFERROR('📈 PORTEFEUILLE'!G63*'📈 PORTEFEUILLE'!H63,0)</f>
        <v>54.52</v>
      </c>
      <c r="L43" s="549">
        <f>'📈 PORTEFEUILLE'!N63</f>
        <v>22.888331</v>
      </c>
      <c r="M43" s="550">
        <f>'📈 PORTEFEUILLE'!O63</f>
        <v>0</v>
      </c>
      <c r="N43" s="551">
        <f>'📈 PORTEFEUILLE'!P63</f>
        <v>0</v>
      </c>
      <c r="O43" s="552">
        <v>0.075</v>
      </c>
      <c r="P43" s="545">
        <v>5.88583275</v>
      </c>
      <c r="Q43" s="545">
        <v>0.4904860625</v>
      </c>
      <c r="R43" s="540" t="str">
        <f>'📈 PORTEFEUILLE'!Q63</f>
        <v>✅ Garder</v>
      </c>
    </row>
    <row r="44" ht="21.75" customHeight="1">
      <c r="A44" s="566" t="s">
        <v>1645</v>
      </c>
      <c r="B44" s="480"/>
      <c r="C44" s="480"/>
      <c r="D44" s="480"/>
      <c r="E44" s="481"/>
      <c r="F44" s="567"/>
      <c r="G44" s="567"/>
      <c r="H44" s="567"/>
      <c r="I44" s="567"/>
      <c r="J44" s="568">
        <f t="shared" ref="J44:L44" si="1">SUM(J5:J43)</f>
        <v>85139.16618</v>
      </c>
      <c r="K44" s="568">
        <f t="shared" si="1"/>
        <v>62790.49764</v>
      </c>
      <c r="L44" s="569">
        <f t="shared" si="1"/>
        <v>22348.66854</v>
      </c>
      <c r="M44" s="570">
        <v>0.205728980765037</v>
      </c>
      <c r="N44" s="571">
        <v>1.0</v>
      </c>
      <c r="O44" s="567"/>
      <c r="P44" s="572">
        <v>1925.94349179435</v>
      </c>
      <c r="Q44" s="572">
        <v>160.495290982863</v>
      </c>
      <c r="R44" s="567"/>
    </row>
    <row r="45" ht="15.75" customHeight="1"/>
    <row r="46" ht="21.75" customHeight="1">
      <c r="A46" s="573" t="s">
        <v>1646</v>
      </c>
      <c r="B46" s="480"/>
      <c r="C46" s="480"/>
      <c r="D46" s="480"/>
      <c r="E46" s="480"/>
      <c r="F46" s="480"/>
      <c r="G46" s="480"/>
      <c r="H46" s="480"/>
      <c r="I46" s="480"/>
      <c r="J46" s="480"/>
      <c r="K46" s="480"/>
      <c r="L46" s="480"/>
      <c r="M46" s="480"/>
      <c r="N46" s="480"/>
      <c r="O46" s="480"/>
      <c r="P46" s="480"/>
      <c r="Q46" s="480"/>
      <c r="R46" s="481"/>
    </row>
    <row r="47" ht="18.0" customHeight="1">
      <c r="A47" s="574" t="s">
        <v>1647</v>
      </c>
      <c r="B47" s="574" t="s">
        <v>1648</v>
      </c>
      <c r="C47" s="574" t="s">
        <v>251</v>
      </c>
      <c r="D47" s="574" t="s">
        <v>1649</v>
      </c>
      <c r="E47" s="574" t="s">
        <v>1650</v>
      </c>
      <c r="F47" s="574" t="s">
        <v>1651</v>
      </c>
      <c r="G47" s="574" t="s">
        <v>1652</v>
      </c>
      <c r="H47" s="575" t="s">
        <v>354</v>
      </c>
      <c r="I47" s="480"/>
      <c r="J47" s="480"/>
      <c r="K47" s="480"/>
      <c r="L47" s="480"/>
      <c r="M47" s="480"/>
      <c r="N47" s="480"/>
      <c r="O47" s="480"/>
      <c r="P47" s="480"/>
      <c r="Q47" s="480"/>
      <c r="R47" s="481"/>
    </row>
    <row r="48" ht="15.75" customHeight="1">
      <c r="A48" s="494" t="s">
        <v>1653</v>
      </c>
      <c r="B48" s="576">
        <v>11.0</v>
      </c>
      <c r="C48" s="577">
        <v>48010.7293908372</v>
      </c>
      <c r="D48" s="578">
        <v>0.553943448737745</v>
      </c>
      <c r="E48" s="579">
        <v>7733.12289046736</v>
      </c>
      <c r="F48" s="580">
        <v>0.191995591654543</v>
      </c>
      <c r="G48" s="581">
        <v>475.909495382431</v>
      </c>
      <c r="H48" s="582" t="s">
        <v>1654</v>
      </c>
      <c r="I48" s="480"/>
      <c r="J48" s="480"/>
      <c r="K48" s="480"/>
      <c r="L48" s="480"/>
      <c r="M48" s="480"/>
      <c r="N48" s="480"/>
      <c r="O48" s="480"/>
      <c r="P48" s="480"/>
      <c r="Q48" s="480"/>
      <c r="R48" s="481"/>
    </row>
    <row r="49" ht="15.75" customHeight="1">
      <c r="A49" s="542" t="s">
        <v>1655</v>
      </c>
      <c r="B49" s="583">
        <v>9.0</v>
      </c>
      <c r="C49" s="584">
        <v>8691.9899797892</v>
      </c>
      <c r="D49" s="585">
        <v>0.100287393399136</v>
      </c>
      <c r="E49" s="586">
        <v>812.117868396793</v>
      </c>
      <c r="F49" s="587">
        <v>0.103062315849348</v>
      </c>
      <c r="G49" s="588">
        <v>74.9884994919228</v>
      </c>
      <c r="H49" s="589" t="s">
        <v>1656</v>
      </c>
      <c r="I49" s="480"/>
      <c r="J49" s="480"/>
      <c r="K49" s="480"/>
      <c r="L49" s="480"/>
      <c r="M49" s="480"/>
      <c r="N49" s="480"/>
      <c r="O49" s="480"/>
      <c r="P49" s="480"/>
      <c r="Q49" s="480"/>
      <c r="R49" s="481"/>
    </row>
    <row r="50" ht="15.75" customHeight="1">
      <c r="A50" s="508" t="s">
        <v>1408</v>
      </c>
      <c r="B50" s="590">
        <v>9.0</v>
      </c>
      <c r="C50" s="591">
        <v>19228.64423</v>
      </c>
      <c r="D50" s="592">
        <v>0.221858356131331</v>
      </c>
      <c r="E50" s="593">
        <v>5181.020625</v>
      </c>
      <c r="F50" s="594">
        <v>0.368818297719474</v>
      </c>
      <c r="G50" s="595">
        <v>803.81273692</v>
      </c>
      <c r="H50" s="596" t="s">
        <v>1657</v>
      </c>
      <c r="I50" s="480"/>
      <c r="J50" s="480"/>
      <c r="K50" s="480"/>
      <c r="L50" s="480"/>
      <c r="M50" s="480"/>
      <c r="N50" s="480"/>
      <c r="O50" s="480"/>
      <c r="P50" s="480"/>
      <c r="Q50" s="480"/>
      <c r="R50" s="481"/>
    </row>
    <row r="51" ht="15.75" customHeight="1">
      <c r="A51" s="528" t="s">
        <v>1413</v>
      </c>
      <c r="B51" s="597">
        <v>10.0</v>
      </c>
      <c r="C51" s="598">
        <v>10739.45</v>
      </c>
      <c r="D51" s="599">
        <v>0.123910801731788</v>
      </c>
      <c r="E51" s="600">
        <v>1062.0521</v>
      </c>
      <c r="F51" s="601">
        <v>0.109745626972722</v>
      </c>
      <c r="G51" s="602">
        <v>571.23276</v>
      </c>
      <c r="H51" s="603" t="s">
        <v>1658</v>
      </c>
      <c r="I51" s="480"/>
      <c r="J51" s="480"/>
      <c r="K51" s="480"/>
      <c r="L51" s="480"/>
      <c r="M51" s="480"/>
      <c r="N51" s="480"/>
      <c r="O51" s="480"/>
      <c r="P51" s="480"/>
      <c r="Q51" s="480"/>
      <c r="R51" s="481"/>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R$43"/>
  <mergeCells count="17">
    <mergeCell ref="A1:R1"/>
    <mergeCell ref="A2:D2"/>
    <mergeCell ref="E2:H2"/>
    <mergeCell ref="I2:K2"/>
    <mergeCell ref="L2:N2"/>
    <mergeCell ref="O2:R2"/>
    <mergeCell ref="A3:D3"/>
    <mergeCell ref="M3:R3"/>
    <mergeCell ref="H50:R50"/>
    <mergeCell ref="H51:R51"/>
    <mergeCell ref="E3:H3"/>
    <mergeCell ref="I3:L3"/>
    <mergeCell ref="A44:E44"/>
    <mergeCell ref="A46:R46"/>
    <mergeCell ref="H47:R47"/>
    <mergeCell ref="H48:R48"/>
    <mergeCell ref="H49:R49"/>
  </mergeCells>
  <conditionalFormatting sqref="L5:M43">
    <cfRule type="cellIs" dxfId="0" priority="1" operator="greaterThan">
      <formula>0</formula>
    </cfRule>
  </conditionalFormatting>
  <conditionalFormatting sqref="L5:M43">
    <cfRule type="cellIs" dxfId="1" priority="2" operator="lessThan">
      <formula>0</formula>
    </cfRule>
  </conditionalFormatting>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3.0"/>
    <col customWidth="1" min="2" max="2" width="22.0"/>
    <col customWidth="1" min="3" max="8" width="14.0"/>
    <col customWidth="1" min="9" max="9" width="30.0"/>
  </cols>
  <sheetData>
    <row r="1" ht="25.5" customHeight="1">
      <c r="B1" s="604" t="s">
        <v>1659</v>
      </c>
      <c r="C1" s="2"/>
      <c r="D1" s="2"/>
      <c r="E1" s="2"/>
      <c r="F1" s="2"/>
      <c r="G1" s="2"/>
      <c r="H1" s="2"/>
      <c r="I1" s="2"/>
    </row>
    <row r="2" ht="15.75" customHeight="1">
      <c r="B2" s="605" t="s">
        <v>1660</v>
      </c>
      <c r="C2" s="2"/>
      <c r="D2" s="2"/>
      <c r="E2" s="2"/>
      <c r="F2" s="2"/>
      <c r="G2" s="2"/>
      <c r="H2" s="2"/>
      <c r="I2" s="2"/>
    </row>
    <row r="3" ht="6.0" customHeight="1"/>
    <row r="4" ht="19.5" customHeight="1">
      <c r="B4" s="606" t="s">
        <v>1661</v>
      </c>
      <c r="C4" s="2"/>
      <c r="D4" s="2"/>
      <c r="E4" s="2"/>
      <c r="F4" s="2"/>
      <c r="G4" s="2"/>
      <c r="H4" s="2"/>
      <c r="I4" s="2"/>
    </row>
    <row r="5" ht="15.75" customHeight="1">
      <c r="B5" s="607" t="s">
        <v>1662</v>
      </c>
      <c r="C5" s="607" t="s">
        <v>1663</v>
      </c>
      <c r="E5" s="607" t="s">
        <v>1664</v>
      </c>
      <c r="G5" s="607" t="s">
        <v>1665</v>
      </c>
    </row>
    <row r="6" ht="16.5" customHeight="1">
      <c r="B6" s="608" t="s">
        <v>1666</v>
      </c>
      <c r="C6" s="609" t="s">
        <v>1667</v>
      </c>
      <c r="E6" s="609" t="str">
        <f>IFERROR("S&amp;P "&amp;TEXT(CONFIG!G36,"#,##0")&amp;" ("&amp;TEXT(CONFIG!B49,"+0.0%")&amp;")","S&amp;P: N/A")</f>
        <v>S&amp;P 6,632 (-+4.3%)</v>
      </c>
      <c r="G6" s="609" t="s">
        <v>1668</v>
      </c>
    </row>
    <row r="7" ht="16.5" customHeight="1">
      <c r="B7" s="610" t="s">
        <v>1669</v>
      </c>
      <c r="C7" s="611" t="s">
        <v>1667</v>
      </c>
      <c r="E7" s="611" t="str">
        <f>IFERROR("TSX "&amp;TEXT(CONFIG!G37,"#,##0")&amp;" ("&amp;TEXT(CONFIG!B50,"+0.0%")&amp;")","TSX: N/A")</f>
        <v>TSX 32,542 (+2.6%)</v>
      </c>
      <c r="G7" s="611" t="s">
        <v>1670</v>
      </c>
    </row>
    <row r="8" ht="16.5" customHeight="1">
      <c r="B8" s="608" t="s">
        <v>1671</v>
      </c>
      <c r="C8" s="612">
        <f>CONFIG!B3</f>
        <v>1.3559</v>
      </c>
      <c r="E8" s="609" t="str">
        <f>IFERROR("USD/CAD "&amp;TEXT(CONFIG!B3,"0.0000"),"N/A")</f>
        <v>USD/CAD 1.3559</v>
      </c>
      <c r="G8" s="609" t="str">
        <f>IFERROR(TEXT(NOW(),"dd mmm yyyy HH:MM")&amp;" HNE","--")</f>
        <v>15 Mar 2026 01:10 HNE</v>
      </c>
    </row>
    <row r="9" ht="16.5" customHeight="1">
      <c r="B9" s="610" t="s">
        <v>1672</v>
      </c>
      <c r="C9" s="611">
        <f>CONFIG!B37</f>
        <v>230.66</v>
      </c>
      <c r="E9" s="611">
        <f>CONFIG!B38</f>
        <v>15.13</v>
      </c>
      <c r="G9" s="611" t="s">
        <v>1673</v>
      </c>
    </row>
    <row r="10" ht="6.0" customHeight="1"/>
    <row r="11" ht="19.5" customHeight="1">
      <c r="B11" s="606" t="s">
        <v>1674</v>
      </c>
      <c r="C11" s="2"/>
      <c r="D11" s="2"/>
      <c r="E11" s="2"/>
      <c r="F11" s="2"/>
      <c r="G11" s="2"/>
      <c r="H11" s="2"/>
      <c r="I11" s="2"/>
    </row>
    <row r="12" ht="15.75" customHeight="1">
      <c r="B12" s="607" t="s">
        <v>250</v>
      </c>
      <c r="C12" s="607" t="s">
        <v>1675</v>
      </c>
      <c r="D12" s="607" t="s">
        <v>1676</v>
      </c>
      <c r="E12" s="607" t="s">
        <v>252</v>
      </c>
      <c r="F12" s="607" t="s">
        <v>253</v>
      </c>
      <c r="G12" s="607" t="s">
        <v>1677</v>
      </c>
      <c r="H12" s="607" t="s">
        <v>1678</v>
      </c>
    </row>
    <row r="13" ht="18.0" customHeight="1">
      <c r="B13" s="613" t="s">
        <v>256</v>
      </c>
      <c r="C13" s="614">
        <f>'📈 PORTEFEUILLE'!L44</f>
        <v>67855.03</v>
      </c>
      <c r="D13" s="615">
        <f>'📈 PORTEFEUILLE'!M44</f>
        <v>50044.27317</v>
      </c>
      <c r="E13" s="614">
        <f>'📈 PORTEFEUILLE'!N44</f>
        <v>18727.90404</v>
      </c>
      <c r="F13" s="616">
        <f>'📈 PORTEFEUILLE'!O44</f>
        <v>0</v>
      </c>
      <c r="G13" s="615">
        <f>CONFIG!B6</f>
        <v>69600</v>
      </c>
      <c r="H13" s="609" t="s">
        <v>1679</v>
      </c>
    </row>
    <row r="14" ht="18.0" customHeight="1">
      <c r="B14" s="617" t="s">
        <v>258</v>
      </c>
      <c r="C14" s="618">
        <f>'📈 PORTEFEUILLE'!L59</f>
        <v>14767.01792</v>
      </c>
      <c r="D14" s="619">
        <f>'📈 PORTEFEUILLE'!M59</f>
        <v>10890.93438</v>
      </c>
      <c r="E14" s="618">
        <f>'📈 PORTEFEUILLE'!N59</f>
        <v>2552.212829</v>
      </c>
      <c r="F14" s="620">
        <f>'📈 PORTEFEUILLE'!O59</f>
        <v>0.1728319721</v>
      </c>
      <c r="G14" s="619">
        <f>CONFIG!B7</f>
        <v>13700</v>
      </c>
      <c r="H14" s="611" t="s">
        <v>1680</v>
      </c>
    </row>
    <row r="15" ht="18.0" customHeight="1">
      <c r="B15" s="613" t="s">
        <v>1681</v>
      </c>
      <c r="C15" s="614">
        <f>'📈 PORTEFEUILLE'!L68</f>
        <v>2764.168264</v>
      </c>
      <c r="D15" s="615">
        <f>'📈 PORTEFEUILLE'!M68</f>
        <v>2095.712512</v>
      </c>
      <c r="E15" s="614">
        <f>'📈 PORTEFEUILLE'!N68</f>
        <v>1091.440001</v>
      </c>
      <c r="F15" s="616">
        <f>'📈 PORTEFEUILLE'!O68</f>
        <v>0.3948529527</v>
      </c>
      <c r="G15" s="615">
        <f>CONFIG!B8</f>
        <v>37008</v>
      </c>
      <c r="H15" s="609" t="s">
        <v>1682</v>
      </c>
    </row>
    <row r="16" ht="19.5" customHeight="1">
      <c r="B16" s="621" t="s">
        <v>1683</v>
      </c>
      <c r="C16" s="622">
        <f>'📈 PORTEFEUILLE'!L70</f>
        <v>85386.21618</v>
      </c>
      <c r="D16" s="622">
        <f>'📈 PORTEFEUILLE'!M70</f>
        <v>63030.92006</v>
      </c>
      <c r="E16" s="622">
        <f>'📈 PORTEFEUILLE'!N70</f>
        <v>22371.55687</v>
      </c>
      <c r="F16" s="623">
        <f>'📈 PORTEFEUILLE'!O70</f>
        <v>0.2620043125</v>
      </c>
      <c r="G16" s="621" t="s">
        <v>1684</v>
      </c>
      <c r="H16" s="621" t="s">
        <v>1685</v>
      </c>
    </row>
    <row r="17" ht="6.0" customHeight="1"/>
    <row r="18" ht="19.5" customHeight="1">
      <c r="B18" s="606" t="s">
        <v>1686</v>
      </c>
      <c r="C18" s="2"/>
      <c r="D18" s="2"/>
      <c r="E18" s="2"/>
      <c r="F18" s="2"/>
      <c r="G18" s="2"/>
      <c r="H18" s="2"/>
      <c r="I18" s="2"/>
    </row>
    <row r="19" ht="15.75" customHeight="1">
      <c r="B19" s="607" t="s">
        <v>269</v>
      </c>
      <c r="C19" s="607" t="s">
        <v>270</v>
      </c>
      <c r="F19" s="607" t="s">
        <v>272</v>
      </c>
      <c r="G19" s="607" t="s">
        <v>1545</v>
      </c>
      <c r="H19" s="607" t="s">
        <v>1687</v>
      </c>
    </row>
    <row r="20" ht="18.0" customHeight="1">
      <c r="B20" s="624" t="s">
        <v>1688</v>
      </c>
      <c r="C20" s="625" t="s">
        <v>1689</v>
      </c>
      <c r="D20" s="626"/>
      <c r="E20" s="627"/>
      <c r="F20" s="628" t="str">
        <f>IF(CONFIG!B25&gt;=15000,"✅ FAIT",IF(CONFIG!B25&gt;0,"🟡 EN COURS","🔴 À FAIRE"))</f>
        <v>🔴 À FAIRE</v>
      </c>
      <c r="G20" s="629" t="s">
        <v>1690</v>
      </c>
      <c r="H20" s="630" t="s">
        <v>1691</v>
      </c>
      <c r="I20" s="627"/>
    </row>
    <row r="21" ht="18.0" customHeight="1">
      <c r="B21" s="624" t="s">
        <v>1692</v>
      </c>
      <c r="C21" s="625" t="s">
        <v>1693</v>
      </c>
      <c r="D21" s="626"/>
      <c r="E21" s="627"/>
      <c r="F21" s="628" t="str">
        <f>IF(SUMIF('📈 PORTEFEUILLE'!B14:B64,"ZRE.TO",'📈 PORTEFEUILLE'!G14:G64)=0,"✅ FAIT","🔴 POST-BdC 18 mars")</f>
        <v>🔴 POST-BdC 18 mars</v>
      </c>
      <c r="G21" s="629" t="s">
        <v>1694</v>
      </c>
      <c r="H21" s="630" t="s">
        <v>1695</v>
      </c>
      <c r="I21" s="627"/>
    </row>
    <row r="22" ht="18.0" customHeight="1">
      <c r="B22" s="631" t="s">
        <v>1696</v>
      </c>
      <c r="C22" s="632" t="s">
        <v>1697</v>
      </c>
      <c r="D22" s="626"/>
      <c r="E22" s="627"/>
      <c r="F22" s="633" t="s">
        <v>1698</v>
      </c>
      <c r="G22" s="634" t="s">
        <v>1699</v>
      </c>
      <c r="H22" s="635" t="s">
        <v>1700</v>
      </c>
      <c r="I22" s="627"/>
    </row>
    <row r="23" ht="18.0" customHeight="1">
      <c r="B23" s="636" t="s">
        <v>393</v>
      </c>
      <c r="C23" s="637" t="s">
        <v>1701</v>
      </c>
      <c r="D23" s="626"/>
      <c r="E23" s="627"/>
      <c r="F23" s="638" t="s">
        <v>1702</v>
      </c>
      <c r="G23" s="639" t="s">
        <v>1703</v>
      </c>
      <c r="H23" s="640" t="s">
        <v>1704</v>
      </c>
      <c r="I23" s="627"/>
    </row>
    <row r="24" ht="18.0" customHeight="1">
      <c r="B24" s="636" t="s">
        <v>396</v>
      </c>
      <c r="C24" s="637" t="s">
        <v>1705</v>
      </c>
      <c r="D24" s="626"/>
      <c r="E24" s="627"/>
      <c r="F24" s="638" t="s">
        <v>1706</v>
      </c>
      <c r="G24" s="639" t="s">
        <v>1707</v>
      </c>
      <c r="H24" s="640" t="s">
        <v>1708</v>
      </c>
      <c r="I24" s="627"/>
    </row>
    <row r="25" ht="6.0" customHeight="1"/>
    <row r="26" ht="19.5" customHeight="1">
      <c r="B26" s="606" t="s">
        <v>1709</v>
      </c>
      <c r="C26" s="2"/>
      <c r="D26" s="2"/>
      <c r="E26" s="2"/>
      <c r="F26" s="2"/>
      <c r="G26" s="2"/>
      <c r="H26" s="2"/>
      <c r="I26" s="2"/>
    </row>
    <row r="27" ht="15.75" customHeight="1">
      <c r="B27" s="607" t="s">
        <v>1710</v>
      </c>
      <c r="F27" s="607" t="s">
        <v>1711</v>
      </c>
      <c r="H27" s="607" t="s">
        <v>1592</v>
      </c>
    </row>
    <row r="28" ht="16.5" customHeight="1">
      <c r="B28" s="641" t="s">
        <v>1712</v>
      </c>
      <c r="C28" s="626"/>
      <c r="D28" s="626"/>
      <c r="E28" s="627"/>
      <c r="F28" s="642" t="str">
        <f>IF(CONFIG!B25&gt;=15000,"✅ OUI","🔴 NON — Ouvrir cette semaine")</f>
        <v>🔴 NON — Ouvrir cette semaine</v>
      </c>
      <c r="H28" s="643" t="s">
        <v>1713</v>
      </c>
      <c r="I28" s="627"/>
    </row>
    <row r="29" ht="16.5" customHeight="1">
      <c r="B29" s="644" t="s">
        <v>1714</v>
      </c>
      <c r="C29" s="626"/>
      <c r="D29" s="626"/>
      <c r="E29" s="627"/>
      <c r="F29" s="617" t="str">
        <f>CONFIG!B47</f>
        <v>🔴 SUREXPOSÉ USD — Rééquilibrer</v>
      </c>
      <c r="H29" s="645" t="s">
        <v>1715</v>
      </c>
      <c r="I29" s="627"/>
    </row>
    <row r="30" ht="16.5" customHeight="1">
      <c r="B30" s="641" t="s">
        <v>1716</v>
      </c>
      <c r="C30" s="626"/>
      <c r="D30" s="626"/>
      <c r="E30" s="627"/>
      <c r="F30" s="642" t="str">
        <f>IF(CONFIG!B31&gt;0.45,"🔴 DÉPASSE 45% — Pause T1 IA","✅ OK — Sous 45%")</f>
        <v>✅ OK — Sous 45%</v>
      </c>
      <c r="H30" s="643" t="s">
        <v>1717</v>
      </c>
      <c r="I30" s="627"/>
    </row>
    <row r="31" ht="16.5" customHeight="1">
      <c r="B31" s="644" t="s">
        <v>1718</v>
      </c>
      <c r="C31" s="626"/>
      <c r="D31" s="626"/>
      <c r="E31" s="627"/>
      <c r="F31" s="617" t="s">
        <v>1719</v>
      </c>
      <c r="H31" s="645" t="s">
        <v>1720</v>
      </c>
      <c r="I31" s="627"/>
    </row>
    <row r="32" ht="16.5" customHeight="1">
      <c r="B32" s="641" t="s">
        <v>1721</v>
      </c>
      <c r="C32" s="626"/>
      <c r="D32" s="626"/>
      <c r="E32" s="627"/>
      <c r="F32" s="642" t="str">
        <f>IF(DATEVALUE("2026-03-18")&gt;TODAY(),"⏳ BdC dans "&amp;(DATEVALUE("2026-03-18")-TODAY())&amp;" jours","✅ BdC passé")</f>
        <v>⏳ BdC dans 3 jours</v>
      </c>
      <c r="H32" s="643" t="s">
        <v>1722</v>
      </c>
      <c r="I32" s="627"/>
    </row>
    <row r="33" ht="16.5" customHeight="1">
      <c r="B33" s="644" t="s">
        <v>1723</v>
      </c>
      <c r="C33" s="626"/>
      <c r="D33" s="626"/>
      <c r="E33" s="627"/>
      <c r="F33" s="617"/>
      <c r="H33" s="645" t="s">
        <v>1724</v>
      </c>
      <c r="I33" s="627"/>
    </row>
    <row r="34" ht="6.0" customHeight="1"/>
    <row r="35" ht="19.5" customHeight="1">
      <c r="B35" s="606" t="s">
        <v>1725</v>
      </c>
      <c r="C35" s="2"/>
      <c r="D35" s="2"/>
      <c r="E35" s="2"/>
      <c r="F35" s="2"/>
      <c r="G35" s="2"/>
      <c r="H35" s="2"/>
      <c r="I35" s="2"/>
    </row>
    <row r="36" ht="15.75" customHeight="1">
      <c r="B36" s="607" t="s">
        <v>1726</v>
      </c>
      <c r="C36" s="607" t="s">
        <v>1727</v>
      </c>
      <c r="D36" s="607" t="s">
        <v>337</v>
      </c>
      <c r="E36" s="607" t="s">
        <v>1728</v>
      </c>
      <c r="F36" s="607" t="s">
        <v>1729</v>
      </c>
      <c r="G36" s="607" t="s">
        <v>272</v>
      </c>
    </row>
    <row r="37" ht="18.0" customHeight="1">
      <c r="B37" s="613" t="s">
        <v>22</v>
      </c>
      <c r="C37" s="615">
        <f>'📈 PORTEFEUILLE'!L59</f>
        <v>14767.01792</v>
      </c>
      <c r="D37" s="615">
        <f>CONFIG!B14</f>
        <v>40000</v>
      </c>
      <c r="E37" s="615">
        <f t="shared" ref="E37:E39" si="1">D37-C37</f>
        <v>25232.98208</v>
      </c>
      <c r="F37" s="646">
        <f t="shared" ref="F37:F39" si="2">IFERROR(C37/D37,0)</f>
        <v>0.369175448</v>
      </c>
      <c r="G37" s="609" t="str">
        <f t="shared" ref="G37:G39" si="3">IF(C37/D37&gt;=1,"✅ ATTEINT",IF(C37/D37&gt;=0.8,"🟡 80%+","⏳ En route"))</f>
        <v>⏳ En route</v>
      </c>
    </row>
    <row r="38" ht="18.0" customHeight="1">
      <c r="B38" s="617" t="s">
        <v>1730</v>
      </c>
      <c r="C38" s="619">
        <f>'📈 PORTEFEUILLE'!L68</f>
        <v>2764.168264</v>
      </c>
      <c r="D38" s="619">
        <f>CONFIG!B15</f>
        <v>60000</v>
      </c>
      <c r="E38" s="619">
        <f t="shared" si="1"/>
        <v>57235.83174</v>
      </c>
      <c r="F38" s="647">
        <f t="shared" si="2"/>
        <v>0.04606947107</v>
      </c>
      <c r="G38" s="611" t="str">
        <f t="shared" si="3"/>
        <v>⏳ En route</v>
      </c>
    </row>
    <row r="39" ht="19.5" customHeight="1">
      <c r="B39" s="621" t="s">
        <v>1731</v>
      </c>
      <c r="C39" s="622">
        <f>'📈 PORTEFEUILLE'!L59+'📈 PORTEFEUILLE'!L68</f>
        <v>17531.18618</v>
      </c>
      <c r="D39" s="622">
        <f>CONFIG!B16</f>
        <v>100000</v>
      </c>
      <c r="E39" s="622">
        <f t="shared" si="1"/>
        <v>82468.81382</v>
      </c>
      <c r="F39" s="648">
        <f t="shared" si="2"/>
        <v>0.1753118618</v>
      </c>
      <c r="G39" s="621" t="str">
        <f t="shared" si="3"/>
        <v>⏳ En route</v>
      </c>
    </row>
    <row r="40" ht="6.0" customHeight="1"/>
    <row r="41" ht="19.5" customHeight="1">
      <c r="B41" s="606" t="s">
        <v>1732</v>
      </c>
      <c r="C41" s="2"/>
      <c r="D41" s="2"/>
      <c r="E41" s="2"/>
      <c r="F41" s="2"/>
      <c r="G41" s="2"/>
      <c r="H41" s="2"/>
      <c r="I41" s="2"/>
    </row>
    <row r="42" ht="15.75" customHeight="1">
      <c r="B42" s="607" t="s">
        <v>1112</v>
      </c>
      <c r="C42" s="607" t="s">
        <v>1733</v>
      </c>
      <c r="D42" s="607" t="s">
        <v>1734</v>
      </c>
      <c r="E42" s="607" t="s">
        <v>1735</v>
      </c>
      <c r="F42" s="607" t="s">
        <v>1736</v>
      </c>
      <c r="G42" s="607" t="s">
        <v>1737</v>
      </c>
      <c r="H42" s="607" t="s">
        <v>588</v>
      </c>
    </row>
    <row r="43" ht="18.0" customHeight="1">
      <c r="B43" s="609" t="s">
        <v>1738</v>
      </c>
      <c r="C43" s="649">
        <f>IFERROR(CONFIG!B19*(1.06^(40-34))+5000*12*((1.06^(40-34)-1)/0.06),0)</f>
        <v>0</v>
      </c>
      <c r="D43" s="615" t="s">
        <v>1739</v>
      </c>
      <c r="E43" s="615" t="s">
        <v>1740</v>
      </c>
      <c r="F43" s="650" t="s">
        <v>1741</v>
      </c>
      <c r="G43" s="650" t="s">
        <v>1742</v>
      </c>
      <c r="H43" s="609" t="s">
        <v>1743</v>
      </c>
    </row>
    <row r="44" ht="18.0" customHeight="1">
      <c r="B44" s="611" t="s">
        <v>1744</v>
      </c>
      <c r="C44" s="651">
        <f>IFERROR(CONFIG!B19*(1.08^(40-34))+5000*12*((1.08^(40-34)-1)/0.08),0)</f>
        <v>0</v>
      </c>
      <c r="D44" s="619" t="s">
        <v>1745</v>
      </c>
      <c r="E44" s="650" t="s">
        <v>1746</v>
      </c>
      <c r="F44" s="650" t="s">
        <v>1747</v>
      </c>
      <c r="G44" s="650" t="s">
        <v>1748</v>
      </c>
      <c r="H44" s="652" t="s">
        <v>1749</v>
      </c>
    </row>
    <row r="45" ht="18.0" customHeight="1">
      <c r="B45" s="609" t="s">
        <v>1750</v>
      </c>
      <c r="C45" s="649">
        <f>IFERROR(CONFIG!B19*(1.1^(40-34))+5000*12*((1.1^(40-34)-1)/0.1),0)</f>
        <v>0</v>
      </c>
      <c r="D45" s="615" t="s">
        <v>1751</v>
      </c>
      <c r="E45" s="650" t="s">
        <v>1752</v>
      </c>
      <c r="F45" s="650" t="s">
        <v>1753</v>
      </c>
      <c r="G45" s="650" t="s">
        <v>1754</v>
      </c>
      <c r="H45" s="653" t="s">
        <v>1755</v>
      </c>
    </row>
    <row r="46" ht="6.0" customHeight="1"/>
    <row r="47" ht="19.5" customHeight="1">
      <c r="B47" s="606" t="s">
        <v>1756</v>
      </c>
      <c r="C47" s="2"/>
      <c r="D47" s="2"/>
      <c r="E47" s="2"/>
      <c r="F47" s="2"/>
      <c r="G47" s="2"/>
      <c r="H47" s="2"/>
      <c r="I47" s="2"/>
    </row>
    <row r="48" ht="15.75" customHeight="1">
      <c r="B48" s="607" t="s">
        <v>250</v>
      </c>
      <c r="C48" s="607" t="s">
        <v>1757</v>
      </c>
      <c r="D48" s="607" t="s">
        <v>1758</v>
      </c>
      <c r="E48" s="607" t="s">
        <v>1759</v>
      </c>
      <c r="F48" s="607" t="s">
        <v>1760</v>
      </c>
      <c r="G48" s="607" t="s">
        <v>1761</v>
      </c>
      <c r="H48" s="607" t="s">
        <v>588</v>
      </c>
    </row>
    <row r="49" ht="18.0" customHeight="1">
      <c r="B49" s="613" t="s">
        <v>1762</v>
      </c>
      <c r="C49" s="615">
        <f>2000*12</f>
        <v>24000</v>
      </c>
      <c r="D49" s="615">
        <f>C49*CONFIG!B11</f>
        <v>12715.2</v>
      </c>
      <c r="E49" s="615">
        <f t="shared" ref="E49:E51" si="4">C49-D49</f>
        <v>11284.8</v>
      </c>
      <c r="F49" s="615">
        <f>E49*(1.08^20)*0.65</f>
        <v>34188.67996</v>
      </c>
      <c r="G49" s="654">
        <f t="shared" ref="G49:G52" si="5">IFERROR(F49/E49,0)</f>
        <v>3.029622144</v>
      </c>
      <c r="H49" s="609" t="s">
        <v>1763</v>
      </c>
    </row>
    <row r="50" ht="18.0" customHeight="1">
      <c r="B50" s="617" t="s">
        <v>1764</v>
      </c>
      <c r="C50" s="619">
        <f>1000*12</f>
        <v>12000</v>
      </c>
      <c r="D50" s="619">
        <f>C50*CONFIG!B11</f>
        <v>6357.6</v>
      </c>
      <c r="E50" s="619">
        <f t="shared" si="4"/>
        <v>5642.4</v>
      </c>
      <c r="F50" s="619">
        <f t="shared" ref="F50:F51" si="6">E50*(1.08^20)</f>
        <v>26298.98459</v>
      </c>
      <c r="G50" s="655">
        <f t="shared" si="5"/>
        <v>4.660957144</v>
      </c>
      <c r="H50" s="611" t="s">
        <v>1765</v>
      </c>
    </row>
    <row r="51" ht="18.0" customHeight="1">
      <c r="B51" s="613" t="s">
        <v>1766</v>
      </c>
      <c r="C51" s="615">
        <f>500*12</f>
        <v>6000</v>
      </c>
      <c r="D51" s="615" t="s">
        <v>1767</v>
      </c>
      <c r="E51" s="615">
        <f t="shared" si="4"/>
        <v>6000</v>
      </c>
      <c r="F51" s="615">
        <f t="shared" si="6"/>
        <v>27965.74286</v>
      </c>
      <c r="G51" s="654">
        <f t="shared" si="5"/>
        <v>4.660957144</v>
      </c>
      <c r="H51" s="609" t="s">
        <v>1768</v>
      </c>
    </row>
    <row r="52" ht="18.0" customHeight="1">
      <c r="B52" s="656" t="s">
        <v>522</v>
      </c>
      <c r="C52" s="657">
        <f>1500*12</f>
        <v>18000</v>
      </c>
      <c r="D52" s="657" t="s">
        <v>1767</v>
      </c>
      <c r="E52" s="657">
        <f>C52</f>
        <v>18000</v>
      </c>
      <c r="F52" s="657">
        <f>E52*(1.03^20)</f>
        <v>32510.00222</v>
      </c>
      <c r="G52" s="658">
        <f t="shared" si="5"/>
        <v>1.806111235</v>
      </c>
      <c r="H52" s="659" t="s">
        <v>1769</v>
      </c>
    </row>
    <row r="53" ht="6.0" customHeight="1"/>
    <row r="54" ht="19.5" customHeight="1">
      <c r="B54" s="606" t="s">
        <v>1770</v>
      </c>
      <c r="C54" s="2"/>
      <c r="D54" s="2"/>
      <c r="E54" s="2"/>
      <c r="F54" s="2"/>
      <c r="G54" s="2"/>
      <c r="H54" s="2"/>
      <c r="I54" s="2"/>
    </row>
    <row r="55" ht="15.75" customHeight="1">
      <c r="B55" s="607" t="s">
        <v>1771</v>
      </c>
      <c r="C55" s="607" t="s">
        <v>1772</v>
      </c>
      <c r="D55" s="607" t="s">
        <v>1773</v>
      </c>
      <c r="E55" s="607" t="s">
        <v>272</v>
      </c>
      <c r="F55" s="607" t="s">
        <v>1774</v>
      </c>
    </row>
    <row r="56" ht="16.5" customHeight="1">
      <c r="B56" s="609" t="s">
        <v>1775</v>
      </c>
      <c r="C56" s="660">
        <f>CONFIG!B46</f>
        <v>0.9633353658</v>
      </c>
      <c r="D56" s="661" t="s">
        <v>1776</v>
      </c>
      <c r="E56" s="613" t="str">
        <f>CONFIG!B47</f>
        <v>🔴 SUREXPOSÉ USD — Rééquilibrer</v>
      </c>
      <c r="F56" s="643" t="str">
        <f>CONFIG!B44&amp;" USD en CAD"</f>
        <v>2708811.76003001 USD en CAD</v>
      </c>
      <c r="G56" s="626"/>
      <c r="H56" s="626"/>
      <c r="I56" s="627"/>
    </row>
    <row r="57" ht="16.5" customHeight="1">
      <c r="B57" s="611" t="s">
        <v>1777</v>
      </c>
      <c r="C57" s="662">
        <f>CONFIG!B44</f>
        <v>2708811.76</v>
      </c>
      <c r="D57" s="663" t="s">
        <v>593</v>
      </c>
      <c r="E57" s="617" t="s">
        <v>593</v>
      </c>
      <c r="F57" s="645" t="s">
        <v>1778</v>
      </c>
      <c r="G57" s="626"/>
      <c r="H57" s="626"/>
      <c r="I57" s="627"/>
    </row>
    <row r="58" ht="16.5" customHeight="1">
      <c r="B58" s="609" t="s">
        <v>1779</v>
      </c>
      <c r="C58" s="664">
        <f>CONFIG!B45</f>
        <v>103097.6291</v>
      </c>
      <c r="D58" s="661" t="s">
        <v>593</v>
      </c>
      <c r="E58" s="613" t="s">
        <v>593</v>
      </c>
      <c r="F58" s="643" t="s">
        <v>1780</v>
      </c>
      <c r="G58" s="626"/>
      <c r="H58" s="626"/>
      <c r="I58" s="627"/>
    </row>
    <row r="59" ht="16.5" customHeight="1">
      <c r="B59" s="611" t="s">
        <v>1781</v>
      </c>
      <c r="C59" s="665">
        <f>CONFIG!B31</f>
        <v>0.28</v>
      </c>
      <c r="D59" s="663" t="s">
        <v>1782</v>
      </c>
      <c r="E59" s="666" t="str">
        <f>IF(CONFIG!B31&gt;0.45,"🔴 DÉPASSE","✅ OK")</f>
        <v>✅ OK</v>
      </c>
      <c r="F59" s="645" t="s">
        <v>1783</v>
      </c>
      <c r="G59" s="626"/>
      <c r="H59" s="626"/>
      <c r="I59" s="627"/>
    </row>
    <row r="60" ht="6.0" customHeight="1"/>
    <row r="61" ht="19.5" customHeight="1">
      <c r="B61" s="606" t="s">
        <v>1784</v>
      </c>
      <c r="C61" s="2"/>
      <c r="D61" s="2"/>
      <c r="E61" s="2"/>
      <c r="F61" s="2"/>
      <c r="G61" s="2"/>
      <c r="H61" s="2"/>
      <c r="I61" s="2"/>
    </row>
    <row r="62" ht="15.75" customHeight="1">
      <c r="B62" s="607" t="s">
        <v>1785</v>
      </c>
      <c r="C62" s="607" t="s">
        <v>1786</v>
      </c>
      <c r="E62" s="607" t="s">
        <v>1787</v>
      </c>
    </row>
    <row r="63" ht="16.5" customHeight="1">
      <c r="B63" s="613" t="s">
        <v>1788</v>
      </c>
      <c r="C63" s="614">
        <v>7950.0</v>
      </c>
      <c r="E63" s="641" t="s">
        <v>1789</v>
      </c>
      <c r="F63" s="626"/>
      <c r="G63" s="626"/>
      <c r="H63" s="626"/>
      <c r="I63" s="627"/>
    </row>
    <row r="64" ht="16.5" customHeight="1">
      <c r="B64" s="611" t="s">
        <v>1790</v>
      </c>
      <c r="C64" s="619">
        <v>1182.0</v>
      </c>
      <c r="E64" s="644" t="s">
        <v>1791</v>
      </c>
      <c r="F64" s="626"/>
      <c r="G64" s="626"/>
      <c r="H64" s="626"/>
      <c r="I64" s="627"/>
    </row>
    <row r="65" ht="16.5" customHeight="1">
      <c r="B65" s="609" t="s">
        <v>1792</v>
      </c>
      <c r="C65" s="615">
        <f>C63-C64</f>
        <v>6768</v>
      </c>
      <c r="E65" s="641" t="s">
        <v>1793</v>
      </c>
      <c r="F65" s="626"/>
      <c r="G65" s="626"/>
      <c r="H65" s="626"/>
      <c r="I65" s="627"/>
    </row>
    <row r="66" ht="16.5" customHeight="1">
      <c r="B66" s="617" t="s">
        <v>1794</v>
      </c>
      <c r="C66" s="618">
        <v>5000.0</v>
      </c>
      <c r="E66" s="644" t="s">
        <v>1795</v>
      </c>
      <c r="F66" s="626"/>
      <c r="G66" s="626"/>
      <c r="H66" s="626"/>
      <c r="I66" s="627"/>
    </row>
    <row r="67" ht="16.5" customHeight="1">
      <c r="B67" s="609" t="s">
        <v>1796</v>
      </c>
      <c r="C67" s="615">
        <f>C65-C66</f>
        <v>1768</v>
      </c>
      <c r="E67" s="641" t="s">
        <v>1797</v>
      </c>
      <c r="F67" s="626"/>
      <c r="G67" s="626"/>
      <c r="H67" s="626"/>
      <c r="I67" s="627"/>
    </row>
    <row r="68" ht="16.5" customHeight="1">
      <c r="B68" s="617" t="s">
        <v>1798</v>
      </c>
      <c r="C68" s="667">
        <f>C66/C63</f>
        <v>0.6289308176</v>
      </c>
      <c r="E68" s="644" t="s">
        <v>1799</v>
      </c>
      <c r="F68" s="626"/>
      <c r="G68" s="626"/>
      <c r="H68" s="626"/>
      <c r="I68" s="627"/>
    </row>
    <row r="69" ht="6.0" customHeight="1"/>
    <row r="70" ht="19.5" customHeight="1">
      <c r="B70" s="606" t="s">
        <v>1800</v>
      </c>
      <c r="C70" s="2"/>
      <c r="D70" s="2"/>
      <c r="E70" s="2"/>
      <c r="F70" s="2"/>
      <c r="G70" s="2"/>
      <c r="H70" s="2"/>
      <c r="I70" s="2"/>
    </row>
    <row r="71" ht="21.75" customHeight="1">
      <c r="B71" s="668" t="s">
        <v>1801</v>
      </c>
      <c r="C71" s="626"/>
      <c r="D71" s="626"/>
      <c r="E71" s="626"/>
      <c r="F71" s="626"/>
      <c r="G71" s="626"/>
      <c r="H71" s="626"/>
      <c r="I71" s="627"/>
    </row>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5">
    <mergeCell ref="H20:I20"/>
    <mergeCell ref="H21:I21"/>
    <mergeCell ref="B1:I1"/>
    <mergeCell ref="B2:I2"/>
    <mergeCell ref="B4:I4"/>
    <mergeCell ref="B11:I11"/>
    <mergeCell ref="B18:I18"/>
    <mergeCell ref="C20:E20"/>
    <mergeCell ref="C21:E21"/>
    <mergeCell ref="C22:E22"/>
    <mergeCell ref="H22:I22"/>
    <mergeCell ref="C23:E23"/>
    <mergeCell ref="H23:I23"/>
    <mergeCell ref="C24:E24"/>
    <mergeCell ref="H24:I24"/>
    <mergeCell ref="B26:I26"/>
    <mergeCell ref="B31:E31"/>
    <mergeCell ref="B32:E32"/>
    <mergeCell ref="B33:E33"/>
    <mergeCell ref="B28:E28"/>
    <mergeCell ref="H28:I28"/>
    <mergeCell ref="B29:E29"/>
    <mergeCell ref="H29:I29"/>
    <mergeCell ref="B30:E30"/>
    <mergeCell ref="H30:I30"/>
    <mergeCell ref="H31:I31"/>
    <mergeCell ref="H32:I32"/>
    <mergeCell ref="H33:I33"/>
    <mergeCell ref="B35:I35"/>
    <mergeCell ref="B41:I41"/>
    <mergeCell ref="B47:I47"/>
    <mergeCell ref="B54:I54"/>
    <mergeCell ref="F56:I56"/>
    <mergeCell ref="E66:I66"/>
    <mergeCell ref="E67:I67"/>
    <mergeCell ref="E68:I68"/>
    <mergeCell ref="B70:I70"/>
    <mergeCell ref="B71:I71"/>
    <mergeCell ref="F57:I57"/>
    <mergeCell ref="F58:I58"/>
    <mergeCell ref="F59:I59"/>
    <mergeCell ref="B61:I61"/>
    <mergeCell ref="E63:I63"/>
    <mergeCell ref="E64:I64"/>
    <mergeCell ref="E65:I65"/>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18.0"/>
    <col customWidth="1" min="3" max="3" width="16.0"/>
    <col customWidth="1" min="4" max="4" width="45.0"/>
    <col customWidth="1" min="5" max="6" width="8.71"/>
  </cols>
  <sheetData>
    <row r="1" ht="30.0" customHeight="1">
      <c r="A1" s="669" t="s">
        <v>1802</v>
      </c>
      <c r="B1" s="2"/>
      <c r="C1" s="2"/>
      <c r="D1" s="2"/>
    </row>
    <row r="2" ht="15.0" customHeight="1">
      <c r="A2" s="670" t="s">
        <v>1803</v>
      </c>
    </row>
    <row r="3" ht="15.0" customHeight="1"/>
    <row r="4" ht="21.75" customHeight="1">
      <c r="A4" s="671" t="s">
        <v>1804</v>
      </c>
      <c r="B4" s="2"/>
      <c r="C4" s="2"/>
      <c r="D4" s="2"/>
    </row>
    <row r="5" ht="15.0" customHeight="1">
      <c r="A5" s="672" t="s">
        <v>1785</v>
      </c>
      <c r="B5" s="672" t="s">
        <v>1805</v>
      </c>
      <c r="C5" s="672" t="s">
        <v>431</v>
      </c>
      <c r="D5" s="672" t="s">
        <v>588</v>
      </c>
    </row>
    <row r="6" ht="16.5" customHeight="1">
      <c r="A6" s="673" t="s">
        <v>1806</v>
      </c>
      <c r="B6" s="674">
        <v>3000.0</v>
      </c>
      <c r="C6" s="675" t="s">
        <v>1807</v>
      </c>
      <c r="D6" s="673" t="s">
        <v>1808</v>
      </c>
    </row>
    <row r="7" ht="16.5" customHeight="1">
      <c r="A7" s="673" t="s">
        <v>1809</v>
      </c>
      <c r="B7" s="674">
        <v>1450.0</v>
      </c>
      <c r="C7" s="675" t="s">
        <v>1810</v>
      </c>
      <c r="D7" s="673" t="s">
        <v>1811</v>
      </c>
    </row>
    <row r="8" ht="16.5" customHeight="1">
      <c r="A8" s="676" t="s">
        <v>1812</v>
      </c>
      <c r="B8" s="677">
        <f>(B6*26/12)+B7</f>
        <v>7950</v>
      </c>
      <c r="C8" s="678" t="s">
        <v>1813</v>
      </c>
      <c r="D8" s="676" t="s">
        <v>1814</v>
      </c>
    </row>
    <row r="9" ht="15.0" customHeight="1"/>
    <row r="10" ht="21.75" customHeight="1">
      <c r="A10" s="671" t="s">
        <v>1815</v>
      </c>
      <c r="B10" s="2"/>
      <c r="C10" s="2"/>
      <c r="D10" s="2"/>
    </row>
    <row r="11" ht="15.0" customHeight="1">
      <c r="A11" s="672" t="s">
        <v>1785</v>
      </c>
      <c r="B11" s="672" t="s">
        <v>1805</v>
      </c>
      <c r="C11" s="672" t="s">
        <v>431</v>
      </c>
      <c r="D11" s="672" t="s">
        <v>588</v>
      </c>
    </row>
    <row r="12" ht="16.5" customHeight="1">
      <c r="A12" s="679" t="s">
        <v>1816</v>
      </c>
      <c r="B12" s="680">
        <v>0.0</v>
      </c>
      <c r="C12" s="681" t="s">
        <v>1817</v>
      </c>
      <c r="D12" s="679" t="s">
        <v>1818</v>
      </c>
    </row>
    <row r="13" ht="16.5" customHeight="1">
      <c r="A13" s="679" t="s">
        <v>1819</v>
      </c>
      <c r="B13" s="680">
        <v>0.0</v>
      </c>
      <c r="C13" s="681" t="s">
        <v>1817</v>
      </c>
      <c r="D13" s="679" t="s">
        <v>1820</v>
      </c>
    </row>
    <row r="14" ht="16.5" customHeight="1">
      <c r="A14" s="673" t="s">
        <v>1821</v>
      </c>
      <c r="B14" s="682">
        <v>400.0</v>
      </c>
      <c r="C14" s="675" t="s">
        <v>1810</v>
      </c>
      <c r="D14" s="673" t="s">
        <v>1822</v>
      </c>
    </row>
    <row r="15" ht="16.5" customHeight="1">
      <c r="A15" s="673" t="s">
        <v>1823</v>
      </c>
      <c r="B15" s="682">
        <v>110.0</v>
      </c>
      <c r="C15" s="675" t="s">
        <v>1810</v>
      </c>
      <c r="D15" s="673" t="s">
        <v>1824</v>
      </c>
    </row>
    <row r="16" ht="16.5" customHeight="1">
      <c r="A16" s="673" t="s">
        <v>1825</v>
      </c>
      <c r="B16" s="682">
        <v>275.0</v>
      </c>
      <c r="C16" s="675" t="s">
        <v>1810</v>
      </c>
      <c r="D16" s="673" t="s">
        <v>1826</v>
      </c>
    </row>
    <row r="17" ht="16.5" customHeight="1">
      <c r="A17" s="673" t="s">
        <v>1827</v>
      </c>
      <c r="B17" s="682">
        <v>100.0</v>
      </c>
      <c r="C17" s="675" t="s">
        <v>1810</v>
      </c>
      <c r="D17" s="673" t="s">
        <v>1828</v>
      </c>
    </row>
    <row r="18" ht="16.5" customHeight="1">
      <c r="A18" s="673" t="s">
        <v>1829</v>
      </c>
      <c r="B18" s="682">
        <v>80.0</v>
      </c>
      <c r="C18" s="675" t="s">
        <v>1830</v>
      </c>
      <c r="D18" s="673" t="s">
        <v>1831</v>
      </c>
    </row>
    <row r="19" ht="16.5" customHeight="1">
      <c r="A19" s="673" t="s">
        <v>1832</v>
      </c>
      <c r="B19" s="682">
        <v>50.0</v>
      </c>
      <c r="C19" s="675" t="s">
        <v>1810</v>
      </c>
      <c r="D19" s="673" t="s">
        <v>1833</v>
      </c>
    </row>
    <row r="20" ht="16.5" customHeight="1">
      <c r="A20" s="673" t="s">
        <v>1834</v>
      </c>
      <c r="B20" s="682">
        <v>25.0</v>
      </c>
      <c r="C20" s="675" t="s">
        <v>1810</v>
      </c>
      <c r="D20" s="673" t="s">
        <v>1835</v>
      </c>
    </row>
    <row r="21" ht="16.5" customHeight="1">
      <c r="A21" s="673" t="s">
        <v>1836</v>
      </c>
      <c r="B21" s="682">
        <v>50.0</v>
      </c>
      <c r="C21" s="675" t="s">
        <v>1810</v>
      </c>
      <c r="D21" s="673" t="s">
        <v>1837</v>
      </c>
    </row>
    <row r="22" ht="16.5" customHeight="1">
      <c r="A22" s="673" t="s">
        <v>1838</v>
      </c>
      <c r="B22" s="682">
        <v>42.0</v>
      </c>
      <c r="C22" s="675" t="s">
        <v>1810</v>
      </c>
      <c r="D22" s="673" t="s">
        <v>1839</v>
      </c>
    </row>
    <row r="23" ht="16.5" customHeight="1">
      <c r="A23" s="673" t="s">
        <v>1840</v>
      </c>
      <c r="B23" s="682">
        <v>50.0</v>
      </c>
      <c r="C23" s="675" t="s">
        <v>1810</v>
      </c>
      <c r="D23" s="673" t="s">
        <v>1841</v>
      </c>
    </row>
    <row r="24" ht="16.5" customHeight="1">
      <c r="A24" s="683" t="s">
        <v>1842</v>
      </c>
      <c r="B24" s="684">
        <f>SUM(B12:B23)</f>
        <v>1182</v>
      </c>
      <c r="C24" s="685" t="s">
        <v>1843</v>
      </c>
      <c r="D24" s="683" t="s">
        <v>1844</v>
      </c>
    </row>
    <row r="25" ht="15.75" customHeight="1"/>
    <row r="26" ht="21.75" customHeight="1">
      <c r="A26" s="671" t="s">
        <v>1845</v>
      </c>
      <c r="B26" s="2"/>
      <c r="C26" s="2"/>
      <c r="D26" s="2"/>
    </row>
    <row r="27" ht="15.0" customHeight="1">
      <c r="A27" s="672" t="s">
        <v>1785</v>
      </c>
      <c r="B27" s="672" t="s">
        <v>1805</v>
      </c>
      <c r="C27" s="672" t="s">
        <v>431</v>
      </c>
      <c r="D27" s="672" t="s">
        <v>588</v>
      </c>
    </row>
    <row r="28" ht="16.5" customHeight="1">
      <c r="A28" s="673" t="s">
        <v>1846</v>
      </c>
      <c r="B28" s="682">
        <f>B8</f>
        <v>7950</v>
      </c>
      <c r="C28" s="675" t="s">
        <v>1843</v>
      </c>
      <c r="D28" s="673" t="s">
        <v>1847</v>
      </c>
    </row>
    <row r="29" ht="16.5" customHeight="1">
      <c r="A29" s="673" t="s">
        <v>1848</v>
      </c>
      <c r="B29" s="682">
        <f>B24</f>
        <v>1182</v>
      </c>
      <c r="C29" s="675" t="s">
        <v>1843</v>
      </c>
      <c r="D29" s="673" t="s">
        <v>1849</v>
      </c>
    </row>
    <row r="30" ht="16.5" customHeight="1">
      <c r="A30" s="676" t="s">
        <v>1850</v>
      </c>
      <c r="B30" s="677">
        <f>B28-B29</f>
        <v>6768</v>
      </c>
      <c r="C30" s="678" t="s">
        <v>1843</v>
      </c>
      <c r="D30" s="676" t="s">
        <v>1851</v>
      </c>
    </row>
    <row r="31" ht="15.75" customHeight="1"/>
    <row r="32" ht="16.5" customHeight="1">
      <c r="A32" s="686" t="s">
        <v>1852</v>
      </c>
      <c r="B32" s="687"/>
      <c r="C32" s="687"/>
      <c r="D32" s="686"/>
    </row>
    <row r="33" ht="16.5" customHeight="1">
      <c r="A33" s="673" t="s">
        <v>1853</v>
      </c>
      <c r="B33" s="682">
        <v>2000.0</v>
      </c>
      <c r="C33" s="675" t="s">
        <v>1854</v>
      </c>
      <c r="D33" s="673" t="s">
        <v>1855</v>
      </c>
    </row>
    <row r="34" ht="16.5" customHeight="1">
      <c r="A34" s="673" t="s">
        <v>1856</v>
      </c>
      <c r="B34" s="682">
        <v>1000.0</v>
      </c>
      <c r="C34" s="675" t="s">
        <v>1854</v>
      </c>
      <c r="D34" s="673" t="s">
        <v>1857</v>
      </c>
    </row>
    <row r="35" ht="16.5" customHeight="1">
      <c r="A35" s="673" t="s">
        <v>1858</v>
      </c>
      <c r="B35" s="682">
        <v>500.0</v>
      </c>
      <c r="C35" s="675" t="s">
        <v>1854</v>
      </c>
      <c r="D35" s="673" t="s">
        <v>1859</v>
      </c>
    </row>
    <row r="36" ht="16.5" customHeight="1">
      <c r="A36" s="673" t="s">
        <v>1860</v>
      </c>
      <c r="B36" s="682">
        <v>1500.0</v>
      </c>
      <c r="C36" s="675" t="s">
        <v>1861</v>
      </c>
      <c r="D36" s="673" t="s">
        <v>1862</v>
      </c>
    </row>
    <row r="37" ht="16.5" customHeight="1">
      <c r="A37" s="676" t="s">
        <v>1863</v>
      </c>
      <c r="B37" s="677">
        <f>SUM(B33:B36)</f>
        <v>5000</v>
      </c>
      <c r="C37" s="678" t="s">
        <v>1843</v>
      </c>
      <c r="D37" s="676" t="s">
        <v>1864</v>
      </c>
    </row>
    <row r="38" ht="15.75" customHeight="1"/>
    <row r="39" ht="16.5" customHeight="1">
      <c r="A39" s="679" t="s">
        <v>1865</v>
      </c>
      <c r="B39" s="688">
        <f>B30-B37</f>
        <v>1768</v>
      </c>
      <c r="C39" s="681" t="s">
        <v>1843</v>
      </c>
      <c r="D39" s="679" t="s">
        <v>1866</v>
      </c>
    </row>
    <row r="40" ht="16.5" customHeight="1">
      <c r="A40" s="673" t="s">
        <v>1867</v>
      </c>
      <c r="B40" s="689">
        <f>B37/B28</f>
        <v>0.6289308176</v>
      </c>
      <c r="C40" s="675" t="s">
        <v>1843</v>
      </c>
      <c r="D40" s="673" t="s">
        <v>1868</v>
      </c>
    </row>
    <row r="41" ht="15.75" customHeight="1"/>
    <row r="42" ht="15.75" customHeight="1"/>
    <row r="43" ht="15.75" customHeight="1"/>
    <row r="44" ht="15.75" customHeight="1"/>
    <row r="45" ht="15.75" customHeight="1"/>
    <row r="46" ht="21.75" customHeight="1">
      <c r="A46" s="671" t="s">
        <v>1869</v>
      </c>
      <c r="B46" s="2"/>
      <c r="C46" s="2"/>
      <c r="D46" s="2"/>
    </row>
    <row r="47" ht="15.0" customHeight="1">
      <c r="A47" s="672" t="s">
        <v>1785</v>
      </c>
      <c r="B47" s="672" t="s">
        <v>1805</v>
      </c>
      <c r="C47" s="672" t="s">
        <v>431</v>
      </c>
      <c r="D47" s="672" t="s">
        <v>588</v>
      </c>
    </row>
    <row r="48" ht="16.5" customHeight="1">
      <c r="A48" s="690" t="s">
        <v>1870</v>
      </c>
      <c r="B48" s="674">
        <v>1500.0</v>
      </c>
      <c r="C48" s="691" t="s">
        <v>1810</v>
      </c>
      <c r="D48" s="690" t="s">
        <v>1871</v>
      </c>
    </row>
    <row r="49" ht="16.5" customHeight="1">
      <c r="A49" s="673" t="s">
        <v>1872</v>
      </c>
      <c r="B49" s="682">
        <v>15000.0</v>
      </c>
      <c r="C49" s="675" t="s">
        <v>1873</v>
      </c>
      <c r="D49" s="673" t="s">
        <v>1874</v>
      </c>
    </row>
    <row r="50" ht="16.5" customHeight="1">
      <c r="A50" s="673" t="s">
        <v>1875</v>
      </c>
      <c r="B50" s="692">
        <f>B49/B48</f>
        <v>10</v>
      </c>
      <c r="C50" s="675" t="s">
        <v>1843</v>
      </c>
      <c r="D50" s="673" t="s">
        <v>1876</v>
      </c>
    </row>
    <row r="51" ht="16.5" customHeight="1">
      <c r="A51" s="690" t="s">
        <v>1877</v>
      </c>
      <c r="B51" s="674">
        <v>0.0</v>
      </c>
      <c r="C51" s="691" t="s">
        <v>1878</v>
      </c>
      <c r="D51" s="690" t="s">
        <v>1879</v>
      </c>
    </row>
    <row r="52" ht="16.5" customHeight="1">
      <c r="A52" s="673" t="s">
        <v>1880</v>
      </c>
      <c r="B52" s="682">
        <f>MAX(0,B49-B51)</f>
        <v>15000</v>
      </c>
      <c r="C52" s="675" t="s">
        <v>1843</v>
      </c>
      <c r="D52" s="673" t="s">
        <v>1881</v>
      </c>
    </row>
    <row r="53" ht="15.75" customHeight="1"/>
    <row r="54" ht="21.75" customHeight="1">
      <c r="A54" s="671" t="s">
        <v>1882</v>
      </c>
      <c r="B54" s="2"/>
      <c r="C54" s="2"/>
      <c r="D54" s="2"/>
    </row>
    <row r="55" ht="15.0" customHeight="1">
      <c r="A55" s="672" t="s">
        <v>1785</v>
      </c>
      <c r="B55" s="672" t="s">
        <v>1805</v>
      </c>
      <c r="C55" s="672" t="s">
        <v>431</v>
      </c>
      <c r="D55" s="672" t="s">
        <v>588</v>
      </c>
    </row>
    <row r="56" ht="16.5" customHeight="1">
      <c r="A56" s="673" t="s">
        <v>1883</v>
      </c>
      <c r="B56" s="693" t="s">
        <v>1884</v>
      </c>
      <c r="C56" s="675" t="s">
        <v>1885</v>
      </c>
      <c r="D56" s="673" t="s">
        <v>1886</v>
      </c>
    </row>
    <row r="57" ht="16.5" customHeight="1">
      <c r="A57" s="673" t="s">
        <v>1887</v>
      </c>
      <c r="B57" s="693" t="s">
        <v>1888</v>
      </c>
      <c r="C57" s="675" t="s">
        <v>1889</v>
      </c>
      <c r="D57" s="673" t="s">
        <v>1890</v>
      </c>
    </row>
    <row r="58" ht="16.5" customHeight="1">
      <c r="A58" s="673" t="s">
        <v>1082</v>
      </c>
      <c r="B58" s="694" t="s">
        <v>1891</v>
      </c>
      <c r="C58" s="675" t="s">
        <v>1892</v>
      </c>
      <c r="D58" s="673" t="s">
        <v>1893</v>
      </c>
    </row>
    <row r="59" ht="16.5" customHeight="1">
      <c r="A59" s="673" t="s">
        <v>1894</v>
      </c>
      <c r="B59" s="695" t="s">
        <v>1895</v>
      </c>
      <c r="C59" s="675" t="s">
        <v>1896</v>
      </c>
      <c r="D59" s="673" t="s">
        <v>1897</v>
      </c>
    </row>
    <row r="60" ht="16.5" customHeight="1">
      <c r="A60" s="673" t="s">
        <v>1898</v>
      </c>
      <c r="B60" s="695" t="s">
        <v>1895</v>
      </c>
      <c r="C60" s="675" t="s">
        <v>1896</v>
      </c>
      <c r="D60" s="673" t="s">
        <v>1899</v>
      </c>
    </row>
    <row r="61" ht="16.5" customHeight="1">
      <c r="A61" s="673" t="s">
        <v>1900</v>
      </c>
      <c r="B61" s="695" t="s">
        <v>1895</v>
      </c>
      <c r="C61" s="675" t="s">
        <v>1896</v>
      </c>
      <c r="D61" s="673" t="s">
        <v>1901</v>
      </c>
    </row>
    <row r="62" ht="16.5" customHeight="1">
      <c r="A62" s="673" t="s">
        <v>1902</v>
      </c>
      <c r="B62" s="694" t="s">
        <v>1903</v>
      </c>
      <c r="C62" s="675" t="s">
        <v>1904</v>
      </c>
      <c r="D62" s="673" t="s">
        <v>1905</v>
      </c>
    </row>
    <row r="63" ht="15.75" customHeight="1"/>
    <row r="64" ht="15.75" customHeight="1"/>
    <row r="65" ht="21.75" customHeight="1">
      <c r="A65" s="671" t="s">
        <v>1906</v>
      </c>
      <c r="B65" s="2"/>
      <c r="C65" s="2"/>
      <c r="D65" s="2"/>
    </row>
    <row r="66" ht="15.0" customHeight="1">
      <c r="A66" s="672" t="s">
        <v>1785</v>
      </c>
      <c r="B66" s="672" t="s">
        <v>1805</v>
      </c>
      <c r="C66" s="672" t="s">
        <v>431</v>
      </c>
      <c r="D66" s="672" t="s">
        <v>588</v>
      </c>
    </row>
    <row r="67" ht="16.5" customHeight="1">
      <c r="A67" s="673" t="s">
        <v>339</v>
      </c>
      <c r="B67" s="696" t="s">
        <v>1907</v>
      </c>
      <c r="C67" s="675" t="s">
        <v>1908</v>
      </c>
      <c r="D67" s="673" t="s">
        <v>1909</v>
      </c>
    </row>
    <row r="68" ht="16.5" customHeight="1">
      <c r="A68" s="673" t="s">
        <v>1910</v>
      </c>
      <c r="B68" s="696" t="s">
        <v>1911</v>
      </c>
      <c r="C68" s="675" t="s">
        <v>1912</v>
      </c>
      <c r="D68" s="673" t="s">
        <v>1913</v>
      </c>
    </row>
    <row r="69" ht="16.5" customHeight="1">
      <c r="A69" s="673" t="s">
        <v>1914</v>
      </c>
      <c r="B69" s="696" t="s">
        <v>1915</v>
      </c>
      <c r="C69" s="675" t="s">
        <v>1916</v>
      </c>
      <c r="D69" s="673" t="s">
        <v>1917</v>
      </c>
    </row>
    <row r="70" ht="16.5" customHeight="1">
      <c r="A70" s="673" t="s">
        <v>1918</v>
      </c>
      <c r="B70" s="696" t="s">
        <v>1919</v>
      </c>
      <c r="C70" s="675" t="s">
        <v>1920</v>
      </c>
      <c r="D70" s="673" t="s">
        <v>1921</v>
      </c>
    </row>
    <row r="71" ht="16.5" customHeight="1">
      <c r="A71" s="673" t="s">
        <v>1922</v>
      </c>
      <c r="B71" s="696" t="s">
        <v>1923</v>
      </c>
      <c r="C71" s="675" t="s">
        <v>1873</v>
      </c>
      <c r="D71" s="673" t="s">
        <v>1924</v>
      </c>
    </row>
    <row r="72" ht="16.5" customHeight="1">
      <c r="A72" s="673" t="s">
        <v>1925</v>
      </c>
      <c r="B72" s="696" t="s">
        <v>1926</v>
      </c>
      <c r="C72" s="675" t="s">
        <v>1927</v>
      </c>
      <c r="D72" s="673" t="s">
        <v>1928</v>
      </c>
    </row>
    <row r="73" ht="16.5" customHeight="1">
      <c r="A73" s="673" t="s">
        <v>1929</v>
      </c>
      <c r="B73" s="696" t="s">
        <v>1930</v>
      </c>
      <c r="C73" s="675" t="s">
        <v>1931</v>
      </c>
      <c r="D73" s="673" t="s">
        <v>1932</v>
      </c>
    </row>
    <row r="74" ht="15.75" customHeight="1"/>
    <row r="75" ht="15.75" customHeight="1"/>
    <row r="76" ht="21.75" customHeight="1">
      <c r="A76" s="697" t="s">
        <v>1933</v>
      </c>
      <c r="B76" s="2"/>
      <c r="C76" s="2"/>
      <c r="D76" s="2"/>
    </row>
    <row r="77" ht="21.75" customHeight="1">
      <c r="A77" s="698" t="s">
        <v>1934</v>
      </c>
      <c r="B77" s="2"/>
      <c r="C77" s="2"/>
      <c r="D77" s="2"/>
    </row>
    <row r="78" ht="21.75" customHeight="1">
      <c r="A78" s="699" t="s">
        <v>1935</v>
      </c>
      <c r="B78" s="2"/>
      <c r="C78" s="2"/>
      <c r="D78" s="2"/>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65:D65"/>
    <mergeCell ref="A76:D76"/>
    <mergeCell ref="A77:D77"/>
    <mergeCell ref="A78:D78"/>
    <mergeCell ref="A1:D1"/>
    <mergeCell ref="A2:D2"/>
    <mergeCell ref="A4:D4"/>
    <mergeCell ref="A10:D10"/>
    <mergeCell ref="A26:D26"/>
    <mergeCell ref="A46:D46"/>
    <mergeCell ref="A54:D54"/>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28.0"/>
    <col customWidth="1" min="2" max="5" width="20.0"/>
    <col customWidth="1" min="6" max="6" width="28.0"/>
    <col customWidth="1" min="7" max="7" width="20.0"/>
  </cols>
  <sheetData>
    <row r="1" ht="31.5" customHeight="1">
      <c r="A1" s="700" t="str">
        <f>"📊  ANALYSE PROFESSIONNELLE  ·  "&amp;TEXT(TODAY(),"DD MMMM YYYY")&amp;"  ·  CONFIDENTIEL — CONSEILLER FINANCIER"</f>
        <v>📊  ANALYSE PROFESSIONNELLE  ·  15 March 2026  ·  CONFIDENTIEL — CONSEILLER FINANCIER</v>
      </c>
      <c r="B1" s="2"/>
      <c r="C1" s="2"/>
      <c r="D1" s="2"/>
      <c r="E1" s="2"/>
      <c r="F1" s="2"/>
      <c r="G1" s="2"/>
    </row>
    <row r="2" ht="21.75" customHeight="1">
      <c r="A2" s="701"/>
      <c r="B2" s="2"/>
      <c r="C2" s="2"/>
      <c r="D2" s="2"/>
      <c r="E2" s="2"/>
      <c r="F2" s="2"/>
      <c r="G2" s="2"/>
    </row>
    <row r="3" ht="15.0" customHeight="1"/>
    <row r="4" ht="21.75" customHeight="1">
      <c r="A4" s="702" t="s">
        <v>1936</v>
      </c>
      <c r="B4" s="2"/>
      <c r="C4" s="2"/>
      <c r="D4" s="2"/>
      <c r="E4" s="2"/>
      <c r="F4" s="2"/>
      <c r="G4" s="2"/>
    </row>
    <row r="5" ht="15.75" customHeight="1">
      <c r="A5" s="703" t="s">
        <v>1771</v>
      </c>
      <c r="B5" s="703" t="s">
        <v>1772</v>
      </c>
      <c r="C5" s="703" t="s">
        <v>1937</v>
      </c>
      <c r="D5" s="703" t="s">
        <v>272</v>
      </c>
      <c r="E5" s="703" t="s">
        <v>1938</v>
      </c>
    </row>
    <row r="6" ht="15.75" customHeight="1">
      <c r="A6" s="704" t="s">
        <v>1939</v>
      </c>
      <c r="B6" s="705" t="str">
        <f>TEXT('📈 PORTEFEUILLE'!C11,"$#,##0")</f>
        <v>$85,386</v>
      </c>
      <c r="C6" s="705" t="s">
        <v>1940</v>
      </c>
      <c r="D6" s="705" t="str">
        <f>IF('📈 PORTEFEUILLE'!C11&gt;87252,"🟢 NOUVEL ATH","🟡 "&amp;TEXT(87252-'📈 PORTEFEUILLE'!C11,"$#,##0")&amp;" de l'ATH")</f>
        <v>🟡 $1,866 de l'ATH</v>
      </c>
      <c r="E6" s="705" t="s">
        <v>1941</v>
      </c>
    </row>
    <row r="7" ht="15.75" customHeight="1">
      <c r="A7" s="706" t="s">
        <v>1942</v>
      </c>
      <c r="B7" s="707" t="str">
        <f>TEXT('📈 PORTEFEUILLE'!N11,"$#,##0")&amp;" / "&amp;TEXT('📈 PORTEFEUILLE'!G11,"0.0%")</f>
        <v>$0 / 35.6%</v>
      </c>
      <c r="C7" s="707" t="s">
        <v>1943</v>
      </c>
      <c r="D7" s="707" t="str">
        <f>IF('📈 PORTEFEUILLE'!G11&gt;0.15,"✅ SOLIDE","🟡 SOUS CIBLE")</f>
        <v>✅ SOLIDE</v>
      </c>
      <c r="E7" s="707" t="s">
        <v>1944</v>
      </c>
    </row>
    <row r="8" ht="15.75" customHeight="1">
      <c r="A8" s="706" t="s">
        <v>1945</v>
      </c>
      <c r="B8" s="707" t="str">
        <f>TEXT(CONFIG!B32,"0.0%")</f>
        <v>96.3%</v>
      </c>
      <c r="C8" s="707" t="s">
        <v>1946</v>
      </c>
      <c r="D8" s="707" t="str">
        <f>CONFIG!B47</f>
        <v>🔴 SUREXPOSÉ USD — Rééquilibrer</v>
      </c>
      <c r="E8" s="707" t="s">
        <v>1947</v>
      </c>
    </row>
    <row r="9" ht="15.75" customHeight="1">
      <c r="A9" s="706" t="s">
        <v>1948</v>
      </c>
      <c r="B9" s="707" t="str">
        <f>TEXT(CONFIG!B31,"0.0%")</f>
        <v>28.0%</v>
      </c>
      <c r="C9" s="707" t="s">
        <v>1949</v>
      </c>
      <c r="D9" s="707" t="str">
        <f>IF(CONFIG!B31&gt;0.45,"🔴 DÉPASSE 45%",IF(CONFIG!B31&gt;0.4,"🟡 PROCHE","✅ OK"))</f>
        <v>✅ OK</v>
      </c>
      <c r="E9" s="707" t="s">
        <v>1950</v>
      </c>
    </row>
    <row r="10" ht="15.75" customHeight="1">
      <c r="A10" s="706" t="s">
        <v>1951</v>
      </c>
      <c r="B10" s="707" t="str">
        <f>"T1: "&amp;TEXT(SUMIF('📋 MON PORTEFEUILLE'!D5:D43,"T1",'📋 MON PORTEFEUILLE'!J5:J43)/'📈 PORTEFEUILLE'!C11,"0.0%")&amp;" / "&amp;TEXT(SUMIF('📋 MON PORTEFEUILLE'!D5:D43,"T1",'📋 MON PORTEFEUILLE'!J5:J43),"$#,##0")</f>
        <v>T1: 54.9% / $46,900</v>
      </c>
      <c r="C10" s="707" t="s">
        <v>1952</v>
      </c>
      <c r="D10" s="707" t="str">
        <f>IF(SUMIF('📋 MON PORTEFEUILLE'!D5:D43,"T1",'📋 MON PORTEFEUILLE'!J5:J43)/'📈 PORTEFEUILLE'!C11&gt;0.5,"✅ CIBLE ATTEINTE","🟡 SOUS 50%")</f>
        <v>✅ CIBLE ATTEINTE</v>
      </c>
      <c r="E10" s="707" t="s">
        <v>1953</v>
      </c>
    </row>
    <row r="11" ht="15.75" customHeight="1">
      <c r="A11" s="706" t="s">
        <v>1954</v>
      </c>
      <c r="B11" s="707" t="str">
        <f>"T4: "&amp;TEXT(SUMIF('📋 MON PORTEFEUILLE'!D5:D43,"T4",'📋 MON PORTEFEUILLE'!J5:J43)/'📈 PORTEFEUILLE'!C11,"0.0%")&amp;" / "&amp;TEXT(SUMIF('📋 MON PORTEFEUILLE'!D5:D43,"T4",'📋 MON PORTEFEUILLE'!J5:J43),"$#,##0")</f>
        <v>T4: 12.5% / $10,711</v>
      </c>
      <c r="C11" s="707" t="s">
        <v>1955</v>
      </c>
      <c r="D11" s="707" t="str">
        <f>IF(SUMIF('📋 MON PORTEFEUILLE'!D5:D43,"T4",'📋 MON PORTEFEUILLE'!J5:J43)/'📈 PORTEFEUILLE'!C11&lt;0.15,"✅ BON","🟡 À DILUER")</f>
        <v>✅ BON</v>
      </c>
      <c r="E11" s="707" t="s">
        <v>1956</v>
      </c>
    </row>
    <row r="12" ht="15.75" customHeight="1">
      <c r="A12" s="706" t="s">
        <v>1957</v>
      </c>
      <c r="B12" s="707" t="str">
        <f>TEXT(SUM('📋 MON PORTEFEUILLE'!P5:P43),"$#,##0")&amp;" CAD"</f>
        <v>$1,926 CAD</v>
      </c>
      <c r="C12" s="707" t="s">
        <v>1958</v>
      </c>
      <c r="D12" s="707" t="s">
        <v>1959</v>
      </c>
      <c r="E12" s="707" t="s">
        <v>1960</v>
      </c>
    </row>
    <row r="13" ht="15.75" customHeight="1">
      <c r="A13" s="708" t="s">
        <v>1961</v>
      </c>
      <c r="B13" s="709" t="str">
        <f>TEXT(CONFIG!B25,"$#,##0")</f>
        <v>$0</v>
      </c>
      <c r="C13" s="709" t="s">
        <v>1962</v>
      </c>
      <c r="D13" s="709" t="str">
        <f>IF(CONFIG!B25&gt;=15000,"✅ ATTEINT",IF(CONFIG!B25&gt;0,"🟡 EN COURS","🔴 CRITIQUE"))</f>
        <v>🔴 CRITIQUE</v>
      </c>
      <c r="E13" s="709" t="s">
        <v>1963</v>
      </c>
    </row>
    <row r="14" ht="15.75" customHeight="1">
      <c r="A14" s="704" t="s">
        <v>1964</v>
      </c>
      <c r="B14" s="705" t="str">
        <f>TEXT(CONFIG!B7,"$#,##0")</f>
        <v>$13,700</v>
      </c>
      <c r="C14" s="705" t="s">
        <v>1965</v>
      </c>
      <c r="D14" s="705" t="str">
        <f>IF(CONFIG!B7&lt;1000,"⚠️ QUASI PLEIN",IF(CONFIG!B7&lt;4000,"🟡 ACTION","✅ OK"))</f>
        <v>✅ OK</v>
      </c>
      <c r="E14" s="705" t="s">
        <v>1966</v>
      </c>
    </row>
    <row r="15" ht="15.75" customHeight="1">
      <c r="A15" s="708" t="s">
        <v>1967</v>
      </c>
      <c r="B15" s="709" t="s">
        <v>1968</v>
      </c>
      <c r="C15" s="709" t="s">
        <v>1969</v>
      </c>
      <c r="D15" s="709" t="s">
        <v>1970</v>
      </c>
      <c r="E15" s="709" t="s">
        <v>1971</v>
      </c>
    </row>
    <row r="16" ht="15.0" customHeight="1"/>
    <row r="17" ht="21.75" customHeight="1">
      <c r="A17" s="710" t="s">
        <v>1972</v>
      </c>
      <c r="B17" s="2"/>
      <c r="C17" s="2"/>
      <c r="D17" s="2"/>
      <c r="E17" s="2"/>
      <c r="F17" s="2"/>
      <c r="G17" s="2"/>
    </row>
    <row r="18" ht="15.75" customHeight="1">
      <c r="A18" s="703" t="s">
        <v>1206</v>
      </c>
      <c r="B18" s="703" t="s">
        <v>250</v>
      </c>
      <c r="C18" s="703" t="s">
        <v>251</v>
      </c>
      <c r="D18" s="703" t="s">
        <v>1649</v>
      </c>
      <c r="E18" s="703" t="s">
        <v>1973</v>
      </c>
      <c r="F18" s="703" t="s">
        <v>1974</v>
      </c>
    </row>
    <row r="19" ht="15.75" customHeight="1">
      <c r="A19" s="711" t="s">
        <v>1247</v>
      </c>
      <c r="B19" s="712" t="s">
        <v>19</v>
      </c>
      <c r="C19" s="712" t="str">
        <f>TEXT('📋 MON PORTEFEUILLE'!J5,"$#,##0")</f>
        <v>$13,591</v>
      </c>
      <c r="D19" s="712" t="str">
        <f>TEXT('📋 MON PORTEFEUILLE'!J5/'📈 PORTEFEUILLE'!C11,"0.0%")</f>
        <v>15.9%</v>
      </c>
      <c r="E19" s="712" t="s">
        <v>1975</v>
      </c>
      <c r="F19" s="712" t="s">
        <v>1976</v>
      </c>
    </row>
    <row r="20" ht="15.75" customHeight="1">
      <c r="A20" s="713" t="s">
        <v>1977</v>
      </c>
      <c r="B20" s="709" t="s">
        <v>19</v>
      </c>
      <c r="C20" s="709" t="str">
        <f>TEXT('📋 MON PORTEFEUILLE'!J6,"$#,##0")</f>
        <v>$11,140</v>
      </c>
      <c r="D20" s="709" t="str">
        <f>TEXT('📋 MON PORTEFEUILLE'!J6/'📈 PORTEFEUILLE'!C11,"0.0%")</f>
        <v>13.0%</v>
      </c>
      <c r="E20" s="709" t="s">
        <v>1978</v>
      </c>
      <c r="F20" s="709" t="s">
        <v>1979</v>
      </c>
    </row>
    <row r="21" ht="15.75" customHeight="1">
      <c r="A21" s="711" t="s">
        <v>1223</v>
      </c>
      <c r="B21" s="712" t="s">
        <v>19</v>
      </c>
      <c r="C21" s="712" t="str">
        <f>TEXT('📋 MON PORTEFEUILLE'!J7,"$#,##0")</f>
        <v>$10,097</v>
      </c>
      <c r="D21" s="712" t="str">
        <f>TEXT('📋 MON PORTEFEUILLE'!J7/'📈 PORTEFEUILLE'!C11,"0.0%")</f>
        <v>11.8%</v>
      </c>
      <c r="E21" s="712" t="s">
        <v>1955</v>
      </c>
      <c r="F21" s="712" t="s">
        <v>1980</v>
      </c>
    </row>
    <row r="22" ht="15.75" customHeight="1">
      <c r="A22" s="714" t="s">
        <v>536</v>
      </c>
      <c r="B22" s="715" t="s">
        <v>19</v>
      </c>
      <c r="C22" s="715" t="str">
        <f>TEXT('📋 MON PORTEFEUILLE'!J8,"$#,##0")</f>
        <v>$7,240</v>
      </c>
      <c r="D22" s="715" t="str">
        <f>TEXT('📋 MON PORTEFEUILLE'!J8/'📈 PORTEFEUILLE'!C11,"0.0%")</f>
        <v>8.5%</v>
      </c>
      <c r="E22" s="715" t="s">
        <v>1955</v>
      </c>
      <c r="F22" s="715" t="s">
        <v>1981</v>
      </c>
    </row>
    <row r="23" ht="15.75" customHeight="1">
      <c r="A23" s="713" t="s">
        <v>1982</v>
      </c>
      <c r="B23" s="709" t="s">
        <v>1983</v>
      </c>
      <c r="C23" s="709" t="str">
        <f>TEXT(SUMIF('📋 MON PORTEFEUILLE'!D5:D43,"T3",'📋 MON PORTEFEUILLE'!J5:J43),"$#,##0")</f>
        <v>$19,009</v>
      </c>
      <c r="D23" s="709" t="str">
        <f>TEXT(SUMIF('📋 MON PORTEFEUILLE'!D5:D43,"T3",'📋 MON PORTEFEUILLE'!J5:J43)/'📈 PORTEFEUILLE'!C11,"0.0%")</f>
        <v>22.3%</v>
      </c>
      <c r="E23" s="709" t="s">
        <v>1984</v>
      </c>
      <c r="F23" s="709" t="s">
        <v>1985</v>
      </c>
    </row>
    <row r="24" ht="15.75" customHeight="1">
      <c r="A24" s="713" t="s">
        <v>1986</v>
      </c>
      <c r="B24" s="709" t="s">
        <v>19</v>
      </c>
      <c r="C24" s="709" t="str">
        <f>TEXT('📋 MON PORTEFEUILLE'!J37,"$#,##0")</f>
        <v>$576</v>
      </c>
      <c r="D24" s="709" t="str">
        <f>TEXT('📋 MON PORTEFEUILLE'!J37/'📈 PORTEFEUILLE'!C11,"0.0%")</f>
        <v>0.7%</v>
      </c>
      <c r="E24" s="709" t="s">
        <v>1987</v>
      </c>
      <c r="F24" s="709" t="s">
        <v>1988</v>
      </c>
    </row>
    <row r="25" ht="15.75" customHeight="1">
      <c r="A25" s="713" t="s">
        <v>1289</v>
      </c>
      <c r="B25" s="709" t="s">
        <v>19</v>
      </c>
      <c r="C25" s="709" t="str">
        <f>TEXT('📋 MON PORTEFEUILLE'!J39,"$#,##0")</f>
        <v>$367</v>
      </c>
      <c r="D25" s="709" t="str">
        <f>TEXT('📋 MON PORTEFEUILLE'!J39/'📈 PORTEFEUILLE'!C11,"0.0%")</f>
        <v>0.4%</v>
      </c>
      <c r="E25" s="709" t="s">
        <v>1987</v>
      </c>
      <c r="F25" s="709" t="s">
        <v>1989</v>
      </c>
    </row>
    <row r="26" ht="15.75" customHeight="1"/>
    <row r="27" ht="21.75" customHeight="1">
      <c r="A27" s="716" t="s">
        <v>1990</v>
      </c>
      <c r="B27" s="2"/>
      <c r="C27" s="2"/>
      <c r="D27" s="2"/>
      <c r="E27" s="2"/>
      <c r="F27" s="2"/>
      <c r="G27" s="2"/>
    </row>
    <row r="28" ht="15.75" customHeight="1">
      <c r="A28" s="717" t="s">
        <v>1991</v>
      </c>
      <c r="B28" s="718" t="s">
        <v>1992</v>
      </c>
      <c r="C28" s="718" t="s">
        <v>1758</v>
      </c>
      <c r="D28" s="718" t="s">
        <v>1993</v>
      </c>
      <c r="E28" s="718" t="s">
        <v>1994</v>
      </c>
      <c r="F28" s="718" t="s">
        <v>272</v>
      </c>
    </row>
    <row r="29" ht="15.75" customHeight="1">
      <c r="A29" s="719" t="s">
        <v>1995</v>
      </c>
      <c r="B29" s="707" t="s">
        <v>1996</v>
      </c>
      <c r="C29" s="707" t="s">
        <v>1997</v>
      </c>
      <c r="D29" s="707" t="s">
        <v>1998</v>
      </c>
      <c r="E29" s="707" t="s">
        <v>1999</v>
      </c>
      <c r="F29" s="707" t="s">
        <v>2000</v>
      </c>
    </row>
    <row r="30" ht="15.75" customHeight="1">
      <c r="A30" s="719" t="s">
        <v>2001</v>
      </c>
      <c r="B30" s="707" t="str">
        <f>TEXT(CONFIG!B33,"$#,##0")&amp;" YTD"</f>
        <v>$2,300 YTD</v>
      </c>
      <c r="C30" s="707" t="s">
        <v>2002</v>
      </c>
      <c r="D30" s="707" t="s">
        <v>2003</v>
      </c>
      <c r="E30" s="707" t="s">
        <v>2004</v>
      </c>
      <c r="F30" s="707" t="str">
        <f>IF(CONFIG!B7&lt;1000,"⚠️ Room quasi plein","Room restant: $"&amp;TEXT(CONFIG!B7,"#,##0"))</f>
        <v>Room restant: $13,700</v>
      </c>
    </row>
    <row r="31" ht="15.75" customHeight="1">
      <c r="A31" s="213" t="s">
        <v>2005</v>
      </c>
      <c r="B31" s="720" t="s">
        <v>2006</v>
      </c>
      <c r="C31" s="720" t="s">
        <v>2007</v>
      </c>
      <c r="D31" s="720" t="s">
        <v>2008</v>
      </c>
      <c r="E31" s="720" t="s">
        <v>2009</v>
      </c>
      <c r="F31" s="720" t="s">
        <v>2010</v>
      </c>
    </row>
    <row r="32" ht="15.75" customHeight="1">
      <c r="A32" s="213" t="s">
        <v>2011</v>
      </c>
      <c r="B32" s="720" t="s">
        <v>2012</v>
      </c>
      <c r="C32" s="720" t="s">
        <v>2013</v>
      </c>
      <c r="D32" s="720" t="s">
        <v>2014</v>
      </c>
      <c r="E32" s="720"/>
      <c r="F32" s="720"/>
    </row>
    <row r="33" ht="15.75" customHeight="1">
      <c r="A33" s="713" t="s">
        <v>2015</v>
      </c>
      <c r="B33" s="709" t="s">
        <v>2016</v>
      </c>
      <c r="C33" s="709" t="s">
        <v>2017</v>
      </c>
      <c r="D33" s="709" t="s">
        <v>2018</v>
      </c>
      <c r="E33" s="709"/>
      <c r="F33" s="709" t="s">
        <v>2019</v>
      </c>
    </row>
    <row r="34" ht="15.75" customHeight="1"/>
    <row r="35" ht="21.75" customHeight="1">
      <c r="A35" s="721" t="s">
        <v>2020</v>
      </c>
      <c r="B35" s="2"/>
      <c r="C35" s="2"/>
      <c r="D35" s="2"/>
      <c r="E35" s="2"/>
      <c r="F35" s="2"/>
      <c r="G35" s="2"/>
    </row>
    <row r="36" ht="15.75" customHeight="1">
      <c r="A36" s="722" t="s">
        <v>2021</v>
      </c>
      <c r="B36" s="722" t="s">
        <v>431</v>
      </c>
      <c r="C36" s="722" t="s">
        <v>270</v>
      </c>
      <c r="D36" s="722" t="s">
        <v>271</v>
      </c>
      <c r="E36" s="722" t="s">
        <v>2022</v>
      </c>
    </row>
    <row r="37" ht="31.5" customHeight="1">
      <c r="A37" s="723" t="s">
        <v>2023</v>
      </c>
      <c r="B37" s="724" t="s">
        <v>1896</v>
      </c>
      <c r="C37" s="725" t="s">
        <v>2024</v>
      </c>
      <c r="D37" s="709" t="s">
        <v>2025</v>
      </c>
      <c r="E37" s="213" t="s">
        <v>2026</v>
      </c>
    </row>
    <row r="38" ht="31.5" customHeight="1">
      <c r="A38" s="723" t="s">
        <v>2023</v>
      </c>
      <c r="B38" s="724" t="s">
        <v>1896</v>
      </c>
      <c r="C38" s="725" t="s">
        <v>2027</v>
      </c>
      <c r="D38" s="709" t="s">
        <v>2028</v>
      </c>
      <c r="E38" s="213" t="s">
        <v>2029</v>
      </c>
    </row>
    <row r="39" ht="31.5" customHeight="1">
      <c r="A39" s="726" t="s">
        <v>2030</v>
      </c>
      <c r="B39" s="727" t="s">
        <v>2031</v>
      </c>
      <c r="C39" s="728" t="s">
        <v>2032</v>
      </c>
      <c r="D39" s="705" t="s">
        <v>2033</v>
      </c>
      <c r="E39" s="213" t="s">
        <v>2034</v>
      </c>
    </row>
    <row r="40" ht="31.5" customHeight="1">
      <c r="A40" s="726" t="s">
        <v>2030</v>
      </c>
      <c r="B40" s="727" t="s">
        <v>2031</v>
      </c>
      <c r="C40" s="728" t="s">
        <v>2035</v>
      </c>
      <c r="D40" s="705" t="s">
        <v>2036</v>
      </c>
      <c r="E40" s="213" t="s">
        <v>2037</v>
      </c>
    </row>
    <row r="41" ht="31.5" customHeight="1">
      <c r="A41" s="726" t="s">
        <v>2030</v>
      </c>
      <c r="B41" s="727" t="s">
        <v>2038</v>
      </c>
      <c r="C41" s="728" t="s">
        <v>2039</v>
      </c>
      <c r="D41" s="705" t="s">
        <v>2040</v>
      </c>
      <c r="E41" s="213" t="s">
        <v>2041</v>
      </c>
    </row>
    <row r="42" ht="31.5" customHeight="1">
      <c r="A42" s="729" t="s">
        <v>2042</v>
      </c>
      <c r="B42" s="730" t="s">
        <v>2043</v>
      </c>
      <c r="C42" s="731" t="s">
        <v>2044</v>
      </c>
      <c r="D42" s="707" t="s">
        <v>2045</v>
      </c>
      <c r="E42" s="213" t="s">
        <v>2046</v>
      </c>
    </row>
    <row r="43" ht="31.5" customHeight="1">
      <c r="A43" s="729" t="s">
        <v>2042</v>
      </c>
      <c r="B43" s="730" t="s">
        <v>2043</v>
      </c>
      <c r="C43" s="731" t="s">
        <v>2047</v>
      </c>
      <c r="D43" s="707" t="s">
        <v>529</v>
      </c>
      <c r="E43" s="213" t="s">
        <v>2048</v>
      </c>
    </row>
    <row r="44" ht="15.75" customHeight="1"/>
    <row r="45" ht="21.75" customHeight="1">
      <c r="A45" s="702" t="s">
        <v>2049</v>
      </c>
      <c r="B45" s="2"/>
      <c r="C45" s="2"/>
      <c r="D45" s="2"/>
      <c r="E45" s="2"/>
      <c r="F45" s="2"/>
      <c r="G45" s="2"/>
    </row>
    <row r="46" ht="15.75" customHeight="1">
      <c r="A46" s="732" t="s">
        <v>1112</v>
      </c>
      <c r="B46" s="732" t="s">
        <v>2050</v>
      </c>
      <c r="C46" s="732" t="s">
        <v>1733</v>
      </c>
      <c r="D46" s="732" t="s">
        <v>1734</v>
      </c>
      <c r="E46" s="732" t="s">
        <v>1735</v>
      </c>
      <c r="F46" s="732" t="s">
        <v>1736</v>
      </c>
      <c r="G46" s="732" t="s">
        <v>1737</v>
      </c>
    </row>
    <row r="47" ht="15.75" customHeight="1">
      <c r="A47" s="711" t="s">
        <v>2051</v>
      </c>
      <c r="B47" s="712" t="s">
        <v>2052</v>
      </c>
      <c r="C47" s="712" t="s">
        <v>2053</v>
      </c>
      <c r="D47" s="712" t="s">
        <v>2054</v>
      </c>
      <c r="E47" s="712" t="s">
        <v>2055</v>
      </c>
      <c r="F47" s="712" t="s">
        <v>2056</v>
      </c>
      <c r="G47" s="712" t="s">
        <v>2057</v>
      </c>
    </row>
    <row r="48" ht="15.75" customHeight="1">
      <c r="A48" s="719" t="s">
        <v>2058</v>
      </c>
      <c r="B48" s="707" t="s">
        <v>2059</v>
      </c>
      <c r="C48" s="707" t="s">
        <v>2060</v>
      </c>
      <c r="D48" s="707" t="s">
        <v>2061</v>
      </c>
      <c r="E48" s="707" t="s">
        <v>2062</v>
      </c>
      <c r="F48" s="707" t="s">
        <v>2063</v>
      </c>
      <c r="G48" s="707" t="s">
        <v>2064</v>
      </c>
    </row>
    <row r="49" ht="15.75" customHeight="1">
      <c r="A49" s="733" t="s">
        <v>2065</v>
      </c>
      <c r="B49" s="705" t="s">
        <v>2066</v>
      </c>
      <c r="C49" s="705" t="s">
        <v>2067</v>
      </c>
      <c r="D49" s="705" t="s">
        <v>2068</v>
      </c>
      <c r="E49" s="705" t="s">
        <v>2069</v>
      </c>
      <c r="F49" s="705" t="s">
        <v>2070</v>
      </c>
      <c r="G49" s="705" t="s">
        <v>2071</v>
      </c>
    </row>
    <row r="50" ht="15.75" customHeight="1">
      <c r="A50" s="734" t="s">
        <v>2072</v>
      </c>
      <c r="B50" s="734" t="s">
        <v>2073</v>
      </c>
      <c r="C50" s="213" t="s">
        <v>2074</v>
      </c>
    </row>
    <row r="51" ht="15.75" customHeight="1">
      <c r="A51" s="734" t="s">
        <v>2075</v>
      </c>
      <c r="B51" s="734" t="s">
        <v>2076</v>
      </c>
      <c r="C51" s="213" t="s">
        <v>2077</v>
      </c>
    </row>
    <row r="52" ht="15.75" customHeight="1">
      <c r="A52" s="734" t="s">
        <v>2078</v>
      </c>
      <c r="B52" s="734" t="s">
        <v>842</v>
      </c>
      <c r="C52" s="213" t="s">
        <v>2079</v>
      </c>
    </row>
    <row r="53" ht="15.75" customHeight="1"/>
    <row r="54" ht="21.75" customHeight="1">
      <c r="A54" s="710" t="s">
        <v>2080</v>
      </c>
      <c r="B54" s="2"/>
      <c r="C54" s="2"/>
      <c r="D54" s="2"/>
      <c r="E54" s="2"/>
      <c r="F54" s="2"/>
      <c r="G54" s="2"/>
    </row>
    <row r="55" ht="15.75" customHeight="1">
      <c r="A55" s="722" t="s">
        <v>2081</v>
      </c>
      <c r="B55" s="722" t="s">
        <v>2082</v>
      </c>
      <c r="C55" s="722" t="s">
        <v>1545</v>
      </c>
      <c r="D55" s="722" t="s">
        <v>2083</v>
      </c>
      <c r="E55" s="722" t="s">
        <v>2084</v>
      </c>
    </row>
    <row r="56" ht="15.75" customHeight="1">
      <c r="A56" s="711" t="s">
        <v>2085</v>
      </c>
      <c r="B56" s="712" t="s">
        <v>2086</v>
      </c>
      <c r="C56" s="712" t="s">
        <v>2087</v>
      </c>
      <c r="D56" s="712" t="s">
        <v>2088</v>
      </c>
      <c r="E56" s="711" t="s">
        <v>2089</v>
      </c>
    </row>
    <row r="57" ht="15.75" customHeight="1">
      <c r="A57" s="733" t="s">
        <v>2090</v>
      </c>
      <c r="B57" s="705" t="s">
        <v>2091</v>
      </c>
      <c r="C57" s="705" t="s">
        <v>2092</v>
      </c>
      <c r="D57" s="705" t="s">
        <v>2093</v>
      </c>
      <c r="E57" s="733" t="s">
        <v>2094</v>
      </c>
    </row>
    <row r="58" ht="15.75" customHeight="1">
      <c r="A58" s="711" t="s">
        <v>2095</v>
      </c>
      <c r="B58" s="712" t="s">
        <v>2086</v>
      </c>
      <c r="C58" s="712" t="s">
        <v>2096</v>
      </c>
      <c r="D58" s="712" t="s">
        <v>2097</v>
      </c>
      <c r="E58" s="711" t="s">
        <v>2098</v>
      </c>
    </row>
    <row r="59" ht="15.75" customHeight="1">
      <c r="A59" s="713" t="s">
        <v>2099</v>
      </c>
      <c r="B59" s="709" t="s">
        <v>2100</v>
      </c>
      <c r="C59" s="709" t="s">
        <v>2101</v>
      </c>
      <c r="D59" s="709" t="s">
        <v>2102</v>
      </c>
      <c r="E59" s="713" t="s">
        <v>2103</v>
      </c>
    </row>
    <row r="60" ht="15.75" customHeight="1">
      <c r="A60" s="733" t="s">
        <v>2104</v>
      </c>
      <c r="B60" s="705" t="s">
        <v>2105</v>
      </c>
      <c r="C60" s="705" t="s">
        <v>2092</v>
      </c>
      <c r="D60" s="705" t="s">
        <v>2106</v>
      </c>
      <c r="E60" s="733" t="s">
        <v>2107</v>
      </c>
    </row>
    <row r="61" ht="15.75" customHeight="1">
      <c r="A61" s="733" t="s">
        <v>2108</v>
      </c>
      <c r="B61" s="705" t="s">
        <v>2109</v>
      </c>
      <c r="C61" s="705" t="s">
        <v>2092</v>
      </c>
      <c r="D61" s="705" t="s">
        <v>2110</v>
      </c>
      <c r="E61" s="733" t="s">
        <v>2111</v>
      </c>
    </row>
    <row r="62" ht="15.75" customHeight="1">
      <c r="A62" s="713" t="s">
        <v>2112</v>
      </c>
      <c r="B62" s="709" t="s">
        <v>2113</v>
      </c>
      <c r="C62" s="709" t="s">
        <v>2092</v>
      </c>
      <c r="D62" s="709" t="s">
        <v>2114</v>
      </c>
      <c r="E62" s="713" t="s">
        <v>2115</v>
      </c>
    </row>
    <row r="63" ht="15.75" customHeight="1"/>
    <row r="64" ht="21.75" customHeight="1">
      <c r="A64" s="721" t="s">
        <v>2116</v>
      </c>
      <c r="B64" s="2"/>
      <c r="C64" s="2"/>
      <c r="D64" s="2"/>
      <c r="E64" s="2"/>
      <c r="F64" s="2"/>
      <c r="G64" s="2"/>
    </row>
    <row r="65" ht="15.75" customHeight="1">
      <c r="A65" s="735" t="s">
        <v>2117</v>
      </c>
      <c r="B65" s="736" t="s">
        <v>2118</v>
      </c>
      <c r="C65" s="213" t="s">
        <v>2119</v>
      </c>
    </row>
    <row r="66" ht="15.75" customHeight="1">
      <c r="A66" s="735" t="s">
        <v>2120</v>
      </c>
      <c r="B66" s="736" t="s">
        <v>2121</v>
      </c>
      <c r="C66" s="213" t="s">
        <v>2122</v>
      </c>
    </row>
    <row r="67" ht="15.75" customHeight="1">
      <c r="A67" s="735" t="s">
        <v>2123</v>
      </c>
      <c r="B67" s="736" t="s">
        <v>2124</v>
      </c>
      <c r="C67" s="213" t="s">
        <v>2125</v>
      </c>
    </row>
    <row r="68" ht="15.75" customHeight="1">
      <c r="A68" s="735" t="s">
        <v>2126</v>
      </c>
      <c r="B68" s="736" t="s">
        <v>2127</v>
      </c>
      <c r="C68" s="213" t="s">
        <v>2128</v>
      </c>
    </row>
    <row r="69" ht="15.75" customHeight="1">
      <c r="A69" s="735" t="s">
        <v>2129</v>
      </c>
      <c r="B69" s="736" t="s">
        <v>2130</v>
      </c>
      <c r="C69" s="213" t="s">
        <v>2131</v>
      </c>
    </row>
    <row r="70" ht="15.75" customHeight="1">
      <c r="A70" s="735" t="s">
        <v>2132</v>
      </c>
      <c r="B70" s="736" t="s">
        <v>2133</v>
      </c>
      <c r="C70" s="213" t="s">
        <v>2134</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54:G54"/>
    <mergeCell ref="A64:G64"/>
    <mergeCell ref="C65:G65"/>
    <mergeCell ref="C66:G66"/>
    <mergeCell ref="C67:G67"/>
    <mergeCell ref="C68:G68"/>
    <mergeCell ref="C69:G69"/>
    <mergeCell ref="C70:G70"/>
    <mergeCell ref="A1:G1"/>
    <mergeCell ref="A2:G2"/>
    <mergeCell ref="A4:G4"/>
    <mergeCell ref="A17:G17"/>
    <mergeCell ref="A27:G27"/>
    <mergeCell ref="A35:G35"/>
    <mergeCell ref="A45:G45"/>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xSplit="1.0" ySplit="13.0" topLeftCell="B14" activePane="bottomRight" state="frozen"/>
      <selection activeCell="B1" sqref="B1" pane="topRight"/>
      <selection activeCell="A14" sqref="A14" pane="bottomLeft"/>
      <selection activeCell="B14" sqref="B14" pane="bottomRight"/>
    </sheetView>
  </sheetViews>
  <sheetFormatPr customHeight="1" defaultColWidth="14.43" defaultRowHeight="15.0"/>
  <cols>
    <col customWidth="1" min="1" max="1" width="3.0"/>
    <col customWidth="1" min="2" max="2" width="16.0"/>
    <col customWidth="1" min="3" max="3" width="20.0"/>
    <col customWidth="1" min="4" max="7" width="10.0"/>
    <col customWidth="1" min="8" max="10" width="14.0"/>
    <col customWidth="1" min="11" max="11" width="6.0"/>
    <col customWidth="1" min="12" max="14" width="14.0"/>
    <col customWidth="1" min="15" max="16" width="10.0"/>
    <col customWidth="1" min="17" max="17" width="25.0"/>
    <col customWidth="1" min="18" max="18" width="14.0"/>
    <col customWidth="1" min="19" max="37" width="8.71"/>
  </cols>
  <sheetData>
    <row r="1" ht="30.0" customHeight="1">
      <c r="A1" s="737"/>
      <c r="B1" s="738" t="s">
        <v>2135</v>
      </c>
      <c r="C1" s="2"/>
      <c r="D1" s="2"/>
      <c r="E1" s="2"/>
      <c r="F1" s="2"/>
      <c r="G1" s="2"/>
      <c r="H1" s="2"/>
      <c r="I1" s="2"/>
      <c r="J1" s="2"/>
      <c r="K1" s="2"/>
      <c r="L1" s="2"/>
      <c r="M1" s="2"/>
      <c r="N1" s="2"/>
      <c r="O1" s="2"/>
      <c r="P1" s="2"/>
      <c r="Q1" s="2"/>
      <c r="R1" s="737"/>
    </row>
    <row r="2" ht="27.75" customHeight="1">
      <c r="A2" s="739"/>
      <c r="B2" s="740" t="s">
        <v>2136</v>
      </c>
      <c r="C2" s="2"/>
      <c r="D2" s="2"/>
      <c r="E2" s="2"/>
      <c r="F2" s="2"/>
      <c r="G2" s="2"/>
      <c r="H2" s="2"/>
      <c r="I2" s="2"/>
      <c r="J2" s="2"/>
      <c r="K2" s="2"/>
      <c r="L2" s="2"/>
      <c r="M2" s="2"/>
      <c r="N2" s="2"/>
      <c r="O2" s="2"/>
      <c r="P2" s="2"/>
      <c r="Q2" s="2"/>
      <c r="R2" s="739"/>
      <c r="S2" s="739"/>
      <c r="T2" s="741"/>
    </row>
    <row r="3" ht="18.0" customHeight="1">
      <c r="A3" s="742"/>
      <c r="B3" s="743" t="s">
        <v>2137</v>
      </c>
      <c r="C3" s="2"/>
      <c r="D3" s="2"/>
      <c r="E3" s="2"/>
      <c r="F3" s="2"/>
      <c r="G3" s="2"/>
      <c r="H3" s="2"/>
      <c r="I3" s="2"/>
      <c r="J3" s="2"/>
      <c r="K3" s="2"/>
      <c r="L3" s="2"/>
      <c r="M3" s="2"/>
      <c r="N3" s="2"/>
      <c r="O3" s="2"/>
      <c r="P3" s="2"/>
      <c r="Q3" s="2"/>
      <c r="R3" s="742"/>
      <c r="S3" s="742"/>
      <c r="T3" s="742"/>
      <c r="U3" s="742"/>
    </row>
    <row r="4" ht="18.0" customHeight="1">
      <c r="A4" s="744"/>
      <c r="B4" s="745" t="s">
        <v>2138</v>
      </c>
      <c r="C4" s="746">
        <f>CONFIG!B3</f>
        <v>1.3559</v>
      </c>
      <c r="D4" s="747" t="s">
        <v>2139</v>
      </c>
      <c r="E4" s="2"/>
      <c r="F4" s="2"/>
      <c r="G4" s="2"/>
      <c r="H4" s="2"/>
      <c r="I4" s="2"/>
      <c r="J4" s="2"/>
      <c r="K4" s="744"/>
      <c r="L4" s="744"/>
      <c r="M4" s="744"/>
      <c r="N4" s="744"/>
      <c r="O4" s="744"/>
      <c r="P4" s="744"/>
      <c r="Q4" s="744"/>
      <c r="R4" s="744"/>
      <c r="S4" s="744"/>
      <c r="T4" s="744"/>
      <c r="U4" s="744"/>
      <c r="V4" s="744"/>
    </row>
    <row r="5" ht="18.0" customHeight="1">
      <c r="A5" s="741"/>
      <c r="B5" s="741"/>
      <c r="C5" s="741"/>
      <c r="D5" s="741"/>
      <c r="E5" s="741"/>
      <c r="F5" s="741"/>
      <c r="G5" s="741"/>
      <c r="H5" s="741"/>
      <c r="I5" s="741"/>
      <c r="J5" s="741"/>
      <c r="K5" s="741"/>
      <c r="L5" s="741"/>
      <c r="M5" s="741"/>
      <c r="N5" s="741"/>
      <c r="O5" s="741"/>
      <c r="P5" s="741"/>
      <c r="Q5" s="741"/>
      <c r="R5" s="741"/>
      <c r="S5" s="741"/>
      <c r="T5" s="741"/>
      <c r="U5" s="741"/>
      <c r="V5" s="741"/>
      <c r="W5" s="741"/>
    </row>
    <row r="6" ht="14.25" customHeight="1">
      <c r="A6" s="739"/>
      <c r="B6" s="739"/>
      <c r="C6" s="739"/>
      <c r="D6" s="739"/>
      <c r="E6" s="739"/>
      <c r="F6" s="739"/>
      <c r="G6" s="739"/>
      <c r="H6" s="739"/>
      <c r="I6" s="739"/>
      <c r="J6" s="739"/>
      <c r="K6" s="739"/>
      <c r="L6" s="739"/>
      <c r="M6" s="739"/>
      <c r="N6" s="739"/>
      <c r="O6" s="739"/>
      <c r="P6" s="739"/>
      <c r="Q6" s="739"/>
      <c r="R6" s="739"/>
      <c r="S6" s="739"/>
      <c r="T6" s="739"/>
      <c r="U6" s="739"/>
      <c r="V6" s="739"/>
      <c r="W6" s="739"/>
      <c r="X6" s="739"/>
      <c r="Y6" s="741"/>
    </row>
    <row r="7" ht="19.5" customHeight="1">
      <c r="A7" s="748"/>
      <c r="B7" s="749" t="s">
        <v>250</v>
      </c>
      <c r="C7" s="749" t="s">
        <v>251</v>
      </c>
      <c r="D7" s="749" t="s">
        <v>2140</v>
      </c>
      <c r="E7" s="749" t="s">
        <v>2141</v>
      </c>
      <c r="F7" s="749" t="s">
        <v>2142</v>
      </c>
      <c r="G7" s="749" t="s">
        <v>1651</v>
      </c>
      <c r="H7" s="749" t="s">
        <v>1648</v>
      </c>
      <c r="I7" s="749" t="s">
        <v>2143</v>
      </c>
      <c r="J7" s="749" t="s">
        <v>272</v>
      </c>
      <c r="K7" s="749"/>
      <c r="L7" s="749"/>
      <c r="M7" s="749"/>
      <c r="N7" s="749"/>
      <c r="O7" s="749"/>
      <c r="P7" s="749"/>
      <c r="Q7" s="749"/>
      <c r="R7" s="750"/>
      <c r="S7" s="748"/>
      <c r="T7" s="748"/>
      <c r="U7" s="748"/>
      <c r="V7" s="748"/>
      <c r="W7" s="748"/>
      <c r="X7" s="748"/>
      <c r="Y7" s="748"/>
      <c r="Z7" s="748"/>
      <c r="AA7" s="748"/>
    </row>
    <row r="8" ht="16.5" customHeight="1">
      <c r="B8" s="751" t="s">
        <v>19</v>
      </c>
      <c r="C8" s="752">
        <f t="shared" ref="C8:D8" si="1">L44</f>
        <v>67855.03</v>
      </c>
      <c r="D8" s="752">
        <f t="shared" si="1"/>
        <v>50044.27317</v>
      </c>
      <c r="E8" s="752">
        <f>SUMPRODUCT((F15:F42="TFSA")*G15:G42*H15:H42)</f>
        <v>48896.46596</v>
      </c>
      <c r="F8" s="752">
        <f>N44</f>
        <v>18727.90404</v>
      </c>
      <c r="G8" s="753">
        <f>IF(L44&gt;0,N44/L44,0)</f>
        <v>0.2759987585</v>
      </c>
      <c r="H8" s="754">
        <f>COUNTIF(F15:F42,"TFSA")</f>
        <v>28</v>
      </c>
      <c r="I8" s="752">
        <f>CONFIG!B6</f>
        <v>69600</v>
      </c>
      <c r="J8" s="751" t="str">
        <f t="shared" ref="J8:J9" si="3">IF(C8/F10&gt;=1,"ATTEINT","EN COURS")</f>
        <v>ATTEINT</v>
      </c>
    </row>
    <row r="9" ht="16.5" customHeight="1">
      <c r="B9" s="755" t="s">
        <v>22</v>
      </c>
      <c r="C9" s="756">
        <f t="shared" ref="C9:D9" si="2">L59</f>
        <v>14767.01792</v>
      </c>
      <c r="D9" s="756">
        <f t="shared" si="2"/>
        <v>10890.93438</v>
      </c>
      <c r="E9" s="756">
        <f>SUMPRODUCT((F47:F57="FHSA")*G47:G57*H47:H57)</f>
        <v>12199.67509</v>
      </c>
      <c r="F9" s="756">
        <f>N59</f>
        <v>2552.212829</v>
      </c>
      <c r="G9" s="757">
        <f>IF(L59&gt;0,N59/L59,0)</f>
        <v>0.1728319721</v>
      </c>
      <c r="H9" s="758">
        <f>COUNTIF(F47:F57,"FHSA")</f>
        <v>11</v>
      </c>
      <c r="I9" s="756">
        <f>CONFIG!B7</f>
        <v>13700</v>
      </c>
      <c r="J9" s="755" t="str">
        <f t="shared" si="3"/>
        <v>EN COURS</v>
      </c>
    </row>
    <row r="10" ht="16.5" customHeight="1">
      <c r="B10" s="759" t="s">
        <v>25</v>
      </c>
      <c r="C10" s="760">
        <f t="shared" ref="C10:D10" si="4">L68</f>
        <v>2764.168264</v>
      </c>
      <c r="D10" s="760">
        <f t="shared" si="4"/>
        <v>2095.712512</v>
      </c>
      <c r="E10" s="760">
        <f>SUMPRODUCT((F60:F64="REER")*G60:G64*H60:H64)</f>
        <v>1694.356594</v>
      </c>
      <c r="F10" s="760">
        <f>N68</f>
        <v>1091.440001</v>
      </c>
      <c r="G10" s="761">
        <f>IF(L68&gt;0,N68/L68,0)</f>
        <v>0.3948529527</v>
      </c>
      <c r="H10" s="762">
        <f>COUNTIF(F60:F64,"REER")</f>
        <v>3</v>
      </c>
      <c r="I10" s="760">
        <f>CONFIG!B8</f>
        <v>37008</v>
      </c>
      <c r="J10" s="760" t="str">
        <f>IF(C10/F10&gt;=1,"ATTEINT","EN COURS")</f>
        <v>ATTEINT</v>
      </c>
    </row>
    <row r="11" ht="19.5" customHeight="1">
      <c r="B11" s="763" t="s">
        <v>707</v>
      </c>
      <c r="C11" s="764">
        <f t="shared" ref="C11:D11" si="5">L70</f>
        <v>85386.21618</v>
      </c>
      <c r="D11" s="764">
        <f t="shared" si="5"/>
        <v>63030.92006</v>
      </c>
      <c r="E11" s="764">
        <f>E8+E9+E10</f>
        <v>62790.49764</v>
      </c>
      <c r="F11" s="764">
        <f>N70</f>
        <v>22371.55687</v>
      </c>
      <c r="G11" s="765">
        <f>IF(E11&gt;0,F11/E11,0)</f>
        <v>0.3562888926</v>
      </c>
      <c r="H11" s="766">
        <f>H8+H9+H10</f>
        <v>42</v>
      </c>
      <c r="I11" s="763"/>
      <c r="J11" s="763"/>
    </row>
    <row r="12" ht="14.25" customHeight="1">
      <c r="A12" s="739"/>
      <c r="B12" s="739"/>
      <c r="C12" s="739"/>
      <c r="D12" s="739"/>
      <c r="E12" s="739"/>
      <c r="F12" s="739"/>
      <c r="G12" s="739"/>
      <c r="H12" s="739"/>
      <c r="I12" s="739"/>
      <c r="J12" s="739"/>
      <c r="K12" s="739"/>
      <c r="L12" s="739"/>
      <c r="M12" s="739"/>
      <c r="N12" s="739"/>
      <c r="O12" s="739"/>
      <c r="P12" s="739"/>
      <c r="Q12" s="739"/>
      <c r="R12" s="739"/>
      <c r="S12" s="739"/>
      <c r="T12" s="739"/>
      <c r="U12" s="739"/>
      <c r="V12" s="739"/>
      <c r="W12" s="739"/>
      <c r="X12" s="739"/>
      <c r="Y12" s="739"/>
      <c r="Z12" s="739"/>
      <c r="AA12" s="739"/>
      <c r="AB12" s="739"/>
      <c r="AC12" s="741"/>
    </row>
    <row r="13" ht="19.5" customHeight="1">
      <c r="A13" s="767"/>
      <c r="B13" s="768" t="s">
        <v>1206</v>
      </c>
      <c r="C13" s="768" t="s">
        <v>2144</v>
      </c>
      <c r="D13" s="768" t="s">
        <v>431</v>
      </c>
      <c r="E13" s="768" t="s">
        <v>1647</v>
      </c>
      <c r="F13" s="768" t="s">
        <v>1294</v>
      </c>
      <c r="G13" s="768" t="s">
        <v>1324</v>
      </c>
      <c r="H13" s="768" t="s">
        <v>2145</v>
      </c>
      <c r="I13" s="768" t="s">
        <v>2146</v>
      </c>
      <c r="J13" s="768" t="s">
        <v>2147</v>
      </c>
      <c r="K13" s="768" t="s">
        <v>2148</v>
      </c>
      <c r="L13" s="768" t="s">
        <v>251</v>
      </c>
      <c r="M13" s="768" t="s">
        <v>2140</v>
      </c>
      <c r="N13" s="768" t="s">
        <v>2142</v>
      </c>
      <c r="O13" s="768" t="s">
        <v>1651</v>
      </c>
      <c r="P13" s="768" t="s">
        <v>1649</v>
      </c>
      <c r="Q13" s="768" t="s">
        <v>270</v>
      </c>
      <c r="R13" s="769"/>
      <c r="S13" s="769"/>
      <c r="T13" s="770"/>
      <c r="U13" s="770"/>
      <c r="V13" s="770"/>
      <c r="W13" s="770"/>
      <c r="X13" s="770"/>
      <c r="Y13" s="770"/>
      <c r="Z13" s="770"/>
      <c r="AA13" s="770"/>
      <c r="AB13" s="770"/>
      <c r="AC13" s="770"/>
      <c r="AD13" s="770"/>
    </row>
    <row r="14" ht="21.75" customHeight="1">
      <c r="A14" s="741"/>
      <c r="B14" s="771" t="s">
        <v>2149</v>
      </c>
      <c r="C14" s="2"/>
      <c r="D14" s="2"/>
      <c r="E14" s="2"/>
      <c r="F14" s="2"/>
      <c r="G14" s="2"/>
      <c r="H14" s="2"/>
      <c r="I14" s="2"/>
      <c r="J14" s="2"/>
      <c r="K14" s="2"/>
      <c r="L14" s="2"/>
      <c r="M14" s="2"/>
      <c r="N14" s="2"/>
      <c r="O14" s="2"/>
      <c r="P14" s="2"/>
      <c r="Q14" s="2"/>
      <c r="R14" s="741"/>
      <c r="S14" s="741"/>
      <c r="T14" s="741"/>
      <c r="U14" s="741"/>
      <c r="V14" s="741"/>
      <c r="W14" s="741"/>
      <c r="X14" s="741"/>
      <c r="Y14" s="741"/>
      <c r="Z14" s="741"/>
      <c r="AA14" s="741"/>
      <c r="AB14" s="741"/>
      <c r="AC14" s="741"/>
      <c r="AD14" s="741"/>
      <c r="AE14" s="741"/>
    </row>
    <row r="15" ht="15.75" customHeight="1">
      <c r="B15" s="772" t="s">
        <v>1247</v>
      </c>
      <c r="C15" s="772" t="s">
        <v>2150</v>
      </c>
      <c r="D15" s="772" t="s">
        <v>2151</v>
      </c>
      <c r="E15" s="773" t="s">
        <v>1653</v>
      </c>
      <c r="F15" s="774" t="s">
        <v>19</v>
      </c>
      <c r="G15" s="775">
        <v>84.0</v>
      </c>
      <c r="H15" s="776">
        <v>119.9246</v>
      </c>
      <c r="I15" s="777">
        <f>CONFIG!G6</f>
        <v>161.8</v>
      </c>
      <c r="J15" s="777">
        <f>IFERROR(I15/C$4,0)</f>
        <v>119.3303341</v>
      </c>
      <c r="K15" s="774" t="s">
        <v>1061</v>
      </c>
      <c r="L15" s="778">
        <f t="shared" ref="L15:L42" si="6">IF(G15=0,"-",G15*I15)</f>
        <v>13591.2</v>
      </c>
      <c r="M15" s="778">
        <f t="shared" ref="M15:M42" si="7">IF(G15=0,"-",G15*J15)</f>
        <v>10023.74806</v>
      </c>
      <c r="N15" s="779">
        <f t="shared" ref="N15:N42" si="8">IF(G15=0,"-",(I15-H15)*G15)</f>
        <v>3517.5336</v>
      </c>
      <c r="O15" s="780">
        <f t="shared" ref="O15:O42" si="9">IF(H15&gt;0,(I15-H15)/H15,0)</f>
        <v>0.3491810688</v>
      </c>
      <c r="P15" s="781">
        <f t="shared" ref="P15:P42" si="10">IF(AND(ISNUMBER(L15),L15&gt;0),L15/L$70,0)</f>
        <v>0.159173232</v>
      </c>
      <c r="Q15" s="782" t="s">
        <v>2152</v>
      </c>
      <c r="R15" s="783"/>
      <c r="S15" s="783"/>
      <c r="T15" s="783"/>
    </row>
    <row r="16" ht="15.75" customHeight="1">
      <c r="B16" s="772" t="s">
        <v>2153</v>
      </c>
      <c r="C16" s="772" t="s">
        <v>2154</v>
      </c>
      <c r="D16" s="772" t="s">
        <v>2155</v>
      </c>
      <c r="E16" s="773" t="s">
        <v>1653</v>
      </c>
      <c r="F16" s="774" t="s">
        <v>19</v>
      </c>
      <c r="G16" s="775">
        <v>6.0</v>
      </c>
      <c r="H16" s="776">
        <v>90.6059</v>
      </c>
      <c r="I16" s="777">
        <f t="shared" ref="I16:I20" si="11">J16*$C$4</f>
        <v>408.749614</v>
      </c>
      <c r="J16" s="777">
        <f>CONFIG!G7</f>
        <v>301.46</v>
      </c>
      <c r="K16" s="774" t="s">
        <v>2156</v>
      </c>
      <c r="L16" s="778">
        <f t="shared" si="6"/>
        <v>2452.497684</v>
      </c>
      <c r="M16" s="778">
        <f t="shared" si="7"/>
        <v>1808.76</v>
      </c>
      <c r="N16" s="779">
        <f t="shared" si="8"/>
        <v>1908.862284</v>
      </c>
      <c r="O16" s="780">
        <f t="shared" si="9"/>
        <v>3.511291362</v>
      </c>
      <c r="P16" s="781">
        <f t="shared" si="10"/>
        <v>0.02872240736</v>
      </c>
      <c r="Q16" s="782" t="s">
        <v>2152</v>
      </c>
      <c r="R16" s="783"/>
      <c r="S16" s="783"/>
      <c r="T16" s="783"/>
    </row>
    <row r="17" ht="15.75" customHeight="1">
      <c r="B17" s="772" t="s">
        <v>536</v>
      </c>
      <c r="C17" s="772" t="s">
        <v>2157</v>
      </c>
      <c r="D17" s="772" t="s">
        <v>2155</v>
      </c>
      <c r="E17" s="773" t="s">
        <v>1653</v>
      </c>
      <c r="F17" s="774" t="s">
        <v>19</v>
      </c>
      <c r="G17" s="775">
        <v>16.5743</v>
      </c>
      <c r="H17" s="776">
        <v>342.1593</v>
      </c>
      <c r="I17" s="777">
        <f t="shared" si="11"/>
        <v>436.816744</v>
      </c>
      <c r="J17" s="777">
        <f>CONFIG!G8</f>
        <v>322.16</v>
      </c>
      <c r="K17" s="774" t="s">
        <v>2156</v>
      </c>
      <c r="L17" s="778">
        <f t="shared" si="6"/>
        <v>7239.93176</v>
      </c>
      <c r="M17" s="778">
        <f t="shared" si="7"/>
        <v>5339.576488</v>
      </c>
      <c r="N17" s="779">
        <f t="shared" si="8"/>
        <v>1568.880874</v>
      </c>
      <c r="O17" s="780">
        <f t="shared" si="9"/>
        <v>0.2766472926</v>
      </c>
      <c r="P17" s="781">
        <f t="shared" si="10"/>
        <v>0.08479040393</v>
      </c>
      <c r="Q17" s="782" t="s">
        <v>2152</v>
      </c>
      <c r="R17" s="783"/>
      <c r="S17" s="783"/>
      <c r="T17" s="783"/>
    </row>
    <row r="18" ht="15.75" customHeight="1">
      <c r="B18" s="772" t="s">
        <v>2158</v>
      </c>
      <c r="C18" s="772" t="s">
        <v>2159</v>
      </c>
      <c r="D18" s="772" t="s">
        <v>2155</v>
      </c>
      <c r="E18" s="773" t="s">
        <v>1653</v>
      </c>
      <c r="F18" s="774" t="s">
        <v>19</v>
      </c>
      <c r="G18" s="775">
        <v>7.4817</v>
      </c>
      <c r="H18" s="776">
        <v>113.7377</v>
      </c>
      <c r="I18" s="777">
        <f t="shared" si="11"/>
        <v>281.579753</v>
      </c>
      <c r="J18" s="777">
        <f>CONFIG!G9</f>
        <v>207.67</v>
      </c>
      <c r="K18" s="774" t="s">
        <v>2156</v>
      </c>
      <c r="L18" s="778">
        <f t="shared" si="6"/>
        <v>2106.695238</v>
      </c>
      <c r="M18" s="778">
        <f t="shared" si="7"/>
        <v>1553.724639</v>
      </c>
      <c r="N18" s="779">
        <f t="shared" si="8"/>
        <v>1255.743888</v>
      </c>
      <c r="O18" s="780">
        <f t="shared" si="9"/>
        <v>1.475694101</v>
      </c>
      <c r="P18" s="781">
        <f t="shared" si="10"/>
        <v>0.02467254473</v>
      </c>
      <c r="Q18" s="782" t="s">
        <v>2152</v>
      </c>
      <c r="R18" s="783"/>
      <c r="S18" s="783"/>
      <c r="T18" s="783"/>
    </row>
    <row r="19" ht="15.75" customHeight="1">
      <c r="B19" s="772" t="s">
        <v>1223</v>
      </c>
      <c r="C19" s="772" t="s">
        <v>2160</v>
      </c>
      <c r="D19" s="772" t="s">
        <v>2151</v>
      </c>
      <c r="E19" s="773" t="s">
        <v>1653</v>
      </c>
      <c r="F19" s="774" t="s">
        <v>19</v>
      </c>
      <c r="G19" s="775">
        <v>19.2266</v>
      </c>
      <c r="H19" s="776">
        <v>393.5653</v>
      </c>
      <c r="I19" s="777">
        <f t="shared" si="11"/>
        <v>525.180747</v>
      </c>
      <c r="J19" s="777">
        <f>CONFIG!G10</f>
        <v>387.33</v>
      </c>
      <c r="K19" s="774" t="s">
        <v>2156</v>
      </c>
      <c r="L19" s="778">
        <f t="shared" si="6"/>
        <v>10097.44015</v>
      </c>
      <c r="M19" s="778">
        <f t="shared" si="7"/>
        <v>7447.038978</v>
      </c>
      <c r="N19" s="779">
        <f t="shared" si="8"/>
        <v>2530.517553</v>
      </c>
      <c r="O19" s="780">
        <f t="shared" si="9"/>
        <v>0.3344183214</v>
      </c>
      <c r="P19" s="781">
        <f t="shared" si="10"/>
        <v>0.118256091</v>
      </c>
      <c r="Q19" s="782" t="s">
        <v>2152</v>
      </c>
      <c r="R19" s="783"/>
      <c r="S19" s="783"/>
      <c r="T19" s="783"/>
    </row>
    <row r="20" ht="15.75" customHeight="1">
      <c r="B20" s="772" t="s">
        <v>2161</v>
      </c>
      <c r="C20" s="772" t="s">
        <v>2162</v>
      </c>
      <c r="D20" s="772" t="s">
        <v>2155</v>
      </c>
      <c r="E20" s="773" t="s">
        <v>1653</v>
      </c>
      <c r="F20" s="774" t="s">
        <v>19</v>
      </c>
      <c r="G20" s="775">
        <v>1.0</v>
      </c>
      <c r="H20" s="776">
        <v>637.7698</v>
      </c>
      <c r="I20" s="777">
        <f t="shared" si="11"/>
        <v>832.129389</v>
      </c>
      <c r="J20" s="777">
        <f>CONFIG!G11</f>
        <v>613.71</v>
      </c>
      <c r="K20" s="774" t="s">
        <v>2156</v>
      </c>
      <c r="L20" s="778">
        <f t="shared" si="6"/>
        <v>832.129389</v>
      </c>
      <c r="M20" s="778">
        <f t="shared" si="7"/>
        <v>613.71</v>
      </c>
      <c r="N20" s="779">
        <f t="shared" si="8"/>
        <v>194.359589</v>
      </c>
      <c r="O20" s="780">
        <f t="shared" si="9"/>
        <v>0.3047488122</v>
      </c>
      <c r="P20" s="781">
        <f t="shared" si="10"/>
        <v>0.009745476802</v>
      </c>
      <c r="Q20" s="782" t="s">
        <v>2152</v>
      </c>
      <c r="R20" s="783"/>
      <c r="S20" s="783"/>
      <c r="T20" s="783"/>
    </row>
    <row r="21" ht="15.75" customHeight="1">
      <c r="B21" s="772" t="s">
        <v>2163</v>
      </c>
      <c r="C21" s="772" t="s">
        <v>2164</v>
      </c>
      <c r="D21" s="772" t="s">
        <v>2155</v>
      </c>
      <c r="E21" s="773" t="s">
        <v>1653</v>
      </c>
      <c r="F21" s="774" t="s">
        <v>19</v>
      </c>
      <c r="G21" s="775">
        <v>9.0</v>
      </c>
      <c r="H21" s="776">
        <v>49.62</v>
      </c>
      <c r="I21" s="777">
        <f>CONFIG!G12</f>
        <v>74.28</v>
      </c>
      <c r="J21" s="777">
        <f>IFERROR(I21/C$4,0)</f>
        <v>54.78280109</v>
      </c>
      <c r="K21" s="774" t="s">
        <v>1061</v>
      </c>
      <c r="L21" s="778">
        <f t="shared" si="6"/>
        <v>668.52</v>
      </c>
      <c r="M21" s="778">
        <f t="shared" si="7"/>
        <v>493.0452098</v>
      </c>
      <c r="N21" s="779">
        <f t="shared" si="8"/>
        <v>221.94</v>
      </c>
      <c r="O21" s="780">
        <f t="shared" si="9"/>
        <v>0.4969770254</v>
      </c>
      <c r="P21" s="781">
        <f t="shared" si="10"/>
        <v>0.007829366728</v>
      </c>
      <c r="Q21" s="782" t="s">
        <v>2165</v>
      </c>
      <c r="R21" s="783"/>
      <c r="S21" s="783"/>
      <c r="T21" s="783"/>
    </row>
    <row r="22" ht="15.75" customHeight="1">
      <c r="B22" s="772" t="s">
        <v>1219</v>
      </c>
      <c r="C22" s="772" t="s">
        <v>2166</v>
      </c>
      <c r="D22" s="772" t="s">
        <v>2155</v>
      </c>
      <c r="E22" s="773" t="s">
        <v>1653</v>
      </c>
      <c r="F22" s="774" t="s">
        <v>19</v>
      </c>
      <c r="G22" s="775">
        <v>2.4431</v>
      </c>
      <c r="H22" s="776">
        <v>831.9907</v>
      </c>
      <c r="I22" s="777">
        <f t="shared" ref="I22:I26" si="12">J22*$C$4</f>
        <v>1091.526618</v>
      </c>
      <c r="J22" s="777">
        <f>CONFIG!G13</f>
        <v>805.02</v>
      </c>
      <c r="K22" s="774" t="s">
        <v>2156</v>
      </c>
      <c r="L22" s="778">
        <f t="shared" si="6"/>
        <v>2666.70868</v>
      </c>
      <c r="M22" s="778">
        <f t="shared" si="7"/>
        <v>1966.744362</v>
      </c>
      <c r="N22" s="779">
        <f t="shared" si="8"/>
        <v>634.0722013</v>
      </c>
      <c r="O22" s="780">
        <f t="shared" si="9"/>
        <v>0.311945696</v>
      </c>
      <c r="P22" s="781">
        <f t="shared" si="10"/>
        <v>0.03123113776</v>
      </c>
      <c r="Q22" s="782" t="s">
        <v>2152</v>
      </c>
      <c r="R22" s="783"/>
      <c r="S22" s="783"/>
      <c r="T22" s="783"/>
    </row>
    <row r="23" ht="15.75" customHeight="1">
      <c r="B23" s="784" t="s">
        <v>2167</v>
      </c>
      <c r="C23" s="784" t="s">
        <v>2168</v>
      </c>
      <c r="D23" s="784" t="s">
        <v>2155</v>
      </c>
      <c r="E23" s="785" t="s">
        <v>1655</v>
      </c>
      <c r="F23" s="786" t="s">
        <v>19</v>
      </c>
      <c r="G23" s="787">
        <v>2.0</v>
      </c>
      <c r="H23" s="788">
        <v>312.5938</v>
      </c>
      <c r="I23" s="789">
        <f t="shared" si="12"/>
        <v>536.326245</v>
      </c>
      <c r="J23" s="789">
        <f>CONFIG!G15</f>
        <v>395.55</v>
      </c>
      <c r="K23" s="786" t="s">
        <v>2156</v>
      </c>
      <c r="L23" s="790">
        <f t="shared" si="6"/>
        <v>1072.65249</v>
      </c>
      <c r="M23" s="790">
        <f t="shared" si="7"/>
        <v>791.1</v>
      </c>
      <c r="N23" s="791">
        <f t="shared" si="8"/>
        <v>447.46489</v>
      </c>
      <c r="O23" s="792">
        <f t="shared" si="9"/>
        <v>0.7157289908</v>
      </c>
      <c r="P23" s="793">
        <f t="shared" si="10"/>
        <v>0.01256236121</v>
      </c>
      <c r="Q23" s="794" t="s">
        <v>2165</v>
      </c>
      <c r="R23" s="795"/>
      <c r="S23" s="795"/>
      <c r="T23" s="795"/>
    </row>
    <row r="24" ht="15.75" customHeight="1">
      <c r="B24" s="784" t="s">
        <v>2169</v>
      </c>
      <c r="C24" s="784" t="s">
        <v>2170</v>
      </c>
      <c r="D24" s="784" t="s">
        <v>2155</v>
      </c>
      <c r="E24" s="785" t="s">
        <v>1655</v>
      </c>
      <c r="F24" s="786" t="s">
        <v>19</v>
      </c>
      <c r="G24" s="787">
        <v>4.0</v>
      </c>
      <c r="H24" s="788">
        <v>128.59</v>
      </c>
      <c r="I24" s="789">
        <f t="shared" si="12"/>
        <v>244.400975</v>
      </c>
      <c r="J24" s="789">
        <f>CONFIG!G16</f>
        <v>180.25</v>
      </c>
      <c r="K24" s="786" t="s">
        <v>2156</v>
      </c>
      <c r="L24" s="790">
        <f t="shared" si="6"/>
        <v>977.6039</v>
      </c>
      <c r="M24" s="790">
        <f t="shared" si="7"/>
        <v>721</v>
      </c>
      <c r="N24" s="791">
        <f t="shared" si="8"/>
        <v>463.2439</v>
      </c>
      <c r="O24" s="792">
        <f t="shared" si="9"/>
        <v>0.9006219379</v>
      </c>
      <c r="P24" s="793">
        <f t="shared" si="10"/>
        <v>0.01144920039</v>
      </c>
      <c r="Q24" s="794" t="s">
        <v>2165</v>
      </c>
      <c r="R24" s="795"/>
      <c r="S24" s="795"/>
      <c r="T24" s="795"/>
    </row>
    <row r="25" ht="15.75" customHeight="1">
      <c r="B25" s="784" t="s">
        <v>2171</v>
      </c>
      <c r="C25" s="784" t="s">
        <v>2172</v>
      </c>
      <c r="D25" s="784" t="s">
        <v>2155</v>
      </c>
      <c r="E25" s="785" t="s">
        <v>1655</v>
      </c>
      <c r="F25" s="786" t="s">
        <v>19</v>
      </c>
      <c r="G25" s="787">
        <v>1.8645</v>
      </c>
      <c r="H25" s="788">
        <v>303.5644</v>
      </c>
      <c r="I25" s="789">
        <f t="shared" si="12"/>
        <v>530.42808</v>
      </c>
      <c r="J25" s="789">
        <f>CONFIG!G17</f>
        <v>391.2</v>
      </c>
      <c r="K25" s="786" t="s">
        <v>2156</v>
      </c>
      <c r="L25" s="790">
        <f t="shared" si="6"/>
        <v>988.9831552</v>
      </c>
      <c r="M25" s="790">
        <f t="shared" si="7"/>
        <v>729.3924</v>
      </c>
      <c r="N25" s="791">
        <f t="shared" si="8"/>
        <v>422.9873314</v>
      </c>
      <c r="O25" s="792">
        <f t="shared" si="9"/>
        <v>0.7473329547</v>
      </c>
      <c r="P25" s="793">
        <f t="shared" si="10"/>
        <v>0.01158246845</v>
      </c>
      <c r="Q25" s="794" t="s">
        <v>2165</v>
      </c>
      <c r="R25" s="795"/>
      <c r="S25" s="795"/>
      <c r="T25" s="795"/>
    </row>
    <row r="26" ht="15.75" customHeight="1">
      <c r="B26" s="784" t="s">
        <v>2173</v>
      </c>
      <c r="C26" s="784" t="s">
        <v>2174</v>
      </c>
      <c r="D26" s="784" t="s">
        <v>2151</v>
      </c>
      <c r="E26" s="785" t="s">
        <v>1655</v>
      </c>
      <c r="F26" s="786" t="s">
        <v>19</v>
      </c>
      <c r="G26" s="787">
        <v>4.4515</v>
      </c>
      <c r="H26" s="788">
        <v>247.1068</v>
      </c>
      <c r="I26" s="789">
        <f t="shared" si="12"/>
        <v>331.449755</v>
      </c>
      <c r="J26" s="789">
        <f>CONFIG!G18</f>
        <v>244.45</v>
      </c>
      <c r="K26" s="786" t="s">
        <v>2156</v>
      </c>
      <c r="L26" s="790">
        <f t="shared" si="6"/>
        <v>1475.448584</v>
      </c>
      <c r="M26" s="790">
        <f t="shared" si="7"/>
        <v>1088.169175</v>
      </c>
      <c r="N26" s="791">
        <f t="shared" si="8"/>
        <v>375.4526642</v>
      </c>
      <c r="O26" s="792">
        <f t="shared" si="9"/>
        <v>0.3413218697</v>
      </c>
      <c r="P26" s="793">
        <f t="shared" si="10"/>
        <v>0.0172797045</v>
      </c>
      <c r="Q26" s="794" t="s">
        <v>2175</v>
      </c>
      <c r="R26" s="795"/>
      <c r="S26" s="795"/>
      <c r="T26" s="795"/>
    </row>
    <row r="27" ht="15.75" customHeight="1">
      <c r="B27" s="784" t="s">
        <v>1456</v>
      </c>
      <c r="C27" s="784" t="s">
        <v>2176</v>
      </c>
      <c r="D27" s="784" t="s">
        <v>2151</v>
      </c>
      <c r="E27" s="785" t="s">
        <v>1655</v>
      </c>
      <c r="F27" s="786" t="s">
        <v>19</v>
      </c>
      <c r="G27" s="787">
        <v>25.0</v>
      </c>
      <c r="H27" s="788">
        <v>39.97</v>
      </c>
      <c r="I27" s="789">
        <f>CONFIG!G19</f>
        <v>39.85</v>
      </c>
      <c r="J27" s="789">
        <f>IFERROR(I27/C$4,0)</f>
        <v>29.39007301</v>
      </c>
      <c r="K27" s="786" t="s">
        <v>1061</v>
      </c>
      <c r="L27" s="790">
        <f t="shared" si="6"/>
        <v>996.25</v>
      </c>
      <c r="M27" s="790">
        <f t="shared" si="7"/>
        <v>734.7518254</v>
      </c>
      <c r="N27" s="791">
        <f t="shared" si="8"/>
        <v>-3</v>
      </c>
      <c r="O27" s="792">
        <f t="shared" si="9"/>
        <v>-0.003002251689</v>
      </c>
      <c r="P27" s="793">
        <f t="shared" si="10"/>
        <v>0.01166757405</v>
      </c>
      <c r="Q27" s="794" t="s">
        <v>2177</v>
      </c>
      <c r="R27" s="795"/>
      <c r="S27" s="795"/>
      <c r="T27" s="795"/>
    </row>
    <row r="28" ht="15.75" customHeight="1">
      <c r="B28" s="784" t="s">
        <v>2178</v>
      </c>
      <c r="C28" s="784" t="s">
        <v>2179</v>
      </c>
      <c r="D28" s="784" t="s">
        <v>2155</v>
      </c>
      <c r="E28" s="785" t="s">
        <v>1655</v>
      </c>
      <c r="F28" s="786" t="s">
        <v>19</v>
      </c>
      <c r="G28" s="787">
        <v>0.9996</v>
      </c>
      <c r="H28" s="788">
        <v>443.2458</v>
      </c>
      <c r="I28" s="789">
        <f>J28*$C$4</f>
        <v>572.854191</v>
      </c>
      <c r="J28" s="789">
        <f>CONFIG!G14</f>
        <v>422.49</v>
      </c>
      <c r="K28" s="786" t="s">
        <v>2156</v>
      </c>
      <c r="L28" s="790">
        <f t="shared" si="6"/>
        <v>572.6250493</v>
      </c>
      <c r="M28" s="790">
        <f t="shared" si="7"/>
        <v>422.321004</v>
      </c>
      <c r="N28" s="791">
        <f t="shared" si="8"/>
        <v>129.5565476</v>
      </c>
      <c r="O28" s="792">
        <f t="shared" si="9"/>
        <v>0.2924074881</v>
      </c>
      <c r="P28" s="793">
        <f t="shared" si="10"/>
        <v>0.006706293767</v>
      </c>
      <c r="Q28" s="794" t="s">
        <v>2165</v>
      </c>
      <c r="R28" s="795"/>
      <c r="S28" s="795"/>
      <c r="T28" s="795"/>
    </row>
    <row r="29" ht="15.75" customHeight="1">
      <c r="B29" s="796" t="s">
        <v>1977</v>
      </c>
      <c r="C29" s="796" t="s">
        <v>2180</v>
      </c>
      <c r="D29" s="796" t="s">
        <v>2155</v>
      </c>
      <c r="E29" s="797" t="s">
        <v>1408</v>
      </c>
      <c r="F29" s="798" t="s">
        <v>19</v>
      </c>
      <c r="G29" s="799">
        <v>87.0</v>
      </c>
      <c r="H29" s="800">
        <v>79.8348</v>
      </c>
      <c r="I29" s="801">
        <f>CONFIG!G20</f>
        <v>128.05</v>
      </c>
      <c r="J29" s="801">
        <f t="shared" ref="J29:J32" si="13">IFERROR(I29/C$4,0)</f>
        <v>94.43911793</v>
      </c>
      <c r="K29" s="798" t="s">
        <v>1061</v>
      </c>
      <c r="L29" s="802">
        <f t="shared" si="6"/>
        <v>11140.35</v>
      </c>
      <c r="M29" s="802">
        <f t="shared" si="7"/>
        <v>8216.20326</v>
      </c>
      <c r="N29" s="803">
        <f t="shared" si="8"/>
        <v>4194.7224</v>
      </c>
      <c r="O29" s="804">
        <f t="shared" si="9"/>
        <v>0.6039371302</v>
      </c>
      <c r="P29" s="805">
        <f t="shared" si="10"/>
        <v>0.1304701215</v>
      </c>
      <c r="Q29" s="806" t="s">
        <v>2181</v>
      </c>
      <c r="R29" s="807"/>
      <c r="S29" s="807"/>
      <c r="T29" s="807"/>
    </row>
    <row r="30" ht="15.75" customHeight="1">
      <c r="B30" s="796" t="s">
        <v>1278</v>
      </c>
      <c r="C30" s="796" t="s">
        <v>2182</v>
      </c>
      <c r="D30" s="796" t="s">
        <v>2151</v>
      </c>
      <c r="E30" s="797" t="s">
        <v>1408</v>
      </c>
      <c r="F30" s="798" t="s">
        <v>19</v>
      </c>
      <c r="G30" s="799">
        <v>37.0</v>
      </c>
      <c r="H30" s="800">
        <v>58.1416</v>
      </c>
      <c r="I30" s="801">
        <f>CONFIG!G21</f>
        <v>59.04</v>
      </c>
      <c r="J30" s="801">
        <f t="shared" si="13"/>
        <v>43.54303415</v>
      </c>
      <c r="K30" s="798" t="s">
        <v>1061</v>
      </c>
      <c r="L30" s="802">
        <f t="shared" si="6"/>
        <v>2184.48</v>
      </c>
      <c r="M30" s="802">
        <f t="shared" si="7"/>
        <v>1611.092263</v>
      </c>
      <c r="N30" s="803">
        <f t="shared" si="8"/>
        <v>33.2408</v>
      </c>
      <c r="O30" s="804">
        <f t="shared" si="9"/>
        <v>0.01545193115</v>
      </c>
      <c r="P30" s="805">
        <f t="shared" si="10"/>
        <v>0.02558352036</v>
      </c>
      <c r="Q30" s="806" t="s">
        <v>2183</v>
      </c>
      <c r="R30" s="807"/>
      <c r="S30" s="807"/>
      <c r="T30" s="807"/>
    </row>
    <row r="31" ht="15.75" customHeight="1">
      <c r="B31" s="796" t="s">
        <v>1284</v>
      </c>
      <c r="C31" s="796" t="s">
        <v>2184</v>
      </c>
      <c r="D31" s="796" t="s">
        <v>2155</v>
      </c>
      <c r="E31" s="797" t="s">
        <v>1408</v>
      </c>
      <c r="F31" s="798" t="s">
        <v>19</v>
      </c>
      <c r="G31" s="799">
        <v>22.0</v>
      </c>
      <c r="H31" s="800">
        <v>52.8663</v>
      </c>
      <c r="I31" s="801">
        <f>CONFIG!G22</f>
        <v>60.09</v>
      </c>
      <c r="J31" s="801">
        <f t="shared" si="13"/>
        <v>44.31742754</v>
      </c>
      <c r="K31" s="798" t="s">
        <v>1061</v>
      </c>
      <c r="L31" s="802">
        <f t="shared" si="6"/>
        <v>1321.98</v>
      </c>
      <c r="M31" s="802">
        <f t="shared" si="7"/>
        <v>974.9834059</v>
      </c>
      <c r="N31" s="803">
        <f t="shared" si="8"/>
        <v>158.9214</v>
      </c>
      <c r="O31" s="804">
        <f t="shared" si="9"/>
        <v>0.1366409225</v>
      </c>
      <c r="P31" s="805">
        <f t="shared" si="10"/>
        <v>0.01548235838</v>
      </c>
      <c r="Q31" s="806" t="s">
        <v>2183</v>
      </c>
      <c r="R31" s="807"/>
      <c r="S31" s="807"/>
      <c r="T31" s="807"/>
    </row>
    <row r="32" ht="15.75" customHeight="1">
      <c r="B32" s="796" t="s">
        <v>1986</v>
      </c>
      <c r="C32" s="796" t="s">
        <v>2185</v>
      </c>
      <c r="D32" s="796" t="s">
        <v>2155</v>
      </c>
      <c r="E32" s="797" t="s">
        <v>1408</v>
      </c>
      <c r="F32" s="798" t="s">
        <v>19</v>
      </c>
      <c r="G32" s="799">
        <v>32.0</v>
      </c>
      <c r="H32" s="800">
        <v>22.04</v>
      </c>
      <c r="I32" s="801">
        <f>CONFIG!G23</f>
        <v>18.01</v>
      </c>
      <c r="J32" s="801">
        <f t="shared" si="13"/>
        <v>13.28269046</v>
      </c>
      <c r="K32" s="798" t="s">
        <v>1061</v>
      </c>
      <c r="L32" s="802">
        <f t="shared" si="6"/>
        <v>576.32</v>
      </c>
      <c r="M32" s="802">
        <f t="shared" si="7"/>
        <v>425.0460948</v>
      </c>
      <c r="N32" s="803">
        <f t="shared" si="8"/>
        <v>-128.96</v>
      </c>
      <c r="O32" s="804">
        <f t="shared" si="9"/>
        <v>-0.1828493648</v>
      </c>
      <c r="P32" s="805">
        <f t="shared" si="10"/>
        <v>0.006749567152</v>
      </c>
      <c r="Q32" s="806" t="s">
        <v>2186</v>
      </c>
      <c r="R32" s="807"/>
      <c r="S32" s="807"/>
      <c r="T32" s="807"/>
    </row>
    <row r="33" ht="15.75" customHeight="1">
      <c r="B33" s="796" t="s">
        <v>2187</v>
      </c>
      <c r="C33" s="796" t="s">
        <v>2188</v>
      </c>
      <c r="D33" s="796" t="s">
        <v>2151</v>
      </c>
      <c r="E33" s="797" t="s">
        <v>1408</v>
      </c>
      <c r="F33" s="798" t="s">
        <v>19</v>
      </c>
      <c r="G33" s="799">
        <v>5.0</v>
      </c>
      <c r="H33" s="800">
        <v>120.81</v>
      </c>
      <c r="I33" s="801">
        <f>J33*$C$4</f>
        <v>148.294783</v>
      </c>
      <c r="J33" s="801">
        <f>CONFIG!G24</f>
        <v>109.37</v>
      </c>
      <c r="K33" s="798" t="s">
        <v>2156</v>
      </c>
      <c r="L33" s="802">
        <f t="shared" si="6"/>
        <v>741.473915</v>
      </c>
      <c r="M33" s="802">
        <f t="shared" si="7"/>
        <v>546.85</v>
      </c>
      <c r="N33" s="803">
        <f t="shared" si="8"/>
        <v>137.423915</v>
      </c>
      <c r="O33" s="804">
        <f t="shared" si="9"/>
        <v>0.2275042049</v>
      </c>
      <c r="P33" s="805">
        <f t="shared" si="10"/>
        <v>0.008683765931</v>
      </c>
      <c r="Q33" s="806" t="s">
        <v>2189</v>
      </c>
      <c r="R33" s="807"/>
      <c r="S33" s="807"/>
      <c r="T33" s="807"/>
    </row>
    <row r="34" ht="15.75" customHeight="1">
      <c r="B34" s="796" t="s">
        <v>2190</v>
      </c>
      <c r="C34" s="796" t="s">
        <v>2191</v>
      </c>
      <c r="D34" s="796" t="s">
        <v>2151</v>
      </c>
      <c r="E34" s="797" t="s">
        <v>1408</v>
      </c>
      <c r="F34" s="798" t="s">
        <v>19</v>
      </c>
      <c r="G34" s="799">
        <v>6.0</v>
      </c>
      <c r="H34" s="800">
        <v>55.25</v>
      </c>
      <c r="I34" s="801">
        <f>CONFIG!G25</f>
        <v>57.54</v>
      </c>
      <c r="J34" s="801">
        <f t="shared" ref="J34:J42" si="14">IFERROR(I34/C$4,0)</f>
        <v>42.43675787</v>
      </c>
      <c r="K34" s="798" t="s">
        <v>1061</v>
      </c>
      <c r="L34" s="802">
        <f t="shared" si="6"/>
        <v>345.24</v>
      </c>
      <c r="M34" s="802">
        <f t="shared" si="7"/>
        <v>254.6205472</v>
      </c>
      <c r="N34" s="803">
        <f t="shared" si="8"/>
        <v>13.74</v>
      </c>
      <c r="O34" s="804">
        <f t="shared" si="9"/>
        <v>0.0414479638</v>
      </c>
      <c r="P34" s="805">
        <f t="shared" si="10"/>
        <v>0.004043275548</v>
      </c>
      <c r="Q34" s="806" t="s">
        <v>2183</v>
      </c>
      <c r="R34" s="807"/>
      <c r="S34" s="807"/>
      <c r="T34" s="807"/>
    </row>
    <row r="35" ht="15.75" customHeight="1">
      <c r="B35" s="808" t="s">
        <v>1233</v>
      </c>
      <c r="C35" s="808" t="s">
        <v>2192</v>
      </c>
      <c r="D35" s="808" t="s">
        <v>2193</v>
      </c>
      <c r="E35" s="809" t="s">
        <v>1413</v>
      </c>
      <c r="F35" s="810" t="s">
        <v>19</v>
      </c>
      <c r="G35" s="811">
        <v>0.0</v>
      </c>
      <c r="H35" s="812">
        <v>0.0</v>
      </c>
      <c r="I35" s="813">
        <f>CONFIG!G26</f>
        <v>19.02</v>
      </c>
      <c r="J35" s="813">
        <f t="shared" si="14"/>
        <v>14.02758316</v>
      </c>
      <c r="K35" s="810" t="s">
        <v>1061</v>
      </c>
      <c r="L35" s="814" t="str">
        <f t="shared" si="6"/>
        <v>-</v>
      </c>
      <c r="M35" s="814" t="str">
        <f t="shared" si="7"/>
        <v>-</v>
      </c>
      <c r="N35" s="815" t="str">
        <f t="shared" si="8"/>
        <v>-</v>
      </c>
      <c r="O35" s="816">
        <f t="shared" si="9"/>
        <v>0</v>
      </c>
      <c r="P35" s="817">
        <f t="shared" si="10"/>
        <v>0</v>
      </c>
      <c r="Q35" s="818" t="s">
        <v>2194</v>
      </c>
      <c r="R35" s="819"/>
      <c r="S35" s="819"/>
      <c r="T35" s="819"/>
    </row>
    <row r="36" ht="15.75" customHeight="1">
      <c r="B36" s="808" t="s">
        <v>1240</v>
      </c>
      <c r="C36" s="808" t="s">
        <v>2195</v>
      </c>
      <c r="D36" s="808" t="s">
        <v>2193</v>
      </c>
      <c r="E36" s="809" t="s">
        <v>1413</v>
      </c>
      <c r="F36" s="810" t="s">
        <v>19</v>
      </c>
      <c r="G36" s="811">
        <v>0.0</v>
      </c>
      <c r="H36" s="812">
        <v>0.0</v>
      </c>
      <c r="I36" s="813">
        <f>CONFIG!G27</f>
        <v>4.26</v>
      </c>
      <c r="J36" s="813">
        <f t="shared" si="14"/>
        <v>3.141824618</v>
      </c>
      <c r="K36" s="810" t="s">
        <v>1061</v>
      </c>
      <c r="L36" s="814" t="str">
        <f t="shared" si="6"/>
        <v>-</v>
      </c>
      <c r="M36" s="814" t="str">
        <f t="shared" si="7"/>
        <v>-</v>
      </c>
      <c r="N36" s="815" t="str">
        <f t="shared" si="8"/>
        <v>-</v>
      </c>
      <c r="O36" s="816">
        <f t="shared" si="9"/>
        <v>0</v>
      </c>
      <c r="P36" s="817">
        <f t="shared" si="10"/>
        <v>0</v>
      </c>
      <c r="Q36" s="818" t="s">
        <v>2194</v>
      </c>
      <c r="R36" s="819"/>
      <c r="S36" s="819"/>
      <c r="T36" s="819"/>
    </row>
    <row r="37" ht="15.75" customHeight="1">
      <c r="B37" s="808" t="s">
        <v>2196</v>
      </c>
      <c r="C37" s="808" t="s">
        <v>2197</v>
      </c>
      <c r="D37" s="808" t="s">
        <v>2151</v>
      </c>
      <c r="E37" s="809" t="s">
        <v>1413</v>
      </c>
      <c r="F37" s="810" t="s">
        <v>19</v>
      </c>
      <c r="G37" s="811">
        <v>51.0</v>
      </c>
      <c r="H37" s="812">
        <v>30.6811</v>
      </c>
      <c r="I37" s="813">
        <f>CONFIG!G28</f>
        <v>35.89</v>
      </c>
      <c r="J37" s="813">
        <f t="shared" si="14"/>
        <v>26.46950365</v>
      </c>
      <c r="K37" s="810" t="s">
        <v>1061</v>
      </c>
      <c r="L37" s="814">
        <f t="shared" si="6"/>
        <v>1830.39</v>
      </c>
      <c r="M37" s="814">
        <f t="shared" si="7"/>
        <v>1349.944686</v>
      </c>
      <c r="N37" s="815">
        <f t="shared" si="8"/>
        <v>265.6539</v>
      </c>
      <c r="O37" s="816">
        <f t="shared" si="9"/>
        <v>0.1697755296</v>
      </c>
      <c r="P37" s="817">
        <f t="shared" si="10"/>
        <v>0.02143659811</v>
      </c>
      <c r="Q37" s="818" t="s">
        <v>2194</v>
      </c>
      <c r="R37" s="819"/>
      <c r="S37" s="819"/>
      <c r="T37" s="819"/>
    </row>
    <row r="38" ht="15.75" customHeight="1">
      <c r="B38" s="808" t="s">
        <v>2198</v>
      </c>
      <c r="C38" s="808" t="s">
        <v>2199</v>
      </c>
      <c r="D38" s="808" t="s">
        <v>2193</v>
      </c>
      <c r="E38" s="809" t="s">
        <v>1413</v>
      </c>
      <c r="F38" s="810" t="s">
        <v>19</v>
      </c>
      <c r="G38" s="811">
        <v>57.0</v>
      </c>
      <c r="H38" s="812">
        <v>25.2543</v>
      </c>
      <c r="I38" s="813">
        <f>CONFIG!G29</f>
        <v>26.84</v>
      </c>
      <c r="J38" s="813">
        <f t="shared" si="14"/>
        <v>19.79497013</v>
      </c>
      <c r="K38" s="810" t="s">
        <v>1061</v>
      </c>
      <c r="L38" s="814">
        <f t="shared" si="6"/>
        <v>1529.88</v>
      </c>
      <c r="M38" s="814">
        <f t="shared" si="7"/>
        <v>1128.313297</v>
      </c>
      <c r="N38" s="815">
        <f t="shared" si="8"/>
        <v>90.3849</v>
      </c>
      <c r="O38" s="816">
        <f t="shared" si="9"/>
        <v>0.06278930717</v>
      </c>
      <c r="P38" s="817">
        <f t="shared" si="10"/>
        <v>0.0179171776</v>
      </c>
      <c r="Q38" s="818" t="s">
        <v>2194</v>
      </c>
      <c r="R38" s="819"/>
      <c r="S38" s="819"/>
      <c r="T38" s="819"/>
    </row>
    <row r="39" ht="15.75" customHeight="1">
      <c r="B39" s="808" t="s">
        <v>1412</v>
      </c>
      <c r="C39" s="808" t="s">
        <v>2200</v>
      </c>
      <c r="D39" s="808" t="s">
        <v>2151</v>
      </c>
      <c r="E39" s="809" t="s">
        <v>1413</v>
      </c>
      <c r="F39" s="810" t="s">
        <v>19</v>
      </c>
      <c r="G39" s="811">
        <v>21.0</v>
      </c>
      <c r="H39" s="812">
        <v>40.4066</v>
      </c>
      <c r="I39" s="813">
        <f>CONFIG!G30</f>
        <v>52.08</v>
      </c>
      <c r="J39" s="813">
        <f t="shared" si="14"/>
        <v>38.40991224</v>
      </c>
      <c r="K39" s="810" t="s">
        <v>1061</v>
      </c>
      <c r="L39" s="814">
        <f t="shared" si="6"/>
        <v>1093.68</v>
      </c>
      <c r="M39" s="814">
        <f t="shared" si="7"/>
        <v>806.6081569</v>
      </c>
      <c r="N39" s="815">
        <f t="shared" si="8"/>
        <v>245.1414</v>
      </c>
      <c r="O39" s="816">
        <f t="shared" si="9"/>
        <v>0.2888983483</v>
      </c>
      <c r="P39" s="817">
        <f t="shared" si="10"/>
        <v>0.01280862473</v>
      </c>
      <c r="Q39" s="818" t="s">
        <v>2194</v>
      </c>
      <c r="R39" s="819"/>
      <c r="S39" s="819"/>
      <c r="T39" s="819"/>
    </row>
    <row r="40" ht="15.75" customHeight="1">
      <c r="B40" s="808" t="s">
        <v>2201</v>
      </c>
      <c r="C40" s="808" t="s">
        <v>2202</v>
      </c>
      <c r="D40" s="808" t="s">
        <v>2151</v>
      </c>
      <c r="E40" s="809" t="s">
        <v>1413</v>
      </c>
      <c r="F40" s="810" t="s">
        <v>19</v>
      </c>
      <c r="G40" s="811">
        <v>19.0</v>
      </c>
      <c r="H40" s="812">
        <v>20.83</v>
      </c>
      <c r="I40" s="813">
        <f>CONFIG!G31</f>
        <v>22.33</v>
      </c>
      <c r="J40" s="813">
        <f t="shared" si="14"/>
        <v>16.46876613</v>
      </c>
      <c r="K40" s="810" t="s">
        <v>1061</v>
      </c>
      <c r="L40" s="814">
        <f t="shared" si="6"/>
        <v>424.27</v>
      </c>
      <c r="M40" s="814">
        <f t="shared" si="7"/>
        <v>312.9065565</v>
      </c>
      <c r="N40" s="815">
        <f t="shared" si="8"/>
        <v>28.5</v>
      </c>
      <c r="O40" s="816">
        <f t="shared" si="9"/>
        <v>0.07201152184</v>
      </c>
      <c r="P40" s="817">
        <f t="shared" si="10"/>
        <v>0.004968834772</v>
      </c>
      <c r="Q40" s="818" t="s">
        <v>2194</v>
      </c>
      <c r="R40" s="819"/>
      <c r="S40" s="819"/>
      <c r="T40" s="819"/>
    </row>
    <row r="41" ht="15.75" customHeight="1">
      <c r="B41" s="808" t="s">
        <v>1289</v>
      </c>
      <c r="C41" s="808" t="s">
        <v>2203</v>
      </c>
      <c r="D41" s="808" t="s">
        <v>2155</v>
      </c>
      <c r="E41" s="809" t="s">
        <v>1413</v>
      </c>
      <c r="F41" s="810" t="s">
        <v>19</v>
      </c>
      <c r="G41" s="811">
        <v>8.0</v>
      </c>
      <c r="H41" s="812">
        <v>51.7</v>
      </c>
      <c r="I41" s="813">
        <f>CONFIG!G32</f>
        <v>45.9</v>
      </c>
      <c r="J41" s="813">
        <f t="shared" si="14"/>
        <v>33.85205399</v>
      </c>
      <c r="K41" s="810" t="s">
        <v>1061</v>
      </c>
      <c r="L41" s="814">
        <f t="shared" si="6"/>
        <v>367.2</v>
      </c>
      <c r="M41" s="814">
        <f t="shared" si="7"/>
        <v>270.8164319</v>
      </c>
      <c r="N41" s="815">
        <f t="shared" si="8"/>
        <v>-46.4</v>
      </c>
      <c r="O41" s="816">
        <f t="shared" si="9"/>
        <v>-0.1121856867</v>
      </c>
      <c r="P41" s="817">
        <f t="shared" si="10"/>
        <v>0.004300459915</v>
      </c>
      <c r="Q41" s="818" t="s">
        <v>2194</v>
      </c>
      <c r="R41" s="819"/>
      <c r="S41" s="819"/>
      <c r="T41" s="819"/>
    </row>
    <row r="42" ht="15.75" customHeight="1">
      <c r="B42" s="808" t="s">
        <v>2204</v>
      </c>
      <c r="C42" s="808" t="s">
        <v>2205</v>
      </c>
      <c r="D42" s="808" t="s">
        <v>2151</v>
      </c>
      <c r="E42" s="809" t="s">
        <v>1413</v>
      </c>
      <c r="F42" s="810" t="s">
        <v>19</v>
      </c>
      <c r="G42" s="811">
        <v>6.0</v>
      </c>
      <c r="H42" s="812">
        <v>43.75</v>
      </c>
      <c r="I42" s="813">
        <f>CONFIG!G33</f>
        <v>55.07</v>
      </c>
      <c r="J42" s="813">
        <f t="shared" si="14"/>
        <v>40.61508961</v>
      </c>
      <c r="K42" s="810" t="s">
        <v>1061</v>
      </c>
      <c r="L42" s="814">
        <f t="shared" si="6"/>
        <v>330.42</v>
      </c>
      <c r="M42" s="814">
        <f t="shared" si="7"/>
        <v>243.6905377</v>
      </c>
      <c r="N42" s="815">
        <f t="shared" si="8"/>
        <v>67.92</v>
      </c>
      <c r="O42" s="816">
        <f t="shared" si="9"/>
        <v>0.2587428571</v>
      </c>
      <c r="P42" s="817">
        <f t="shared" si="10"/>
        <v>0.003869711234</v>
      </c>
      <c r="Q42" s="818" t="s">
        <v>2194</v>
      </c>
      <c r="R42" s="819"/>
      <c r="S42" s="819"/>
      <c r="T42" s="819"/>
    </row>
    <row r="43" ht="15.75" customHeight="1">
      <c r="B43" s="820" t="s">
        <v>2206</v>
      </c>
      <c r="C43" s="2"/>
      <c r="D43" s="2"/>
      <c r="E43" s="2"/>
      <c r="F43" s="2"/>
      <c r="G43" s="2"/>
      <c r="H43" s="2"/>
      <c r="I43" s="2"/>
      <c r="J43" s="2"/>
      <c r="K43" s="2"/>
      <c r="L43" s="821">
        <f>CONFIG!B37</f>
        <v>230.66</v>
      </c>
      <c r="M43" s="821">
        <f>CONFIG!B37/CONFIG!B3</f>
        <v>170.1157903</v>
      </c>
      <c r="N43" s="821">
        <v>0.0</v>
      </c>
      <c r="O43" s="821">
        <v>0.0</v>
      </c>
      <c r="P43" s="822"/>
    </row>
    <row r="44" ht="14.25" customHeight="1">
      <c r="A44" s="770"/>
      <c r="B44" s="823" t="s">
        <v>2207</v>
      </c>
      <c r="C44" s="823"/>
      <c r="D44" s="823"/>
      <c r="E44" s="823"/>
      <c r="F44" s="823"/>
      <c r="G44" s="823"/>
      <c r="H44" s="823"/>
      <c r="I44" s="823"/>
      <c r="J44" s="823"/>
      <c r="K44" s="823"/>
      <c r="L44" s="824">
        <f t="shared" ref="L44:N44" si="15">SUM(L15:L43)</f>
        <v>67855.03</v>
      </c>
      <c r="M44" s="824">
        <f t="shared" si="15"/>
        <v>50044.27317</v>
      </c>
      <c r="N44" s="824">
        <f t="shared" si="15"/>
        <v>18727.90404</v>
      </c>
      <c r="O44" s="825">
        <f>IF(L43&gt;0,N43/L43,0)</f>
        <v>0</v>
      </c>
      <c r="P44" s="823"/>
      <c r="Q44" s="823"/>
      <c r="R44" s="770"/>
      <c r="S44" s="770"/>
      <c r="T44" s="770"/>
      <c r="U44" s="770"/>
      <c r="V44" s="770"/>
      <c r="W44" s="770"/>
      <c r="X44" s="770"/>
      <c r="Y44" s="770"/>
      <c r="Z44" s="770"/>
      <c r="AA44" s="770"/>
      <c r="AB44" s="770"/>
      <c r="AC44" s="770"/>
      <c r="AD44" s="770"/>
      <c r="AE44" s="770"/>
      <c r="AF44" s="770"/>
      <c r="AG44" s="770"/>
      <c r="AH44" s="770"/>
    </row>
    <row r="45" ht="15.75" customHeight="1">
      <c r="A45" s="739"/>
      <c r="B45" s="826"/>
      <c r="C45" s="2"/>
      <c r="D45" s="2"/>
      <c r="E45" s="2"/>
      <c r="F45" s="2"/>
      <c r="G45" s="2"/>
      <c r="H45" s="2"/>
      <c r="I45" s="2"/>
      <c r="J45" s="2"/>
      <c r="K45" s="2"/>
      <c r="L45" s="2"/>
      <c r="M45" s="2"/>
      <c r="N45" s="2"/>
      <c r="O45" s="2"/>
      <c r="P45" s="2"/>
      <c r="Q45" s="2"/>
      <c r="R45" s="739"/>
      <c r="S45" s="739"/>
      <c r="T45" s="739"/>
      <c r="U45" s="739"/>
      <c r="V45" s="739"/>
      <c r="W45" s="739"/>
      <c r="X45" s="739"/>
      <c r="Y45" s="739"/>
      <c r="Z45" s="739"/>
      <c r="AA45" s="739"/>
      <c r="AB45" s="739"/>
      <c r="AC45" s="739"/>
      <c r="AD45" s="739"/>
      <c r="AE45" s="739"/>
      <c r="AF45" s="739"/>
      <c r="AG45" s="739"/>
      <c r="AH45" s="739"/>
      <c r="AI45" s="739"/>
      <c r="AJ45" s="739"/>
      <c r="AK45" s="739"/>
    </row>
    <row r="46" ht="21.75" customHeight="1">
      <c r="A46" s="741"/>
      <c r="B46" s="827" t="s">
        <v>2208</v>
      </c>
      <c r="C46" s="2"/>
      <c r="D46" s="2"/>
      <c r="E46" s="2"/>
      <c r="F46" s="2"/>
      <c r="G46" s="2"/>
      <c r="H46" s="2"/>
      <c r="I46" s="2"/>
      <c r="J46" s="2"/>
      <c r="K46" s="2"/>
      <c r="L46" s="2"/>
      <c r="M46" s="2"/>
      <c r="N46" s="2"/>
      <c r="O46" s="2"/>
      <c r="P46" s="2"/>
      <c r="Q46" s="2"/>
      <c r="R46" s="741"/>
      <c r="S46" s="741"/>
      <c r="T46" s="741"/>
      <c r="U46" s="741"/>
      <c r="V46" s="741"/>
      <c r="W46" s="741"/>
      <c r="X46" s="741"/>
      <c r="Y46" s="741"/>
      <c r="Z46" s="741"/>
      <c r="AA46" s="741"/>
      <c r="AB46" s="741"/>
      <c r="AC46" s="741"/>
      <c r="AD46" s="741"/>
      <c r="AE46" s="741"/>
      <c r="AF46" s="741"/>
    </row>
    <row r="47" ht="15.75" customHeight="1">
      <c r="B47" s="772" t="s">
        <v>1247</v>
      </c>
      <c r="C47" s="772" t="s">
        <v>2150</v>
      </c>
      <c r="D47" s="772" t="s">
        <v>2151</v>
      </c>
      <c r="E47" s="773" t="s">
        <v>1653</v>
      </c>
      <c r="F47" s="774" t="s">
        <v>22</v>
      </c>
      <c r="G47" s="775">
        <v>16.0</v>
      </c>
      <c r="H47" s="776">
        <v>157.3812</v>
      </c>
      <c r="I47" s="777">
        <f>CONFIG!G6</f>
        <v>161.8</v>
      </c>
      <c r="J47" s="777">
        <f>IFERROR(I47/C$4,0)</f>
        <v>119.3303341</v>
      </c>
      <c r="K47" s="774" t="s">
        <v>1061</v>
      </c>
      <c r="L47" s="778">
        <f t="shared" ref="L47:L57" si="16">IF(G47=0,"-",G47*I47)</f>
        <v>2588.8</v>
      </c>
      <c r="M47" s="778">
        <f t="shared" ref="M47:M57" si="17">IF(G47=0,"-",G47*J47)</f>
        <v>1909.285346</v>
      </c>
      <c r="N47" s="779">
        <f t="shared" ref="N47:N57" si="18">IF(G47=0,"-",(I47-H47)*G47)</f>
        <v>70.7008</v>
      </c>
      <c r="O47" s="780">
        <f t="shared" ref="O47:O57" si="19">IF(H46&gt;0,(I46-H46)/H46,0)</f>
        <v>0</v>
      </c>
      <c r="P47" s="781">
        <f t="shared" ref="P47:P57" si="20">IF(AND(ISNUMBER(L46),L46&gt;0),L46/L$70,0)</f>
        <v>0</v>
      </c>
      <c r="Q47" s="782" t="s">
        <v>2209</v>
      </c>
      <c r="R47" s="783"/>
      <c r="S47" s="783"/>
      <c r="T47" s="783"/>
    </row>
    <row r="48" ht="15.75" customHeight="1">
      <c r="B48" s="772" t="s">
        <v>2158</v>
      </c>
      <c r="C48" s="772" t="s">
        <v>2159</v>
      </c>
      <c r="D48" s="772" t="s">
        <v>2155</v>
      </c>
      <c r="E48" s="773" t="s">
        <v>1653</v>
      </c>
      <c r="F48" s="774" t="s">
        <v>22</v>
      </c>
      <c r="G48" s="775">
        <v>7.0</v>
      </c>
      <c r="H48" s="776">
        <v>154.9418</v>
      </c>
      <c r="I48" s="777">
        <f t="shared" ref="I48:I49" si="21">J48*$C$4</f>
        <v>281.579753</v>
      </c>
      <c r="J48" s="777">
        <f>CONFIG!G9</f>
        <v>207.67</v>
      </c>
      <c r="K48" s="774" t="s">
        <v>2156</v>
      </c>
      <c r="L48" s="778">
        <f t="shared" si="16"/>
        <v>1971.058271</v>
      </c>
      <c r="M48" s="778">
        <f t="shared" si="17"/>
        <v>1453.69</v>
      </c>
      <c r="N48" s="779">
        <f t="shared" si="18"/>
        <v>886.465671</v>
      </c>
      <c r="O48" s="780">
        <f t="shared" si="19"/>
        <v>0.02807705113</v>
      </c>
      <c r="P48" s="781">
        <f t="shared" si="20"/>
        <v>0.03031871086</v>
      </c>
      <c r="Q48" s="782" t="s">
        <v>2165</v>
      </c>
      <c r="R48" s="783"/>
      <c r="S48" s="783"/>
      <c r="T48" s="783"/>
    </row>
    <row r="49" ht="15.75" customHeight="1">
      <c r="B49" s="784" t="s">
        <v>2173</v>
      </c>
      <c r="C49" s="784" t="s">
        <v>2174</v>
      </c>
      <c r="D49" s="784" t="s">
        <v>2151</v>
      </c>
      <c r="E49" s="785" t="s">
        <v>1655</v>
      </c>
      <c r="F49" s="786" t="s">
        <v>22</v>
      </c>
      <c r="G49" s="787">
        <v>5.311</v>
      </c>
      <c r="H49" s="788">
        <v>247.4064</v>
      </c>
      <c r="I49" s="789">
        <f t="shared" si="21"/>
        <v>331.449755</v>
      </c>
      <c r="J49" s="789">
        <f>CONFIG!G18</f>
        <v>244.45</v>
      </c>
      <c r="K49" s="786" t="s">
        <v>2156</v>
      </c>
      <c r="L49" s="790">
        <f t="shared" si="16"/>
        <v>1760.329649</v>
      </c>
      <c r="M49" s="790">
        <f t="shared" si="17"/>
        <v>1298.27395</v>
      </c>
      <c r="N49" s="791">
        <f t="shared" si="18"/>
        <v>446.3542584</v>
      </c>
      <c r="O49" s="792">
        <f t="shared" si="19"/>
        <v>0.8173259443</v>
      </c>
      <c r="P49" s="793">
        <f t="shared" si="20"/>
        <v>0.02308403346</v>
      </c>
      <c r="Q49" s="794" t="s">
        <v>2175</v>
      </c>
      <c r="R49" s="795"/>
      <c r="S49" s="795"/>
      <c r="T49" s="795"/>
    </row>
    <row r="50" ht="15.75" customHeight="1">
      <c r="B50" s="784" t="s">
        <v>1456</v>
      </c>
      <c r="C50" s="784" t="s">
        <v>2176</v>
      </c>
      <c r="D50" s="784" t="s">
        <v>2151</v>
      </c>
      <c r="E50" s="785" t="s">
        <v>1655</v>
      </c>
      <c r="F50" s="786" t="s">
        <v>22</v>
      </c>
      <c r="G50" s="787">
        <v>15.0</v>
      </c>
      <c r="H50" s="788">
        <v>40.06</v>
      </c>
      <c r="I50" s="789">
        <f>CONFIG!G19</f>
        <v>39.85</v>
      </c>
      <c r="J50" s="789">
        <f t="shared" ref="J50:J57" si="22">IFERROR(I50/C$4,0)</f>
        <v>29.39007301</v>
      </c>
      <c r="K50" s="786" t="s">
        <v>1061</v>
      </c>
      <c r="L50" s="790">
        <f t="shared" si="16"/>
        <v>597.75</v>
      </c>
      <c r="M50" s="790">
        <f t="shared" si="17"/>
        <v>440.8510952</v>
      </c>
      <c r="N50" s="791">
        <f t="shared" si="18"/>
        <v>-3.15</v>
      </c>
      <c r="O50" s="792">
        <f t="shared" si="19"/>
        <v>0.3396975786</v>
      </c>
      <c r="P50" s="793">
        <f t="shared" si="20"/>
        <v>0.02061608685</v>
      </c>
      <c r="Q50" s="794" t="s">
        <v>2177</v>
      </c>
      <c r="R50" s="795"/>
      <c r="S50" s="795"/>
      <c r="T50" s="795"/>
    </row>
    <row r="51" ht="15.75" customHeight="1">
      <c r="B51" s="796" t="s">
        <v>1977</v>
      </c>
      <c r="C51" s="796" t="s">
        <v>2180</v>
      </c>
      <c r="D51" s="796" t="s">
        <v>2155</v>
      </c>
      <c r="E51" s="797" t="s">
        <v>1408</v>
      </c>
      <c r="F51" s="798" t="s">
        <v>22</v>
      </c>
      <c r="G51" s="799">
        <v>15.0</v>
      </c>
      <c r="H51" s="800">
        <v>82.29</v>
      </c>
      <c r="I51" s="801">
        <f>CONFIG!G20</f>
        <v>128.05</v>
      </c>
      <c r="J51" s="801">
        <f t="shared" si="22"/>
        <v>94.43911793</v>
      </c>
      <c r="K51" s="798" t="s">
        <v>1061</v>
      </c>
      <c r="L51" s="802">
        <f t="shared" si="16"/>
        <v>1920.75</v>
      </c>
      <c r="M51" s="802">
        <f t="shared" si="17"/>
        <v>1416.586769</v>
      </c>
      <c r="N51" s="803">
        <f t="shared" si="18"/>
        <v>686.4</v>
      </c>
      <c r="O51" s="804">
        <f t="shared" si="19"/>
        <v>-0.005242136795</v>
      </c>
      <c r="P51" s="805">
        <f t="shared" si="20"/>
        <v>0.007000544429</v>
      </c>
      <c r="Q51" s="806" t="s">
        <v>2183</v>
      </c>
      <c r="R51" s="807"/>
      <c r="S51" s="807"/>
      <c r="T51" s="807"/>
    </row>
    <row r="52" ht="15.75" customHeight="1">
      <c r="B52" s="796" t="s">
        <v>1284</v>
      </c>
      <c r="C52" s="796" t="s">
        <v>2184</v>
      </c>
      <c r="D52" s="796" t="s">
        <v>2155</v>
      </c>
      <c r="E52" s="797" t="s">
        <v>1408</v>
      </c>
      <c r="F52" s="798" t="s">
        <v>22</v>
      </c>
      <c r="G52" s="799">
        <v>10.0</v>
      </c>
      <c r="H52" s="800">
        <v>51.78</v>
      </c>
      <c r="I52" s="801">
        <f>CONFIG!G22</f>
        <v>60.09</v>
      </c>
      <c r="J52" s="801">
        <f t="shared" si="22"/>
        <v>44.31742754</v>
      </c>
      <c r="K52" s="798" t="s">
        <v>1061</v>
      </c>
      <c r="L52" s="802">
        <f t="shared" si="16"/>
        <v>600.9</v>
      </c>
      <c r="M52" s="802">
        <f t="shared" si="17"/>
        <v>443.1742754</v>
      </c>
      <c r="N52" s="803">
        <f t="shared" si="18"/>
        <v>83.1</v>
      </c>
      <c r="O52" s="804">
        <f t="shared" si="19"/>
        <v>0.5560821485</v>
      </c>
      <c r="P52" s="805">
        <f t="shared" si="20"/>
        <v>0.02249484854</v>
      </c>
      <c r="Q52" s="806" t="s">
        <v>2183</v>
      </c>
      <c r="R52" s="807"/>
      <c r="S52" s="807"/>
      <c r="T52" s="807"/>
    </row>
    <row r="53" ht="15.75" customHeight="1">
      <c r="B53" s="796" t="s">
        <v>1278</v>
      </c>
      <c r="C53" s="796" t="s">
        <v>2182</v>
      </c>
      <c r="D53" s="796" t="s">
        <v>2151</v>
      </c>
      <c r="E53" s="797" t="s">
        <v>1408</v>
      </c>
      <c r="F53" s="798" t="s">
        <v>22</v>
      </c>
      <c r="G53" s="799">
        <v>3.0</v>
      </c>
      <c r="H53" s="800">
        <v>59.0666</v>
      </c>
      <c r="I53" s="801">
        <f>CONFIG!G21</f>
        <v>59.04</v>
      </c>
      <c r="J53" s="801">
        <f t="shared" si="22"/>
        <v>43.54303415</v>
      </c>
      <c r="K53" s="798" t="s">
        <v>1061</v>
      </c>
      <c r="L53" s="802">
        <f t="shared" si="16"/>
        <v>177.12</v>
      </c>
      <c r="M53" s="802">
        <f t="shared" si="17"/>
        <v>130.6291024</v>
      </c>
      <c r="N53" s="803">
        <f t="shared" si="18"/>
        <v>-0.0798</v>
      </c>
      <c r="O53" s="804">
        <f t="shared" si="19"/>
        <v>0.1604866744</v>
      </c>
      <c r="P53" s="805">
        <f t="shared" si="20"/>
        <v>0.007037435629</v>
      </c>
      <c r="Q53" s="806" t="s">
        <v>2183</v>
      </c>
      <c r="R53" s="807"/>
      <c r="S53" s="807"/>
      <c r="T53" s="807"/>
    </row>
    <row r="54" ht="15.75" customHeight="1">
      <c r="B54" s="808" t="s">
        <v>2198</v>
      </c>
      <c r="C54" s="808" t="s">
        <v>2199</v>
      </c>
      <c r="D54" s="808" t="s">
        <v>2193</v>
      </c>
      <c r="E54" s="809" t="s">
        <v>1413</v>
      </c>
      <c r="F54" s="810" t="s">
        <v>22</v>
      </c>
      <c r="G54" s="811">
        <v>63.0</v>
      </c>
      <c r="H54" s="812">
        <v>23.61</v>
      </c>
      <c r="I54" s="813">
        <f>CONFIG!G29</f>
        <v>26.84</v>
      </c>
      <c r="J54" s="813">
        <f t="shared" si="22"/>
        <v>19.79497013</v>
      </c>
      <c r="K54" s="810" t="s">
        <v>1061</v>
      </c>
      <c r="L54" s="814">
        <f t="shared" si="16"/>
        <v>1690.92</v>
      </c>
      <c r="M54" s="814">
        <f t="shared" si="17"/>
        <v>1247.083118</v>
      </c>
      <c r="N54" s="815">
        <f t="shared" si="18"/>
        <v>203.49</v>
      </c>
      <c r="O54" s="816">
        <f t="shared" si="19"/>
        <v>-0.0004503391087</v>
      </c>
      <c r="P54" s="817">
        <f t="shared" si="20"/>
        <v>0.002074339489</v>
      </c>
      <c r="Q54" s="818" t="s">
        <v>2194</v>
      </c>
      <c r="R54" s="819"/>
      <c r="S54" s="819"/>
      <c r="T54" s="819"/>
    </row>
    <row r="55" ht="15.75" customHeight="1">
      <c r="B55" s="808" t="s">
        <v>1233</v>
      </c>
      <c r="C55" s="808" t="s">
        <v>2192</v>
      </c>
      <c r="D55" s="808" t="s">
        <v>2193</v>
      </c>
      <c r="E55" s="809" t="s">
        <v>1413</v>
      </c>
      <c r="F55" s="810" t="s">
        <v>22</v>
      </c>
      <c r="G55" s="811">
        <v>80.0</v>
      </c>
      <c r="H55" s="812">
        <v>18.73</v>
      </c>
      <c r="I55" s="813">
        <f>CONFIG!G26</f>
        <v>19.02</v>
      </c>
      <c r="J55" s="813">
        <f t="shared" si="22"/>
        <v>14.02758316</v>
      </c>
      <c r="K55" s="810" t="s">
        <v>1061</v>
      </c>
      <c r="L55" s="814">
        <f t="shared" si="16"/>
        <v>1521.6</v>
      </c>
      <c r="M55" s="814">
        <f t="shared" si="17"/>
        <v>1122.206652</v>
      </c>
      <c r="N55" s="815">
        <f t="shared" si="18"/>
        <v>23.2</v>
      </c>
      <c r="O55" s="816">
        <f t="shared" si="19"/>
        <v>0.136806438</v>
      </c>
      <c r="P55" s="817">
        <f t="shared" si="20"/>
        <v>0.0198031963</v>
      </c>
      <c r="Q55" s="818" t="s">
        <v>2194</v>
      </c>
      <c r="R55" s="819"/>
      <c r="S55" s="819"/>
      <c r="T55" s="819"/>
    </row>
    <row r="56" ht="15.75" customHeight="1">
      <c r="B56" s="808" t="s">
        <v>1412</v>
      </c>
      <c r="C56" s="808" t="s">
        <v>2200</v>
      </c>
      <c r="D56" s="808" t="s">
        <v>2151</v>
      </c>
      <c r="E56" s="809" t="s">
        <v>1413</v>
      </c>
      <c r="F56" s="810" t="s">
        <v>22</v>
      </c>
      <c r="G56" s="811">
        <v>19.0</v>
      </c>
      <c r="H56" s="812">
        <v>48.3705</v>
      </c>
      <c r="I56" s="813">
        <f>CONFIG!G30</f>
        <v>52.08</v>
      </c>
      <c r="J56" s="813">
        <f t="shared" si="22"/>
        <v>38.40991224</v>
      </c>
      <c r="K56" s="810" t="s">
        <v>1061</v>
      </c>
      <c r="L56" s="814">
        <f t="shared" si="16"/>
        <v>989.52</v>
      </c>
      <c r="M56" s="814">
        <f t="shared" si="17"/>
        <v>729.7883325</v>
      </c>
      <c r="N56" s="815">
        <f t="shared" si="18"/>
        <v>70.4805</v>
      </c>
      <c r="O56" s="816">
        <f t="shared" si="19"/>
        <v>0.01548318206</v>
      </c>
      <c r="P56" s="817">
        <f t="shared" si="20"/>
        <v>0.01782020645</v>
      </c>
      <c r="Q56" s="818" t="s">
        <v>2194</v>
      </c>
      <c r="R56" s="819"/>
      <c r="S56" s="819"/>
      <c r="T56" s="819"/>
    </row>
    <row r="57" ht="15.75" customHeight="1">
      <c r="B57" s="808" t="s">
        <v>2196</v>
      </c>
      <c r="C57" s="809" t="s">
        <v>2197</v>
      </c>
      <c r="D57" s="809" t="s">
        <v>2151</v>
      </c>
      <c r="E57" s="809" t="s">
        <v>1413</v>
      </c>
      <c r="F57" s="828" t="s">
        <v>22</v>
      </c>
      <c r="G57" s="828">
        <v>26.0</v>
      </c>
      <c r="H57" s="828">
        <v>32.6111</v>
      </c>
      <c r="I57" s="829">
        <f>CONFIG!G28</f>
        <v>35.89</v>
      </c>
      <c r="J57" s="828">
        <f t="shared" si="22"/>
        <v>26.46950365</v>
      </c>
      <c r="K57" s="828" t="s">
        <v>1061</v>
      </c>
      <c r="L57" s="814">
        <f t="shared" si="16"/>
        <v>933.14</v>
      </c>
      <c r="M57" s="814">
        <f t="shared" si="17"/>
        <v>688.2070949</v>
      </c>
      <c r="N57" s="815">
        <f t="shared" si="18"/>
        <v>85.2514</v>
      </c>
      <c r="O57" s="816">
        <f t="shared" si="19"/>
        <v>0.07668930443</v>
      </c>
      <c r="P57" s="817">
        <f t="shared" si="20"/>
        <v>0.01158875571</v>
      </c>
      <c r="Q57" s="818" t="s">
        <v>2210</v>
      </c>
      <c r="R57" s="819"/>
      <c r="S57" s="819"/>
      <c r="T57" s="819"/>
    </row>
    <row r="58" ht="14.25" customHeight="1">
      <c r="B58" s="821" t="s">
        <v>2211</v>
      </c>
      <c r="C58" s="821" t="s">
        <v>2212</v>
      </c>
      <c r="D58" s="821" t="s">
        <v>2213</v>
      </c>
      <c r="E58" s="821" t="s">
        <v>593</v>
      </c>
      <c r="F58" s="821" t="s">
        <v>22</v>
      </c>
      <c r="G58" s="821">
        <v>1.0</v>
      </c>
      <c r="H58" s="821">
        <v>0.0</v>
      </c>
      <c r="I58" s="821">
        <f>CONFIG!B38</f>
        <v>15.13</v>
      </c>
      <c r="J58" s="821"/>
      <c r="K58" s="821" t="s">
        <v>1061</v>
      </c>
      <c r="L58" s="821">
        <f>CONFIG!B38</f>
        <v>15.13</v>
      </c>
      <c r="M58" s="821">
        <f>CONFIG!B38/CONFIG!B3</f>
        <v>11.15864002</v>
      </c>
      <c r="N58" s="821">
        <v>0.0</v>
      </c>
      <c r="O58" s="821">
        <v>0.0</v>
      </c>
    </row>
    <row r="59" ht="15.75" customHeight="1">
      <c r="A59" s="770"/>
      <c r="B59" s="823" t="s">
        <v>2214</v>
      </c>
      <c r="C59" s="823"/>
      <c r="D59" s="823"/>
      <c r="E59" s="823"/>
      <c r="F59" s="823"/>
      <c r="G59" s="823"/>
      <c r="H59" s="823"/>
      <c r="I59" s="823"/>
      <c r="J59" s="823"/>
      <c r="K59" s="823"/>
      <c r="L59" s="824">
        <f t="shared" ref="L59:N59" si="23">SUM(L47:L58)</f>
        <v>14767.01792</v>
      </c>
      <c r="M59" s="824">
        <f t="shared" si="23"/>
        <v>10890.93438</v>
      </c>
      <c r="N59" s="830">
        <f t="shared" si="23"/>
        <v>2552.212829</v>
      </c>
      <c r="O59" s="823">
        <f>IF(L59&gt;0,N59/L59,0)</f>
        <v>0.1728319721</v>
      </c>
      <c r="P59" s="823"/>
      <c r="Q59" s="823"/>
      <c r="R59" s="770"/>
      <c r="S59" s="770"/>
      <c r="T59" s="770"/>
      <c r="U59" s="770"/>
      <c r="V59" s="770"/>
      <c r="W59" s="770"/>
      <c r="X59" s="770"/>
      <c r="Y59" s="770"/>
      <c r="Z59" s="770"/>
      <c r="AA59" s="770"/>
      <c r="AB59" s="770"/>
      <c r="AC59" s="770"/>
      <c r="AD59" s="770"/>
      <c r="AE59" s="770"/>
      <c r="AF59" s="770"/>
      <c r="AG59" s="770"/>
      <c r="AH59" s="770"/>
      <c r="AI59" s="770"/>
    </row>
    <row r="60" ht="15.75" customHeight="1">
      <c r="A60" s="739"/>
      <c r="B60" s="739"/>
      <c r="C60" s="739"/>
      <c r="D60" s="739"/>
      <c r="E60" s="739"/>
      <c r="F60" s="739"/>
      <c r="G60" s="739"/>
      <c r="H60" s="739"/>
      <c r="I60" s="739"/>
      <c r="J60" s="739"/>
      <c r="K60" s="739"/>
      <c r="L60" s="739"/>
      <c r="M60" s="739"/>
      <c r="N60" s="739"/>
      <c r="O60" s="739"/>
      <c r="P60" s="739"/>
      <c r="Q60" s="739"/>
      <c r="R60" s="739"/>
      <c r="S60" s="739"/>
      <c r="T60" s="739"/>
      <c r="U60" s="739"/>
      <c r="V60" s="739"/>
      <c r="W60" s="739"/>
      <c r="X60" s="739"/>
      <c r="Y60" s="739"/>
      <c r="Z60" s="739"/>
      <c r="AA60" s="739"/>
      <c r="AB60" s="739"/>
      <c r="AC60" s="739"/>
      <c r="AD60" s="739"/>
      <c r="AE60" s="739"/>
      <c r="AF60" s="739"/>
      <c r="AG60" s="739"/>
      <c r="AH60" s="739"/>
      <c r="AI60" s="739"/>
      <c r="AJ60" s="739"/>
      <c r="AK60" s="739"/>
    </row>
    <row r="61" ht="21.75" customHeight="1">
      <c r="A61" s="741"/>
      <c r="B61" s="831" t="s">
        <v>2215</v>
      </c>
      <c r="C61" s="2"/>
      <c r="D61" s="2"/>
      <c r="E61" s="2"/>
      <c r="F61" s="2"/>
      <c r="G61" s="2"/>
      <c r="H61" s="2"/>
      <c r="I61" s="2"/>
      <c r="J61" s="2"/>
      <c r="K61" s="2"/>
      <c r="L61" s="2"/>
      <c r="M61" s="2"/>
      <c r="N61" s="2"/>
      <c r="O61" s="2"/>
      <c r="P61" s="2"/>
      <c r="Q61" s="2"/>
      <c r="R61" s="741"/>
      <c r="S61" s="741"/>
      <c r="T61" s="741"/>
      <c r="U61" s="741"/>
      <c r="V61" s="741"/>
      <c r="W61" s="741"/>
      <c r="X61" s="741"/>
      <c r="Y61" s="741"/>
      <c r="Z61" s="741"/>
      <c r="AA61" s="741"/>
      <c r="AB61" s="741"/>
      <c r="AC61" s="741"/>
      <c r="AD61" s="741"/>
      <c r="AE61" s="741"/>
      <c r="AF61" s="741"/>
      <c r="AG61" s="741"/>
    </row>
    <row r="62" ht="15.75" customHeight="1">
      <c r="B62" s="772" t="s">
        <v>548</v>
      </c>
      <c r="C62" s="772" t="s">
        <v>2216</v>
      </c>
      <c r="D62" s="772" t="s">
        <v>2151</v>
      </c>
      <c r="E62" s="773" t="s">
        <v>1653</v>
      </c>
      <c r="F62" s="774" t="s">
        <v>25</v>
      </c>
      <c r="G62" s="775">
        <v>64.3053</v>
      </c>
      <c r="H62" s="776">
        <v>25.5008</v>
      </c>
      <c r="I62" s="777">
        <f t="shared" ref="I62:I63" si="24">J62*$C$4</f>
        <v>41.76172</v>
      </c>
      <c r="J62" s="777">
        <f>CONFIG!G34</f>
        <v>30.8</v>
      </c>
      <c r="K62" s="774" t="s">
        <v>2156</v>
      </c>
      <c r="L62" s="778">
        <f t="shared" ref="L62:L66" si="25">IF(G62=0,"-",G62*I62)</f>
        <v>2685.499933</v>
      </c>
      <c r="M62" s="778">
        <f t="shared" ref="M62:M64" si="26">IF(G62=0,"-",G62*J62)</f>
        <v>1980.60324</v>
      </c>
      <c r="N62" s="779">
        <f t="shared" ref="N62:N64" si="27">IF(G62=0,"-",(I62-H62)*G62)</f>
        <v>1045.663339</v>
      </c>
      <c r="O62" s="780">
        <f t="shared" ref="O62:O66" si="28">IF(H60&gt;0,(I60-H60)/H60,0)</f>
        <v>0</v>
      </c>
      <c r="P62" s="781">
        <f t="shared" ref="P62:P66" si="29">IF(AND(ISNUMBER(L60),L60&gt;0),L60/L$70,0)</f>
        <v>0</v>
      </c>
      <c r="Q62" s="782" t="s">
        <v>2217</v>
      </c>
      <c r="R62" s="783"/>
      <c r="S62" s="783"/>
      <c r="T62" s="783"/>
    </row>
    <row r="63" ht="15.75" customHeight="1">
      <c r="B63" s="784" t="s">
        <v>2218</v>
      </c>
      <c r="C63" s="784" t="s">
        <v>2219</v>
      </c>
      <c r="D63" s="784" t="s">
        <v>2151</v>
      </c>
      <c r="E63" s="785" t="s">
        <v>1655</v>
      </c>
      <c r="F63" s="786" t="s">
        <v>25</v>
      </c>
      <c r="G63" s="787">
        <v>1.0</v>
      </c>
      <c r="H63" s="788">
        <v>54.52</v>
      </c>
      <c r="I63" s="789">
        <f t="shared" si="24"/>
        <v>77.408331</v>
      </c>
      <c r="J63" s="789">
        <f>CONFIG!G35</f>
        <v>57.09</v>
      </c>
      <c r="K63" s="786" t="s">
        <v>2156</v>
      </c>
      <c r="L63" s="790">
        <f t="shared" si="25"/>
        <v>77.408331</v>
      </c>
      <c r="M63" s="790">
        <f t="shared" si="26"/>
        <v>57.09</v>
      </c>
      <c r="N63" s="791">
        <f t="shared" si="27"/>
        <v>22.888331</v>
      </c>
      <c r="O63" s="792">
        <f t="shared" si="28"/>
        <v>0</v>
      </c>
      <c r="P63" s="793">
        <f t="shared" si="29"/>
        <v>0</v>
      </c>
      <c r="Q63" s="794" t="s">
        <v>2165</v>
      </c>
      <c r="R63" s="795"/>
      <c r="S63" s="795"/>
      <c r="T63" s="795"/>
    </row>
    <row r="64" ht="15.75" customHeight="1">
      <c r="B64" s="796" t="s">
        <v>2196</v>
      </c>
      <c r="C64" s="796" t="s">
        <v>2197</v>
      </c>
      <c r="D64" s="796" t="s">
        <v>2151</v>
      </c>
      <c r="E64" s="797" t="s">
        <v>1408</v>
      </c>
      <c r="F64" s="798" t="s">
        <v>25</v>
      </c>
      <c r="G64" s="799">
        <v>0.0</v>
      </c>
      <c r="H64" s="800">
        <v>24.65</v>
      </c>
      <c r="I64" s="801">
        <f>CONFIG!G28</f>
        <v>35.89</v>
      </c>
      <c r="J64" s="801">
        <f>IFERROR(I64/C$4,0)</f>
        <v>26.46950365</v>
      </c>
      <c r="K64" s="798" t="s">
        <v>1061</v>
      </c>
      <c r="L64" s="802" t="str">
        <f t="shared" si="25"/>
        <v>-</v>
      </c>
      <c r="M64" s="802" t="str">
        <f t="shared" si="26"/>
        <v>-</v>
      </c>
      <c r="N64" s="803" t="str">
        <f t="shared" si="27"/>
        <v>-</v>
      </c>
      <c r="O64" s="804">
        <f t="shared" si="28"/>
        <v>0.6376631321</v>
      </c>
      <c r="P64" s="805">
        <f t="shared" si="29"/>
        <v>0.03145121137</v>
      </c>
      <c r="Q64" s="806" t="s">
        <v>2220</v>
      </c>
      <c r="R64" s="807"/>
      <c r="S64" s="807"/>
      <c r="T64" s="807"/>
    </row>
    <row r="65" ht="15.75" customHeight="1">
      <c r="B65" s="808" t="s">
        <v>2221</v>
      </c>
      <c r="C65" s="832"/>
      <c r="D65" s="832"/>
      <c r="E65" s="832"/>
      <c r="F65" s="822"/>
      <c r="G65" s="822"/>
      <c r="H65" s="822"/>
      <c r="I65" s="822"/>
      <c r="J65" s="822"/>
      <c r="K65" s="822"/>
      <c r="L65" s="814" t="str">
        <f t="shared" si="25"/>
        <v>-</v>
      </c>
      <c r="M65" s="814">
        <f t="shared" ref="M65:M66" si="30">IF(G63=0,"-",G63*J63)</f>
        <v>57.09</v>
      </c>
      <c r="N65" s="815">
        <f t="shared" ref="N65:N66" si="31">IF(G63=0,"-",(I63-H63)*G63)</f>
        <v>22.888331</v>
      </c>
      <c r="O65" s="816">
        <f t="shared" si="28"/>
        <v>0.4198153155</v>
      </c>
      <c r="P65" s="817">
        <f t="shared" si="29"/>
        <v>0.0009065670604</v>
      </c>
      <c r="Q65" s="818" t="s">
        <v>2220</v>
      </c>
      <c r="R65" s="819"/>
      <c r="S65" s="819"/>
      <c r="T65" s="819"/>
    </row>
    <row r="66" ht="15.75" customHeight="1">
      <c r="B66" s="808" t="s">
        <v>2222</v>
      </c>
      <c r="C66" s="808" t="s">
        <v>2223</v>
      </c>
      <c r="D66" s="808" t="s">
        <v>2151</v>
      </c>
      <c r="E66" s="809" t="s">
        <v>1413</v>
      </c>
      <c r="F66" s="810" t="s">
        <v>25</v>
      </c>
      <c r="G66" s="811">
        <v>0.0</v>
      </c>
      <c r="H66" s="812">
        <v>15.86</v>
      </c>
      <c r="I66" s="813">
        <v>0.0</v>
      </c>
      <c r="J66" s="813">
        <f>IFERROR(I64/$C$4,0)</f>
        <v>26.46950365</v>
      </c>
      <c r="K66" s="810" t="s">
        <v>1061</v>
      </c>
      <c r="L66" s="814" t="str">
        <f t="shared" si="25"/>
        <v>-</v>
      </c>
      <c r="M66" s="814" t="str">
        <f t="shared" si="30"/>
        <v>-</v>
      </c>
      <c r="N66" s="815" t="str">
        <f t="shared" si="31"/>
        <v>-</v>
      </c>
      <c r="O66" s="816">
        <f t="shared" si="28"/>
        <v>0.4559837728</v>
      </c>
      <c r="P66" s="817">
        <f t="shared" si="29"/>
        <v>0</v>
      </c>
      <c r="Q66" s="818" t="s">
        <v>2220</v>
      </c>
      <c r="R66" s="819"/>
      <c r="S66" s="819"/>
      <c r="T66" s="819"/>
    </row>
    <row r="67" ht="19.5" customHeight="1">
      <c r="B67" s="821" t="s">
        <v>2224</v>
      </c>
      <c r="C67" s="821" t="s">
        <v>2225</v>
      </c>
      <c r="D67" s="821" t="s">
        <v>2213</v>
      </c>
      <c r="E67" s="821" t="s">
        <v>593</v>
      </c>
      <c r="F67" s="821" t="s">
        <v>25</v>
      </c>
      <c r="G67" s="821">
        <v>1.0</v>
      </c>
      <c r="H67" s="821">
        <v>0.0</v>
      </c>
      <c r="I67" s="821">
        <f>CONFIG!B39</f>
        <v>1.26</v>
      </c>
      <c r="J67" s="821"/>
      <c r="K67" s="821" t="s">
        <v>1061</v>
      </c>
      <c r="L67" s="821">
        <f>CONFIG!B39</f>
        <v>1.26</v>
      </c>
      <c r="M67" s="821">
        <f>CONFIG!B39/CONFIG!B3</f>
        <v>0.9292720702</v>
      </c>
      <c r="N67" s="821">
        <v>0.0</v>
      </c>
      <c r="O67" s="821">
        <v>0.0</v>
      </c>
    </row>
    <row r="68" ht="18.0" customHeight="1">
      <c r="A68" s="770"/>
      <c r="B68" s="823" t="s">
        <v>2226</v>
      </c>
      <c r="C68" s="823"/>
      <c r="D68" s="823"/>
      <c r="E68" s="823"/>
      <c r="F68" s="823"/>
      <c r="G68" s="823"/>
      <c r="H68" s="823"/>
      <c r="I68" s="823"/>
      <c r="J68" s="823"/>
      <c r="K68" s="823"/>
      <c r="L68" s="824">
        <f t="shared" ref="L68:N68" si="32">SUM(L62:L67)</f>
        <v>2764.168264</v>
      </c>
      <c r="M68" s="824">
        <f t="shared" si="32"/>
        <v>2095.712512</v>
      </c>
      <c r="N68" s="824">
        <f t="shared" si="32"/>
        <v>1091.440001</v>
      </c>
      <c r="O68" s="825">
        <f>IF(L68&gt;0,N68/L68,0)</f>
        <v>0.3948529527</v>
      </c>
      <c r="P68" s="823"/>
      <c r="Q68" s="823"/>
      <c r="R68" s="770"/>
      <c r="S68" s="770"/>
      <c r="T68" s="770"/>
      <c r="U68" s="770"/>
      <c r="V68" s="770"/>
      <c r="W68" s="770"/>
      <c r="X68" s="770"/>
      <c r="Y68" s="770"/>
      <c r="Z68" s="770"/>
      <c r="AA68" s="770"/>
      <c r="AB68" s="770"/>
      <c r="AC68" s="770"/>
      <c r="AD68" s="770"/>
      <c r="AE68" s="770"/>
      <c r="AF68" s="770"/>
      <c r="AG68" s="770"/>
      <c r="AH68" s="770"/>
      <c r="AI68" s="770"/>
      <c r="AJ68" s="770"/>
    </row>
    <row r="69" ht="18.0" customHeight="1">
      <c r="A69" s="739"/>
      <c r="B69" s="739"/>
      <c r="C69" s="739"/>
      <c r="D69" s="739"/>
      <c r="E69" s="739"/>
      <c r="F69" s="739"/>
      <c r="G69" s="739"/>
      <c r="H69" s="739"/>
      <c r="I69" s="739"/>
      <c r="J69" s="739"/>
      <c r="K69" s="739"/>
      <c r="L69" s="739"/>
      <c r="M69" s="739"/>
      <c r="N69" s="739"/>
      <c r="O69" s="739"/>
      <c r="P69" s="739"/>
      <c r="Q69" s="739"/>
      <c r="R69" s="739"/>
      <c r="S69" s="739"/>
      <c r="T69" s="739"/>
      <c r="U69" s="739"/>
      <c r="V69" s="739"/>
      <c r="W69" s="739"/>
      <c r="X69" s="739"/>
      <c r="Y69" s="739"/>
      <c r="Z69" s="739"/>
      <c r="AA69" s="739"/>
      <c r="AB69" s="739"/>
      <c r="AC69" s="739"/>
      <c r="AD69" s="739"/>
      <c r="AE69" s="739"/>
      <c r="AF69" s="739"/>
      <c r="AG69" s="739"/>
      <c r="AH69" s="739"/>
      <c r="AI69" s="739"/>
      <c r="AJ69" s="739"/>
      <c r="AK69" s="739"/>
    </row>
    <row r="70" ht="24.0" customHeight="1">
      <c r="B70" s="763" t="s">
        <v>2227</v>
      </c>
      <c r="C70" s="763"/>
      <c r="D70" s="763"/>
      <c r="E70" s="763"/>
      <c r="F70" s="763"/>
      <c r="G70" s="763"/>
      <c r="H70" s="763"/>
      <c r="I70" s="763"/>
      <c r="J70" s="763"/>
      <c r="K70" s="763"/>
      <c r="L70" s="764">
        <f t="shared" ref="L70:N70" si="33">L44+L59+L68</f>
        <v>85386.21618</v>
      </c>
      <c r="M70" s="764">
        <f t="shared" si="33"/>
        <v>63030.92006</v>
      </c>
      <c r="N70" s="764">
        <f t="shared" si="33"/>
        <v>22371.55687</v>
      </c>
      <c r="O70" s="765">
        <f>IF(L70&gt;0,N70/L70,0)</f>
        <v>0.2620043125</v>
      </c>
      <c r="P70" s="763"/>
      <c r="Q70" s="763"/>
    </row>
    <row r="71" ht="15.75" customHeight="1">
      <c r="A71" s="741"/>
      <c r="B71" s="741"/>
      <c r="C71" s="741"/>
      <c r="D71" s="741"/>
      <c r="E71" s="741"/>
      <c r="F71" s="741"/>
      <c r="G71" s="741"/>
      <c r="H71" s="741"/>
      <c r="I71" s="741"/>
      <c r="J71" s="741"/>
      <c r="K71" s="741"/>
      <c r="L71" s="741"/>
      <c r="M71" s="741"/>
      <c r="N71" s="741"/>
      <c r="O71" s="741"/>
      <c r="P71" s="741"/>
      <c r="Q71" s="741"/>
      <c r="R71" s="741"/>
      <c r="S71" s="741"/>
      <c r="T71" s="741"/>
      <c r="U71" s="741"/>
      <c r="V71" s="741"/>
      <c r="W71" s="741"/>
      <c r="X71" s="741"/>
      <c r="Y71" s="741"/>
      <c r="Z71" s="741"/>
      <c r="AA71" s="741"/>
      <c r="AB71" s="741"/>
      <c r="AC71" s="741"/>
      <c r="AD71" s="741"/>
      <c r="AE71" s="741"/>
      <c r="AF71" s="741"/>
      <c r="AG71" s="741"/>
      <c r="AH71" s="741"/>
      <c r="AI71" s="741"/>
      <c r="AJ71" s="741"/>
      <c r="AK71" s="741"/>
    </row>
    <row r="72" ht="15.75" customHeight="1">
      <c r="A72" s="741"/>
      <c r="B72" s="741"/>
      <c r="C72" s="741"/>
      <c r="D72" s="741"/>
      <c r="E72" s="741"/>
      <c r="F72" s="741"/>
      <c r="G72" s="741"/>
      <c r="H72" s="741"/>
      <c r="I72" s="741"/>
      <c r="J72" s="741"/>
      <c r="K72" s="741"/>
      <c r="L72" s="741"/>
      <c r="M72" s="741"/>
      <c r="N72" s="741"/>
      <c r="O72" s="741"/>
      <c r="P72" s="741"/>
      <c r="Q72" s="741"/>
      <c r="R72" s="741"/>
      <c r="S72" s="741"/>
      <c r="T72" s="741"/>
      <c r="U72" s="741"/>
      <c r="V72" s="741"/>
      <c r="W72" s="741"/>
      <c r="X72" s="741"/>
      <c r="Y72" s="741"/>
      <c r="Z72" s="741"/>
      <c r="AA72" s="741"/>
      <c r="AB72" s="741"/>
      <c r="AC72" s="741"/>
      <c r="AD72" s="741"/>
      <c r="AE72" s="741"/>
      <c r="AF72" s="741"/>
      <c r="AG72" s="741"/>
      <c r="AH72" s="741"/>
      <c r="AI72" s="741"/>
      <c r="AJ72" s="741"/>
      <c r="AK72" s="741"/>
    </row>
    <row r="73" ht="15.75" customHeight="1">
      <c r="A73" s="770"/>
      <c r="B73" s="833" t="s">
        <v>2228</v>
      </c>
      <c r="C73" s="834"/>
      <c r="D73" s="834"/>
      <c r="E73" s="834"/>
      <c r="F73" s="834"/>
      <c r="G73" s="834"/>
      <c r="H73" s="834"/>
      <c r="I73" s="834"/>
      <c r="J73" s="834"/>
      <c r="K73" s="834"/>
      <c r="L73" s="835">
        <f>SUMIF(E14:E64,"T1",L14:L64)</f>
        <v>46900.48111</v>
      </c>
      <c r="M73" s="835">
        <f>SUMIF(E14:E64,"T1",M14:M64)</f>
        <v>34589.92633</v>
      </c>
      <c r="N73" s="770"/>
      <c r="O73" s="770"/>
      <c r="P73" s="770"/>
      <c r="Q73" s="770"/>
      <c r="R73" s="770"/>
      <c r="S73" s="770"/>
      <c r="T73" s="770"/>
      <c r="U73" s="770"/>
      <c r="V73" s="770"/>
      <c r="W73" s="770"/>
      <c r="X73" s="770"/>
      <c r="Y73" s="770"/>
      <c r="Z73" s="770"/>
      <c r="AA73" s="770"/>
      <c r="AB73" s="770"/>
      <c r="AC73" s="770"/>
      <c r="AD73" s="770"/>
      <c r="AE73" s="770"/>
      <c r="AF73" s="770"/>
      <c r="AG73" s="770"/>
      <c r="AH73" s="770"/>
      <c r="AI73" s="770"/>
      <c r="AJ73" s="770"/>
      <c r="AK73" s="770"/>
    </row>
    <row r="74" ht="15.75" customHeight="1">
      <c r="B74" s="836" t="s">
        <v>2229</v>
      </c>
      <c r="C74" s="837"/>
      <c r="D74" s="837"/>
      <c r="E74" s="837"/>
      <c r="F74" s="837"/>
      <c r="G74" s="837"/>
      <c r="H74" s="837"/>
      <c r="I74" s="837"/>
      <c r="J74" s="837"/>
      <c r="K74" s="837"/>
      <c r="L74" s="838">
        <f>SUMIF(E14:E64,"T2",L14:L64)</f>
        <v>8519.051159</v>
      </c>
      <c r="M74" s="838">
        <f>SUMIF(E14:E64,"T2",M14:M64)</f>
        <v>6282.94945</v>
      </c>
    </row>
    <row r="75" ht="15.0" customHeight="1">
      <c r="B75" s="833" t="s">
        <v>2230</v>
      </c>
      <c r="C75" s="834"/>
      <c r="D75" s="834"/>
      <c r="E75" s="834"/>
      <c r="F75" s="834"/>
      <c r="G75" s="834"/>
      <c r="H75" s="834"/>
      <c r="I75" s="834"/>
      <c r="J75" s="834"/>
      <c r="K75" s="834"/>
      <c r="L75" s="835">
        <f>SUMIF(E14:E64,"T3",L14:L64)</f>
        <v>19008.61392</v>
      </c>
      <c r="M75" s="835">
        <f>SUMIF(E14:E64,"T3",M14:M64)</f>
        <v>14019.18572</v>
      </c>
    </row>
    <row r="76" ht="15.0" customHeight="1">
      <c r="B76" s="836" t="s">
        <v>2231</v>
      </c>
      <c r="C76" s="837"/>
      <c r="D76" s="837"/>
      <c r="E76" s="837"/>
      <c r="F76" s="837"/>
      <c r="G76" s="837"/>
      <c r="H76" s="837"/>
      <c r="I76" s="837"/>
      <c r="J76" s="837"/>
      <c r="K76" s="837"/>
      <c r="L76" s="838">
        <f>SUMIF(E14:E64,"T4",L14:L64)</f>
        <v>10711.02</v>
      </c>
      <c r="M76" s="838">
        <f>SUMIF(E14:E64,"T4",M14:M64)</f>
        <v>7899.564865</v>
      </c>
    </row>
    <row r="77" ht="15.0" customHeight="1">
      <c r="B77" s="833" t="s">
        <v>2232</v>
      </c>
      <c r="C77" s="834"/>
      <c r="D77" s="834"/>
      <c r="E77" s="834"/>
      <c r="F77" s="834"/>
      <c r="G77" s="834"/>
      <c r="H77" s="834"/>
      <c r="I77" s="834"/>
      <c r="J77" s="834"/>
      <c r="K77" s="834"/>
      <c r="L77" s="835">
        <f>SUMIF(E14:E64,"T5",L14:L64)</f>
        <v>0</v>
      </c>
      <c r="M77" s="835">
        <f>SUMIF(E14:E64,"T5",M14:M64)</f>
        <v>0</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46:Q46"/>
    <mergeCell ref="B61:Q61"/>
    <mergeCell ref="B1:Q1"/>
    <mergeCell ref="B2:Q2"/>
    <mergeCell ref="B3:Q3"/>
    <mergeCell ref="D4:J4"/>
    <mergeCell ref="B14:Q14"/>
    <mergeCell ref="B43:K43"/>
    <mergeCell ref="B45:Q45"/>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2.0"/>
    <col customWidth="1" min="2" max="2" width="22.0"/>
    <col customWidth="1" min="3" max="4" width="10.0"/>
    <col customWidth="1" min="5" max="6" width="8.0"/>
    <col customWidth="1" min="7" max="14" width="14.0"/>
    <col customWidth="1" min="15" max="18" width="10.0"/>
    <col customWidth="1" min="19" max="23" width="8.0"/>
    <col customWidth="1" min="24" max="27" width="8.71"/>
    <col customWidth="1" min="28" max="28" width="16.0"/>
    <col customWidth="1" min="29" max="39" width="8.71"/>
  </cols>
  <sheetData>
    <row r="1" ht="27.75" customHeight="1">
      <c r="A1" s="737"/>
      <c r="B1" s="839" t="s">
        <v>2233</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737"/>
    </row>
    <row r="2" ht="14.25" customHeight="1">
      <c r="A2" s="739"/>
      <c r="B2" s="840" t="s">
        <v>2234</v>
      </c>
      <c r="C2" s="841"/>
      <c r="D2" s="841"/>
      <c r="E2" s="841"/>
      <c r="F2" s="841"/>
      <c r="G2" s="841"/>
      <c r="H2" s="841"/>
      <c r="I2" s="841"/>
      <c r="J2" s="841"/>
      <c r="K2" s="841"/>
      <c r="L2" s="841"/>
      <c r="M2" s="841"/>
      <c r="N2" s="841"/>
      <c r="O2" s="841"/>
      <c r="P2" s="841"/>
      <c r="Q2" s="841"/>
      <c r="R2" s="841"/>
      <c r="S2" s="841"/>
      <c r="T2" s="841"/>
      <c r="U2" s="841"/>
      <c r="V2" s="841"/>
      <c r="W2" s="739"/>
      <c r="X2" s="739"/>
      <c r="Y2" s="739"/>
      <c r="Z2" s="739"/>
      <c r="AA2" s="739"/>
      <c r="AB2" s="739"/>
      <c r="AC2" s="739"/>
      <c r="AD2" s="739"/>
      <c r="AE2" s="739"/>
      <c r="AF2" s="739"/>
      <c r="AG2" s="739"/>
      <c r="AH2" s="739"/>
      <c r="AI2" s="739"/>
    </row>
    <row r="3" ht="13.5" customHeight="1">
      <c r="A3" s="742"/>
      <c r="B3" s="842" t="s">
        <v>2235</v>
      </c>
      <c r="C3" s="742"/>
      <c r="D3" s="742"/>
      <c r="E3" s="742"/>
      <c r="F3" s="742"/>
      <c r="G3" s="742"/>
      <c r="H3" s="742"/>
      <c r="I3" s="742"/>
      <c r="J3" s="742"/>
      <c r="K3" s="742"/>
      <c r="L3" s="742"/>
      <c r="M3" s="742"/>
      <c r="N3" s="742"/>
      <c r="O3" s="742"/>
      <c r="P3" s="742"/>
      <c r="Q3" s="742"/>
      <c r="R3" s="742"/>
      <c r="S3" s="742"/>
      <c r="T3" s="742"/>
      <c r="U3" s="742"/>
      <c r="V3" s="742"/>
      <c r="W3" s="742"/>
      <c r="X3" s="742"/>
      <c r="Y3" s="742"/>
      <c r="Z3" s="742"/>
      <c r="AA3" s="742"/>
      <c r="AB3" s="742"/>
      <c r="AC3" s="742"/>
      <c r="AD3" s="742"/>
      <c r="AE3" s="742"/>
      <c r="AF3" s="742"/>
      <c r="AG3" s="742"/>
      <c r="AH3" s="742"/>
      <c r="AI3" s="742"/>
      <c r="AJ3" s="742"/>
    </row>
    <row r="4" ht="12.0" customHeight="1">
      <c r="A4" s="742"/>
      <c r="B4" s="742"/>
      <c r="C4" s="742"/>
      <c r="D4" s="742"/>
      <c r="E4" s="742"/>
      <c r="F4" s="742"/>
      <c r="G4" s="742"/>
      <c r="H4" s="742"/>
      <c r="I4" s="742"/>
      <c r="J4" s="742"/>
      <c r="K4" s="742"/>
      <c r="L4" s="742"/>
      <c r="M4" s="742"/>
      <c r="N4" s="742"/>
      <c r="O4" s="742"/>
      <c r="P4" s="742"/>
      <c r="Q4" s="742"/>
      <c r="R4" s="742"/>
      <c r="S4" s="742"/>
      <c r="T4" s="742"/>
      <c r="U4" s="742"/>
      <c r="V4" s="742"/>
      <c r="W4" s="742"/>
      <c r="X4" s="742"/>
      <c r="Y4" s="742"/>
      <c r="Z4" s="742"/>
      <c r="AA4" s="742"/>
      <c r="AB4" s="742"/>
      <c r="AC4" s="742"/>
      <c r="AD4" s="742"/>
      <c r="AE4" s="742"/>
      <c r="AF4" s="742"/>
      <c r="AG4" s="742"/>
      <c r="AH4" s="742"/>
      <c r="AI4" s="742"/>
      <c r="AJ4" s="742"/>
      <c r="AK4" s="742"/>
    </row>
    <row r="5" ht="18.0" customHeight="1">
      <c r="A5" s="744"/>
      <c r="B5" s="745" t="s">
        <v>2138</v>
      </c>
      <c r="C5" s="746">
        <f>CONFIG!$B$3</f>
        <v>1.3559</v>
      </c>
      <c r="D5" s="843" t="s">
        <v>2236</v>
      </c>
      <c r="E5" s="744"/>
      <c r="F5" s="744"/>
      <c r="G5" s="744"/>
      <c r="H5" s="744"/>
      <c r="I5" s="744"/>
      <c r="J5" s="744"/>
      <c r="K5" s="744"/>
      <c r="L5" s="744"/>
      <c r="M5" s="744"/>
      <c r="N5" s="744"/>
      <c r="O5" s="744"/>
      <c r="P5" s="744"/>
      <c r="Q5" s="744"/>
      <c r="R5" s="744"/>
      <c r="S5" s="744"/>
      <c r="T5" s="744"/>
      <c r="U5" s="744"/>
      <c r="V5" s="744"/>
      <c r="W5" s="744"/>
      <c r="X5" s="744"/>
      <c r="Y5" s="744"/>
      <c r="Z5" s="744"/>
      <c r="AA5" s="744"/>
      <c r="AB5" s="744"/>
      <c r="AC5" s="744"/>
      <c r="AD5" s="744"/>
      <c r="AE5" s="744"/>
      <c r="AF5" s="744"/>
      <c r="AG5" s="744"/>
      <c r="AH5" s="744"/>
      <c r="AI5" s="744"/>
      <c r="AJ5" s="744"/>
      <c r="AK5" s="744"/>
      <c r="AL5" s="744"/>
    </row>
    <row r="6" ht="18.0" customHeight="1">
      <c r="B6" s="844">
        <f>'📈 PORTEFEUILLE'!L67</f>
        <v>1.26</v>
      </c>
      <c r="C6" s="844">
        <f>'📈 PORTEFEUILLE'!M67</f>
        <v>0.9292720702</v>
      </c>
      <c r="D6" s="844">
        <f>'📈 PORTEFEUILLE'!N67</f>
        <v>0</v>
      </c>
      <c r="E6" s="845">
        <f>'📈 PORTEFEUILLE'!O67</f>
        <v>0</v>
      </c>
      <c r="F6" s="845">
        <f>IFERROR(('📈 PORTEFEUILLE'!L70+'📈 PORTEFEUILLE'!L71)/'📈 PORTEFEUILLE'!L67,0)</f>
        <v>67766.83824</v>
      </c>
      <c r="G6" s="846">
        <f>IFERROR(SUMPRODUCT(L8:L48,R8:R48)/SUM(L8:L48),0)</f>
        <v>1.331058161</v>
      </c>
      <c r="H6" s="847" t="str">
        <f>IF(G6&gt;1.4,"⚠️ BETA ÉLEVÉ",IF(G6&gt;1.2,"🟡 MODÉRÉ","✅ BETA OK"))</f>
        <v>🟡 MODÉRÉ</v>
      </c>
      <c r="I6" s="848"/>
    </row>
    <row r="7" ht="24.0" customHeight="1">
      <c r="A7" s="722"/>
      <c r="B7" s="722" t="s">
        <v>1206</v>
      </c>
      <c r="C7" s="722" t="s">
        <v>1565</v>
      </c>
      <c r="D7" s="722" t="s">
        <v>431</v>
      </c>
      <c r="E7" s="722" t="s">
        <v>1647</v>
      </c>
      <c r="F7" s="722" t="s">
        <v>1294</v>
      </c>
      <c r="G7" s="722" t="s">
        <v>1324</v>
      </c>
      <c r="H7" s="722" t="s">
        <v>2237</v>
      </c>
      <c r="I7" s="722" t="s">
        <v>2146</v>
      </c>
      <c r="J7" s="722" t="s">
        <v>2147</v>
      </c>
      <c r="K7" s="722" t="s">
        <v>2148</v>
      </c>
      <c r="L7" s="722" t="s">
        <v>251</v>
      </c>
      <c r="M7" s="722" t="s">
        <v>1650</v>
      </c>
      <c r="N7" s="722" t="s">
        <v>1651</v>
      </c>
      <c r="O7" s="722" t="s">
        <v>1649</v>
      </c>
      <c r="P7" s="722" t="s">
        <v>2238</v>
      </c>
      <c r="Q7" s="722" t="s">
        <v>2239</v>
      </c>
      <c r="R7" s="722" t="s">
        <v>2240</v>
      </c>
      <c r="S7" s="722" t="s">
        <v>2241</v>
      </c>
      <c r="T7" s="722" t="s">
        <v>2242</v>
      </c>
      <c r="U7" s="722" t="s">
        <v>2243</v>
      </c>
      <c r="V7" s="722" t="s">
        <v>2244</v>
      </c>
      <c r="W7" s="722" t="s">
        <v>2245</v>
      </c>
      <c r="X7" s="722" t="s">
        <v>2246</v>
      </c>
      <c r="Y7" s="849" t="s">
        <v>2247</v>
      </c>
      <c r="Z7" s="849" t="s">
        <v>2248</v>
      </c>
      <c r="AA7" s="748"/>
      <c r="AB7" s="850" t="s">
        <v>2249</v>
      </c>
      <c r="AC7" s="851" t="s">
        <v>2250</v>
      </c>
      <c r="AD7" s="851" t="s">
        <v>2251</v>
      </c>
      <c r="AE7" s="851" t="s">
        <v>2252</v>
      </c>
      <c r="AF7" s="851" t="s">
        <v>2253</v>
      </c>
      <c r="AG7" s="851" t="s">
        <v>2254</v>
      </c>
      <c r="AH7" s="748"/>
      <c r="AI7" s="748"/>
      <c r="AJ7" s="748"/>
      <c r="AK7" s="748"/>
      <c r="AL7" s="748"/>
      <c r="AM7" s="748"/>
    </row>
    <row r="8" ht="15.75" customHeight="1">
      <c r="B8" s="852" t="s">
        <v>1247</v>
      </c>
      <c r="C8" s="782" t="s">
        <v>2150</v>
      </c>
      <c r="D8" s="853" t="s">
        <v>2151</v>
      </c>
      <c r="E8" s="854" t="s">
        <v>1653</v>
      </c>
      <c r="F8" s="853">
        <v>84.0</v>
      </c>
      <c r="G8" s="855">
        <v>119.9246</v>
      </c>
      <c r="H8" s="856">
        <v>119.9246</v>
      </c>
      <c r="I8" s="856">
        <f>IFERROR(VLOOKUP(B8,CONFIG!$F$6:$G$35,2,0),0)</f>
        <v>161.8</v>
      </c>
      <c r="J8" s="856">
        <f>IFERROR(I8/CONFIG!B3,0)</f>
        <v>119.3303341</v>
      </c>
      <c r="K8" s="853" t="s">
        <v>1061</v>
      </c>
      <c r="L8" s="857">
        <f t="shared" ref="L8:L48" si="1">IF(G8&gt;0,G8*I8,0)</f>
        <v>19403.80028</v>
      </c>
      <c r="M8" s="858">
        <f t="shared" ref="M8:M48" si="2">IF(H8&gt;0,(I8-H8)*G8,0)</f>
        <v>5021.890595</v>
      </c>
      <c r="N8" s="859">
        <f t="shared" ref="N8:N48" si="3">IF(H8&gt;0,(I8-H8)/H8,0)</f>
        <v>0.3491810688</v>
      </c>
      <c r="O8" s="860">
        <f>IF(L8&gt;0,L8/SUM(L8:L48),0)</f>
        <v>0.006900578075</v>
      </c>
      <c r="P8" s="861">
        <v>0.0092</v>
      </c>
      <c r="Q8" s="857">
        <f t="shared" ref="Q8:Q48" si="4">IF(G8&gt;0,G8*I8*P8,0)</f>
        <v>178.5149626</v>
      </c>
      <c r="R8" s="862">
        <v>1.0</v>
      </c>
      <c r="S8" s="863">
        <v>0.3</v>
      </c>
      <c r="T8" s="864">
        <v>20000.0</v>
      </c>
      <c r="U8" s="865" t="s">
        <v>1252</v>
      </c>
      <c r="V8" s="866" t="s">
        <v>2255</v>
      </c>
      <c r="W8" s="867" t="s">
        <v>2256</v>
      </c>
      <c r="X8" s="868" t="s">
        <v>2151</v>
      </c>
      <c r="Y8" s="869">
        <v>1.0</v>
      </c>
      <c r="Z8" s="870">
        <v>0.0</v>
      </c>
      <c r="AB8" s="871">
        <v>0.35</v>
      </c>
      <c r="AC8" s="872" t="s">
        <v>2257</v>
      </c>
      <c r="AD8" s="872" t="s">
        <v>1252</v>
      </c>
      <c r="AE8" s="872" t="s">
        <v>2258</v>
      </c>
      <c r="AF8" s="872" t="s">
        <v>593</v>
      </c>
      <c r="AG8" s="873">
        <f>IFERROR((185-I8)/I8,0)</f>
        <v>0.1433868974</v>
      </c>
    </row>
    <row r="9" ht="15.75" customHeight="1">
      <c r="B9" s="874" t="s">
        <v>2153</v>
      </c>
      <c r="C9" s="782" t="s">
        <v>2154</v>
      </c>
      <c r="D9" s="853" t="s">
        <v>2155</v>
      </c>
      <c r="E9" s="854" t="s">
        <v>1653</v>
      </c>
      <c r="F9" s="853">
        <v>6.0</v>
      </c>
      <c r="G9" s="855">
        <v>90.6059</v>
      </c>
      <c r="H9" s="856">
        <v>90.6059</v>
      </c>
      <c r="I9" s="856">
        <f>IFERROR(J9*CONFIG!B3,0)</f>
        <v>408.749614</v>
      </c>
      <c r="J9" s="856">
        <f>IFERROR(VLOOKUP(B9,CONFIG!$F$6:$G$35,2,0),0)</f>
        <v>301.46</v>
      </c>
      <c r="K9" s="856" t="s">
        <v>2156</v>
      </c>
      <c r="L9" s="857">
        <f t="shared" si="1"/>
        <v>37035.12665</v>
      </c>
      <c r="M9" s="858">
        <f t="shared" si="2"/>
        <v>28825.69754</v>
      </c>
      <c r="N9" s="859">
        <f t="shared" si="3"/>
        <v>3.511291362</v>
      </c>
      <c r="O9" s="860">
        <f>IF(L9&gt;0,L9/SUM(L8:L48),0)</f>
        <v>0.01317081084</v>
      </c>
      <c r="P9" s="861">
        <v>0.005</v>
      </c>
      <c r="Q9" s="857">
        <f t="shared" si="4"/>
        <v>185.1756333</v>
      </c>
      <c r="R9" s="862">
        <v>1.06</v>
      </c>
      <c r="S9" s="863">
        <v>0.85</v>
      </c>
      <c r="T9" s="864">
        <v>5000.0</v>
      </c>
      <c r="U9" s="865" t="s">
        <v>2259</v>
      </c>
      <c r="V9" s="866" t="s">
        <v>2260</v>
      </c>
      <c r="W9" s="875" t="s">
        <v>2261</v>
      </c>
      <c r="X9" s="868" t="s">
        <v>2262</v>
      </c>
      <c r="Y9" s="869">
        <v>1.0</v>
      </c>
      <c r="Z9" s="870">
        <v>0.0</v>
      </c>
      <c r="AB9" s="876">
        <v>0.9</v>
      </c>
      <c r="AC9" s="872" t="s">
        <v>2263</v>
      </c>
      <c r="AD9" s="872" t="s">
        <v>2259</v>
      </c>
      <c r="AE9" s="872" t="s">
        <v>2264</v>
      </c>
      <c r="AF9" s="872" t="s">
        <v>2265</v>
      </c>
      <c r="AG9" s="877">
        <f>IFERROR((400-I9)/I9,0)</f>
        <v>-0.0214058037</v>
      </c>
    </row>
    <row r="10" ht="15.75" customHeight="1">
      <c r="B10" s="874" t="s">
        <v>536</v>
      </c>
      <c r="C10" s="782" t="s">
        <v>2157</v>
      </c>
      <c r="D10" s="853" t="s">
        <v>2155</v>
      </c>
      <c r="E10" s="854" t="s">
        <v>1653</v>
      </c>
      <c r="F10" s="853">
        <v>16.5743</v>
      </c>
      <c r="G10" s="855">
        <v>342.1593</v>
      </c>
      <c r="H10" s="856">
        <v>342.1593</v>
      </c>
      <c r="I10" s="856">
        <f>IFERROR(J10*CONFIG!B3,0)</f>
        <v>436.816744</v>
      </c>
      <c r="J10" s="856">
        <f>IFERROR(VLOOKUP(B10,CONFIG!$F$6:$G$35,2,0),0)</f>
        <v>322.16</v>
      </c>
      <c r="K10" s="856" t="s">
        <v>2156</v>
      </c>
      <c r="L10" s="857">
        <f t="shared" si="1"/>
        <v>149460.9114</v>
      </c>
      <c r="M10" s="858">
        <f t="shared" si="2"/>
        <v>32387.92478</v>
      </c>
      <c r="N10" s="859">
        <f t="shared" si="3"/>
        <v>0.2766472926</v>
      </c>
      <c r="O10" s="860">
        <f>IF(L10&gt;0,L10/SUM(L8:L48),0)</f>
        <v>0.0531528192</v>
      </c>
      <c r="P10" s="861">
        <v>0.0079</v>
      </c>
      <c r="Q10" s="857">
        <f t="shared" si="4"/>
        <v>1180.7412</v>
      </c>
      <c r="R10" s="862">
        <v>1.3</v>
      </c>
      <c r="S10" s="863">
        <v>0.9</v>
      </c>
      <c r="T10" s="864">
        <v>10000.0</v>
      </c>
      <c r="U10" s="865" t="s">
        <v>1252</v>
      </c>
      <c r="V10" s="866" t="s">
        <v>2266</v>
      </c>
      <c r="W10" s="875" t="s">
        <v>2261</v>
      </c>
      <c r="X10" s="868" t="s">
        <v>2262</v>
      </c>
      <c r="Y10" s="869">
        <v>1.0</v>
      </c>
      <c r="Z10" s="870">
        <v>0.0</v>
      </c>
      <c r="AB10" s="876">
        <v>1.0</v>
      </c>
      <c r="AC10" s="872" t="s">
        <v>2267</v>
      </c>
      <c r="AD10" s="872" t="s">
        <v>1252</v>
      </c>
      <c r="AE10" s="872" t="s">
        <v>2268</v>
      </c>
      <c r="AF10" s="872" t="s">
        <v>2269</v>
      </c>
      <c r="AG10" s="873">
        <f>IFERROR((450-I10)/I10,0)</f>
        <v>0.03018028998</v>
      </c>
    </row>
    <row r="11" ht="15.75" customHeight="1">
      <c r="B11" s="874" t="s">
        <v>2158</v>
      </c>
      <c r="C11" s="782" t="s">
        <v>2159</v>
      </c>
      <c r="D11" s="853" t="s">
        <v>2155</v>
      </c>
      <c r="E11" s="854" t="s">
        <v>1653</v>
      </c>
      <c r="F11" s="853">
        <v>7.4817</v>
      </c>
      <c r="G11" s="855">
        <v>113.7377</v>
      </c>
      <c r="H11" s="856">
        <v>113.7377</v>
      </c>
      <c r="I11" s="856">
        <f>IFERROR(J11*CONFIG!B3,0)</f>
        <v>281.579753</v>
      </c>
      <c r="J11" s="856">
        <f>IFERROR(VLOOKUP(B11,CONFIG!$F$6:$G$35,2,0),0)</f>
        <v>207.67</v>
      </c>
      <c r="K11" s="856" t="s">
        <v>2156</v>
      </c>
      <c r="L11" s="857">
        <f t="shared" si="1"/>
        <v>32026.23347</v>
      </c>
      <c r="M11" s="858">
        <f t="shared" si="2"/>
        <v>19089.96907</v>
      </c>
      <c r="N11" s="859">
        <f t="shared" si="3"/>
        <v>1.475694101</v>
      </c>
      <c r="O11" s="860">
        <f>IF(L11&gt;0,L11/SUM(L8:L48),0)</f>
        <v>0.01138949697</v>
      </c>
      <c r="P11" s="861">
        <v>0.001</v>
      </c>
      <c r="Q11" s="857">
        <f t="shared" si="4"/>
        <v>32.02623347</v>
      </c>
      <c r="R11" s="862">
        <v>1.22</v>
      </c>
      <c r="S11" s="863">
        <v>0.7</v>
      </c>
      <c r="T11" s="864">
        <v>4000.0</v>
      </c>
      <c r="U11" s="865" t="s">
        <v>2259</v>
      </c>
      <c r="V11" s="866" t="s">
        <v>2270</v>
      </c>
      <c r="W11" s="875" t="s">
        <v>2261</v>
      </c>
      <c r="X11" s="868" t="s">
        <v>2262</v>
      </c>
      <c r="Y11" s="869">
        <v>1.0</v>
      </c>
      <c r="Z11" s="870">
        <v>0.0</v>
      </c>
      <c r="AB11" s="876">
        <v>0.7</v>
      </c>
      <c r="AC11" s="872" t="s">
        <v>2271</v>
      </c>
      <c r="AD11" s="872" t="s">
        <v>2259</v>
      </c>
      <c r="AE11" s="872" t="s">
        <v>2272</v>
      </c>
      <c r="AF11" s="872" t="s">
        <v>2273</v>
      </c>
      <c r="AG11" s="877">
        <f>IFERROR((280-I11)/I11,0)</f>
        <v>-0.005610321705</v>
      </c>
    </row>
    <row r="12" ht="15.75" customHeight="1">
      <c r="B12" s="874" t="s">
        <v>1223</v>
      </c>
      <c r="C12" s="782" t="s">
        <v>2160</v>
      </c>
      <c r="D12" s="853" t="s">
        <v>2151</v>
      </c>
      <c r="E12" s="854" t="s">
        <v>1653</v>
      </c>
      <c r="F12" s="853">
        <v>19.2266</v>
      </c>
      <c r="G12" s="855">
        <v>393.5653</v>
      </c>
      <c r="H12" s="856">
        <v>393.5653</v>
      </c>
      <c r="I12" s="856">
        <f>IFERROR(J12*CONFIG!B3,0)</f>
        <v>525.180747</v>
      </c>
      <c r="J12" s="856">
        <f>IFERROR(VLOOKUP(B12,CONFIG!$F$6:$G$35,2,0),0)</f>
        <v>387.33</v>
      </c>
      <c r="K12" s="856" t="s">
        <v>2156</v>
      </c>
      <c r="L12" s="857">
        <f t="shared" si="1"/>
        <v>206692.9182</v>
      </c>
      <c r="M12" s="858">
        <f t="shared" si="2"/>
        <v>51799.27288</v>
      </c>
      <c r="N12" s="859">
        <f t="shared" si="3"/>
        <v>0.3344183214</v>
      </c>
      <c r="O12" s="860">
        <f>IF(L12&gt;0,L12/SUM(L8:L48),0)</f>
        <v>0.07350625132</v>
      </c>
      <c r="P12" s="861">
        <v>0.007</v>
      </c>
      <c r="Q12" s="857">
        <f t="shared" si="4"/>
        <v>1446.850428</v>
      </c>
      <c r="R12" s="862">
        <v>1.55</v>
      </c>
      <c r="S12" s="863">
        <v>0.95</v>
      </c>
      <c r="T12" s="864">
        <v>8000.0</v>
      </c>
      <c r="U12" s="865" t="s">
        <v>1252</v>
      </c>
      <c r="V12" s="866" t="s">
        <v>2274</v>
      </c>
      <c r="W12" s="867" t="s">
        <v>2256</v>
      </c>
      <c r="X12" s="868" t="s">
        <v>2151</v>
      </c>
      <c r="Y12" s="869">
        <v>1.0</v>
      </c>
      <c r="Z12" s="870">
        <v>0.0</v>
      </c>
      <c r="AB12" s="876">
        <v>1.0</v>
      </c>
      <c r="AC12" s="872" t="s">
        <v>2275</v>
      </c>
      <c r="AD12" s="872" t="s">
        <v>1252</v>
      </c>
      <c r="AE12" s="872" t="s">
        <v>2276</v>
      </c>
      <c r="AF12" s="872" t="s">
        <v>593</v>
      </c>
      <c r="AG12" s="873">
        <f>IFERROR((500-I12)/I12,0)</f>
        <v>-0.04794682049</v>
      </c>
    </row>
    <row r="13" ht="15.75" customHeight="1">
      <c r="B13" s="874" t="s">
        <v>2161</v>
      </c>
      <c r="C13" s="782" t="s">
        <v>2162</v>
      </c>
      <c r="D13" s="853" t="s">
        <v>2155</v>
      </c>
      <c r="E13" s="854" t="s">
        <v>1653</v>
      </c>
      <c r="F13" s="853">
        <v>1.0</v>
      </c>
      <c r="G13" s="855">
        <v>637.7698</v>
      </c>
      <c r="H13" s="856">
        <v>637.7698</v>
      </c>
      <c r="I13" s="856">
        <f>IFERROR(J13*CONFIG!B3,0)</f>
        <v>832.129389</v>
      </c>
      <c r="J13" s="856">
        <f>IFERROR(VLOOKUP(B13,CONFIG!$F$6:$G$35,2,0),0)</f>
        <v>613.71</v>
      </c>
      <c r="K13" s="856" t="s">
        <v>2156</v>
      </c>
      <c r="L13" s="857">
        <f t="shared" si="1"/>
        <v>530706.994</v>
      </c>
      <c r="M13" s="858">
        <f t="shared" si="2"/>
        <v>123956.6762</v>
      </c>
      <c r="N13" s="859">
        <f t="shared" si="3"/>
        <v>0.3047488122</v>
      </c>
      <c r="O13" s="860">
        <f>IF(L13&gt;0,L13/SUM(L8:L48),0)</f>
        <v>0.1887354536</v>
      </c>
      <c r="P13" s="861">
        <v>0.0038</v>
      </c>
      <c r="Q13" s="857">
        <f t="shared" si="4"/>
        <v>2016.686577</v>
      </c>
      <c r="R13" s="862">
        <v>1.25</v>
      </c>
      <c r="S13" s="863">
        <v>0.8</v>
      </c>
      <c r="T13" s="864">
        <v>3000.0</v>
      </c>
      <c r="U13" s="865" t="s">
        <v>1252</v>
      </c>
      <c r="V13" s="866" t="s">
        <v>2277</v>
      </c>
      <c r="W13" s="875" t="s">
        <v>2261</v>
      </c>
      <c r="X13" s="868" t="s">
        <v>2262</v>
      </c>
      <c r="Y13" s="869">
        <v>1.0</v>
      </c>
      <c r="Z13" s="870">
        <v>0.0</v>
      </c>
      <c r="AB13" s="876">
        <v>0.8</v>
      </c>
      <c r="AC13" s="872" t="s">
        <v>2278</v>
      </c>
      <c r="AD13" s="872" t="s">
        <v>1252</v>
      </c>
      <c r="AE13" s="872" t="s">
        <v>2279</v>
      </c>
      <c r="AF13" s="872" t="s">
        <v>2280</v>
      </c>
      <c r="AG13" s="877">
        <f>IFERROR((800-I13)/I13,0)</f>
        <v>-0.03861104947</v>
      </c>
    </row>
    <row r="14" ht="15.75" customHeight="1">
      <c r="B14" s="874" t="s">
        <v>2163</v>
      </c>
      <c r="C14" s="782" t="s">
        <v>2164</v>
      </c>
      <c r="D14" s="853" t="s">
        <v>2155</v>
      </c>
      <c r="E14" s="854" t="s">
        <v>1653</v>
      </c>
      <c r="F14" s="853">
        <v>9.0</v>
      </c>
      <c r="G14" s="855">
        <v>49.62</v>
      </c>
      <c r="H14" s="856">
        <v>49.62</v>
      </c>
      <c r="I14" s="856">
        <f>IFERROR(VLOOKUP(B14,CONFIG!$F$6:$G$35,2,0),0)</f>
        <v>74.28</v>
      </c>
      <c r="J14" s="856">
        <f>IFERROR(I14/CONFIG!B3,0)</f>
        <v>54.78280109</v>
      </c>
      <c r="K14" s="856" t="s">
        <v>1061</v>
      </c>
      <c r="L14" s="857">
        <f t="shared" si="1"/>
        <v>3685.7736</v>
      </c>
      <c r="M14" s="858">
        <f t="shared" si="2"/>
        <v>1223.6292</v>
      </c>
      <c r="N14" s="859">
        <f t="shared" si="3"/>
        <v>0.4969770254</v>
      </c>
      <c r="O14" s="860">
        <f>IF(L14&gt;0,L14/SUM(L8:L48),0)</f>
        <v>0.001310772536</v>
      </c>
      <c r="P14" s="861">
        <v>0.0535</v>
      </c>
      <c r="Q14" s="857">
        <f t="shared" si="4"/>
        <v>197.1888876</v>
      </c>
      <c r="R14" s="862">
        <v>0.65</v>
      </c>
      <c r="S14" s="863">
        <v>0.05</v>
      </c>
      <c r="T14" s="864">
        <v>2000.0</v>
      </c>
      <c r="U14" s="865" t="s">
        <v>2259</v>
      </c>
      <c r="V14" s="866" t="s">
        <v>2281</v>
      </c>
      <c r="W14" s="878" t="s">
        <v>2282</v>
      </c>
      <c r="X14" s="868" t="s">
        <v>2283</v>
      </c>
      <c r="Y14" s="869">
        <v>1.0</v>
      </c>
      <c r="Z14" s="870">
        <v>0.0</v>
      </c>
      <c r="AB14" s="879">
        <v>0.2</v>
      </c>
      <c r="AC14" s="872" t="s">
        <v>2284</v>
      </c>
      <c r="AD14" s="872" t="s">
        <v>2259</v>
      </c>
      <c r="AE14" s="872" t="s">
        <v>2285</v>
      </c>
      <c r="AF14" s="872" t="s">
        <v>2286</v>
      </c>
      <c r="AG14" s="873">
        <f>IFERROR((80-I14)/I14,0)</f>
        <v>0.07700592353</v>
      </c>
    </row>
    <row r="15" ht="15.75" customHeight="1">
      <c r="B15" s="874" t="s">
        <v>1219</v>
      </c>
      <c r="C15" s="782" t="s">
        <v>2166</v>
      </c>
      <c r="D15" s="853" t="s">
        <v>2155</v>
      </c>
      <c r="E15" s="854" t="s">
        <v>1653</v>
      </c>
      <c r="F15" s="853">
        <v>2.4431</v>
      </c>
      <c r="G15" s="855">
        <v>831.9907</v>
      </c>
      <c r="H15" s="856">
        <v>831.9907</v>
      </c>
      <c r="I15" s="856">
        <f>IFERROR(J15*CONFIG!B3,0)</f>
        <v>1091.526618</v>
      </c>
      <c r="J15" s="856">
        <f>IFERROR(VLOOKUP(B15,CONFIG!$F$6:$G$35,2,0),0)</f>
        <v>805.02</v>
      </c>
      <c r="K15" s="856" t="s">
        <v>2156</v>
      </c>
      <c r="L15" s="857">
        <f t="shared" si="1"/>
        <v>908139.995</v>
      </c>
      <c r="M15" s="858">
        <f t="shared" si="2"/>
        <v>215931.4701</v>
      </c>
      <c r="N15" s="859">
        <f t="shared" si="3"/>
        <v>0.311945696</v>
      </c>
      <c r="O15" s="860">
        <f>IF(L15&gt;0,L15/SUM(L8:L48),0)</f>
        <v>0.3229620408</v>
      </c>
      <c r="P15" s="861">
        <v>0.002</v>
      </c>
      <c r="Q15" s="857">
        <f t="shared" si="4"/>
        <v>1816.27999</v>
      </c>
      <c r="R15" s="862">
        <v>1.45</v>
      </c>
      <c r="S15" s="863">
        <v>0.6</v>
      </c>
      <c r="T15" s="864">
        <v>3000.0</v>
      </c>
      <c r="U15" s="865" t="s">
        <v>1252</v>
      </c>
      <c r="V15" s="866" t="s">
        <v>2287</v>
      </c>
      <c r="W15" s="880" t="s">
        <v>2288</v>
      </c>
      <c r="X15" s="868" t="s">
        <v>2289</v>
      </c>
      <c r="Y15" s="869">
        <v>1.0</v>
      </c>
      <c r="Z15" s="870">
        <v>0.0</v>
      </c>
      <c r="AB15" s="876">
        <v>0.9</v>
      </c>
      <c r="AC15" s="872" t="s">
        <v>2290</v>
      </c>
      <c r="AD15" s="872" t="s">
        <v>1252</v>
      </c>
      <c r="AE15" s="872" t="s">
        <v>2291</v>
      </c>
      <c r="AF15" s="872" t="s">
        <v>2273</v>
      </c>
      <c r="AG15" s="877">
        <f>IFERROR((1000-I15)/I15,0)</f>
        <v>-0.08385193406</v>
      </c>
    </row>
    <row r="16" ht="15.75" customHeight="1">
      <c r="B16" s="881" t="s">
        <v>2167</v>
      </c>
      <c r="C16" s="794" t="s">
        <v>2168</v>
      </c>
      <c r="D16" s="882" t="s">
        <v>2155</v>
      </c>
      <c r="E16" s="196" t="s">
        <v>1655</v>
      </c>
      <c r="F16" s="882">
        <v>2.0</v>
      </c>
      <c r="G16" s="883">
        <v>312.5938</v>
      </c>
      <c r="H16" s="884">
        <v>312.5938</v>
      </c>
      <c r="I16" s="884">
        <f>IFERROR(J16*CONFIG!B3,0)</f>
        <v>536.326245</v>
      </c>
      <c r="J16" s="884">
        <f>IFERROR(VLOOKUP(B16,CONFIG!$F$6:$G$35,2,0),0)</f>
        <v>395.55</v>
      </c>
      <c r="K16" s="884" t="s">
        <v>2156</v>
      </c>
      <c r="L16" s="885">
        <f t="shared" si="1"/>
        <v>167652.259</v>
      </c>
      <c r="M16" s="886">
        <f t="shared" si="2"/>
        <v>69937.37517</v>
      </c>
      <c r="N16" s="887">
        <f t="shared" si="3"/>
        <v>0.7157289908</v>
      </c>
      <c r="O16" s="888">
        <f>IF(L16&gt;0,L16/SUM(L8:L48),0)</f>
        <v>0.05962221244</v>
      </c>
      <c r="P16" s="889">
        <v>0.0082</v>
      </c>
      <c r="Q16" s="885">
        <f t="shared" si="4"/>
        <v>1374.748524</v>
      </c>
      <c r="R16" s="890">
        <v>0.9</v>
      </c>
      <c r="S16" s="891">
        <v>0.85</v>
      </c>
      <c r="T16" s="892">
        <v>3000.0</v>
      </c>
      <c r="U16" s="893" t="s">
        <v>2259</v>
      </c>
      <c r="V16" s="894" t="s">
        <v>2292</v>
      </c>
      <c r="W16" s="895" t="s">
        <v>2261</v>
      </c>
      <c r="X16" s="896" t="s">
        <v>2262</v>
      </c>
      <c r="Y16" s="869">
        <v>1.0</v>
      </c>
      <c r="Z16" s="870">
        <v>0.0</v>
      </c>
      <c r="AB16" s="876">
        <v>0.8</v>
      </c>
      <c r="AC16" s="872" t="s">
        <v>2293</v>
      </c>
      <c r="AD16" s="872" t="s">
        <v>2259</v>
      </c>
      <c r="AE16" s="872" t="s">
        <v>2276</v>
      </c>
      <c r="AF16" s="872" t="s">
        <v>2265</v>
      </c>
      <c r="AG16" s="873">
        <f>IFERROR((500-I16)/I16,0)</f>
        <v>-0.06773161921</v>
      </c>
    </row>
    <row r="17" ht="15.75" customHeight="1">
      <c r="B17" s="881" t="s">
        <v>2169</v>
      </c>
      <c r="C17" s="794" t="s">
        <v>2170</v>
      </c>
      <c r="D17" s="882" t="s">
        <v>2155</v>
      </c>
      <c r="E17" s="196" t="s">
        <v>1655</v>
      </c>
      <c r="F17" s="882">
        <v>4.0</v>
      </c>
      <c r="G17" s="883">
        <v>128.59</v>
      </c>
      <c r="H17" s="884">
        <v>128.59</v>
      </c>
      <c r="I17" s="884">
        <f>IFERROR(J17*CONFIG!B3,0)</f>
        <v>244.400975</v>
      </c>
      <c r="J17" s="884">
        <f>IFERROR(VLOOKUP(B17,CONFIG!$F$6:$G$35,2,0),0)</f>
        <v>180.25</v>
      </c>
      <c r="K17" s="884" t="s">
        <v>2156</v>
      </c>
      <c r="L17" s="885">
        <f t="shared" si="1"/>
        <v>31427.52138</v>
      </c>
      <c r="M17" s="886">
        <f t="shared" si="2"/>
        <v>14892.13328</v>
      </c>
      <c r="N17" s="887">
        <f t="shared" si="3"/>
        <v>0.9006219379</v>
      </c>
      <c r="O17" s="888">
        <f>IF(L17&gt;0,L17/SUM(L8:L48),0)</f>
        <v>0.01117657685</v>
      </c>
      <c r="P17" s="889">
        <v>3.0E-4</v>
      </c>
      <c r="Q17" s="885">
        <f t="shared" si="4"/>
        <v>9.428256413</v>
      </c>
      <c r="R17" s="890">
        <v>1.7</v>
      </c>
      <c r="S17" s="891">
        <v>0.99</v>
      </c>
      <c r="T17" s="892">
        <v>3000.0</v>
      </c>
      <c r="U17" s="893" t="s">
        <v>2259</v>
      </c>
      <c r="V17" s="894" t="s">
        <v>2294</v>
      </c>
      <c r="W17" s="895" t="s">
        <v>2261</v>
      </c>
      <c r="X17" s="896" t="s">
        <v>2262</v>
      </c>
      <c r="Y17" s="869">
        <v>1.0</v>
      </c>
      <c r="Z17" s="870">
        <v>0.0</v>
      </c>
      <c r="AB17" s="876">
        <v>1.0</v>
      </c>
      <c r="AC17" s="872" t="s">
        <v>2295</v>
      </c>
      <c r="AD17" s="872" t="s">
        <v>2259</v>
      </c>
      <c r="AE17" s="872" t="s">
        <v>2296</v>
      </c>
      <c r="AF17" s="872" t="s">
        <v>2273</v>
      </c>
      <c r="AG17" s="877">
        <f>IFERROR((250-I17)/I17,0)</f>
        <v>0.0229091762</v>
      </c>
    </row>
    <row r="18" ht="15.75" customHeight="1">
      <c r="B18" s="881" t="s">
        <v>2171</v>
      </c>
      <c r="C18" s="794" t="s">
        <v>2172</v>
      </c>
      <c r="D18" s="882" t="s">
        <v>2155</v>
      </c>
      <c r="E18" s="196" t="s">
        <v>1655</v>
      </c>
      <c r="F18" s="882">
        <v>1.8645</v>
      </c>
      <c r="G18" s="883">
        <v>303.5644</v>
      </c>
      <c r="H18" s="884">
        <v>303.5644</v>
      </c>
      <c r="I18" s="884">
        <f>IFERROR(J18*CONFIG!B3,0)</f>
        <v>530.42808</v>
      </c>
      <c r="J18" s="884">
        <f>IFERROR(VLOOKUP(B18,CONFIG!$F$6:$G$35,2,0),0)</f>
        <v>391.2</v>
      </c>
      <c r="K18" s="884" t="s">
        <v>2156</v>
      </c>
      <c r="L18" s="885">
        <f t="shared" si="1"/>
        <v>161019.0818</v>
      </c>
      <c r="M18" s="886">
        <f t="shared" si="2"/>
        <v>68867.7369</v>
      </c>
      <c r="N18" s="887">
        <f t="shared" si="3"/>
        <v>0.7473329547</v>
      </c>
      <c r="O18" s="888">
        <f>IF(L18&gt;0,L18/SUM(L8:L48),0)</f>
        <v>0.0572632541</v>
      </c>
      <c r="P18" s="889">
        <v>0.0</v>
      </c>
      <c r="Q18" s="885">
        <f t="shared" si="4"/>
        <v>0</v>
      </c>
      <c r="R18" s="890">
        <v>2.1</v>
      </c>
      <c r="S18" s="891">
        <v>0.5</v>
      </c>
      <c r="T18" s="892">
        <v>2000.0</v>
      </c>
      <c r="U18" s="893" t="s">
        <v>1252</v>
      </c>
      <c r="V18" s="894" t="s">
        <v>2297</v>
      </c>
      <c r="W18" s="897" t="s">
        <v>2298</v>
      </c>
      <c r="X18" s="896" t="s">
        <v>2299</v>
      </c>
      <c r="Y18" s="898">
        <v>0.0</v>
      </c>
      <c r="Z18" s="870">
        <v>0.0</v>
      </c>
      <c r="AB18" s="871">
        <v>0.4</v>
      </c>
      <c r="AC18" s="872" t="s">
        <v>2300</v>
      </c>
      <c r="AD18" s="872" t="s">
        <v>1252</v>
      </c>
      <c r="AE18" s="872" t="s">
        <v>2264</v>
      </c>
      <c r="AF18" s="872" t="s">
        <v>2265</v>
      </c>
      <c r="AG18" s="873">
        <f>IFERROR((400-I18)/I18,0)</f>
        <v>-0.2458921104</v>
      </c>
    </row>
    <row r="19" ht="15.75" customHeight="1">
      <c r="B19" s="881" t="s">
        <v>2173</v>
      </c>
      <c r="C19" s="794" t="s">
        <v>2301</v>
      </c>
      <c r="D19" s="882" t="s">
        <v>2151</v>
      </c>
      <c r="E19" s="196" t="s">
        <v>1655</v>
      </c>
      <c r="F19" s="882">
        <v>4.4515</v>
      </c>
      <c r="G19" s="883">
        <v>247.1068</v>
      </c>
      <c r="H19" s="884">
        <v>247.1068</v>
      </c>
      <c r="I19" s="884">
        <f>IFERROR(J19*CONFIG!B3,0)</f>
        <v>331.449755</v>
      </c>
      <c r="J19" s="884">
        <f>IFERROR(VLOOKUP(B19,CONFIG!$F$6:$G$35,2,0),0)</f>
        <v>244.45</v>
      </c>
      <c r="K19" s="884" t="s">
        <v>2156</v>
      </c>
      <c r="L19" s="885">
        <f t="shared" si="1"/>
        <v>81903.48832</v>
      </c>
      <c r="M19" s="886">
        <f t="shared" si="2"/>
        <v>20841.71771</v>
      </c>
      <c r="N19" s="887">
        <f t="shared" si="3"/>
        <v>0.3413218697</v>
      </c>
      <c r="O19" s="888">
        <f>IF(L19&gt;0,L19/SUM(L8:L48),0)</f>
        <v>0.02912735689</v>
      </c>
      <c r="P19" s="889">
        <v>0.0065</v>
      </c>
      <c r="Q19" s="885">
        <f t="shared" si="4"/>
        <v>532.3726741</v>
      </c>
      <c r="R19" s="890">
        <v>1.15</v>
      </c>
      <c r="S19" s="891">
        <v>0.6</v>
      </c>
      <c r="T19" s="892">
        <v>3000.0</v>
      </c>
      <c r="U19" s="893" t="s">
        <v>1252</v>
      </c>
      <c r="V19" s="894" t="s">
        <v>2302</v>
      </c>
      <c r="W19" s="869" t="s">
        <v>2256</v>
      </c>
      <c r="X19" s="896" t="s">
        <v>2151</v>
      </c>
      <c r="Y19" s="869">
        <v>1.0</v>
      </c>
      <c r="Z19" s="870">
        <v>0.0</v>
      </c>
      <c r="AB19" s="871">
        <v>0.6</v>
      </c>
      <c r="AC19" s="872" t="s">
        <v>2303</v>
      </c>
      <c r="AD19" s="872" t="s">
        <v>1252</v>
      </c>
      <c r="AE19" s="872" t="s">
        <v>2272</v>
      </c>
      <c r="AF19" s="872" t="s">
        <v>593</v>
      </c>
      <c r="AG19" s="877">
        <f>IFERROR((280-I19)/I19,0)</f>
        <v>-0.1552264083</v>
      </c>
    </row>
    <row r="20" ht="15.75" customHeight="1">
      <c r="B20" s="881" t="s">
        <v>1456</v>
      </c>
      <c r="C20" s="794" t="s">
        <v>2176</v>
      </c>
      <c r="D20" s="882" t="s">
        <v>2151</v>
      </c>
      <c r="E20" s="196" t="s">
        <v>1655</v>
      </c>
      <c r="F20" s="882">
        <v>25.0</v>
      </c>
      <c r="G20" s="883">
        <v>39.97</v>
      </c>
      <c r="H20" s="884">
        <v>39.97</v>
      </c>
      <c r="I20" s="884">
        <f>IFERROR(VLOOKUP(B20,CONFIG!$F$6:$G$35,2,0),0)</f>
        <v>39.85</v>
      </c>
      <c r="J20" s="884">
        <f>IFERROR(I20/CONFIG!B3,0)</f>
        <v>29.39007301</v>
      </c>
      <c r="K20" s="884" t="s">
        <v>1061</v>
      </c>
      <c r="L20" s="885">
        <f t="shared" si="1"/>
        <v>1592.8045</v>
      </c>
      <c r="M20" s="886">
        <f t="shared" si="2"/>
        <v>-4.7964</v>
      </c>
      <c r="N20" s="887">
        <f t="shared" si="3"/>
        <v>-0.003002251689</v>
      </c>
      <c r="O20" s="888">
        <f>IF(L20&gt;0,L20/SUM(L8:L48),0)</f>
        <v>0.0005664494404</v>
      </c>
      <c r="P20" s="889">
        <v>0.021</v>
      </c>
      <c r="Q20" s="885">
        <f t="shared" si="4"/>
        <v>33.4488945</v>
      </c>
      <c r="R20" s="890">
        <v>0.95</v>
      </c>
      <c r="S20" s="891">
        <v>0.2</v>
      </c>
      <c r="T20" s="892">
        <v>2000.0</v>
      </c>
      <c r="U20" s="893" t="s">
        <v>1252</v>
      </c>
      <c r="V20" s="894" t="s">
        <v>2304</v>
      </c>
      <c r="W20" s="869" t="s">
        <v>2256</v>
      </c>
      <c r="X20" s="896" t="s">
        <v>2151</v>
      </c>
      <c r="Y20" s="869">
        <v>1.0</v>
      </c>
      <c r="Z20" s="870">
        <v>0.0</v>
      </c>
      <c r="AB20" s="871">
        <v>0.3</v>
      </c>
      <c r="AC20" s="872" t="s">
        <v>2284</v>
      </c>
      <c r="AD20" s="872" t="s">
        <v>1252</v>
      </c>
      <c r="AE20" s="872" t="s">
        <v>2305</v>
      </c>
      <c r="AF20" s="872" t="s">
        <v>593</v>
      </c>
      <c r="AG20" s="873">
        <f>IFERROR((45-I20)/I20,0)</f>
        <v>0.1292346299</v>
      </c>
    </row>
    <row r="21" ht="15.75" customHeight="1">
      <c r="B21" s="881" t="s">
        <v>2178</v>
      </c>
      <c r="C21" s="794" t="s">
        <v>2179</v>
      </c>
      <c r="D21" s="882" t="s">
        <v>2155</v>
      </c>
      <c r="E21" s="196" t="s">
        <v>1655</v>
      </c>
      <c r="F21" s="882">
        <v>0.9996</v>
      </c>
      <c r="G21" s="883">
        <v>443.2458</v>
      </c>
      <c r="H21" s="884">
        <v>443.2458</v>
      </c>
      <c r="I21" s="884">
        <f>IFERROR(J21*CONFIG!B3,0)</f>
        <v>572.854191</v>
      </c>
      <c r="J21" s="884">
        <f>IFERROR(VLOOKUP(B21,CONFIG!$F$6:$G$35,2,0),0)</f>
        <v>422.49</v>
      </c>
      <c r="K21" s="884" t="s">
        <v>2156</v>
      </c>
      <c r="L21" s="885">
        <f t="shared" si="1"/>
        <v>253915.2142</v>
      </c>
      <c r="M21" s="886">
        <f t="shared" si="2"/>
        <v>57448.37496</v>
      </c>
      <c r="N21" s="887">
        <f t="shared" si="3"/>
        <v>0.2924074881</v>
      </c>
      <c r="O21" s="888">
        <f>IF(L21&gt;0,L21/SUM(L8:L48),0)</f>
        <v>0.09029992757</v>
      </c>
      <c r="P21" s="889">
        <v>0.0088</v>
      </c>
      <c r="Q21" s="885">
        <f t="shared" si="4"/>
        <v>2234.453885</v>
      </c>
      <c r="R21" s="890">
        <v>1.05</v>
      </c>
      <c r="S21" s="891">
        <v>0.15</v>
      </c>
      <c r="T21" s="892">
        <v>2000.0</v>
      </c>
      <c r="U21" s="893" t="s">
        <v>1252</v>
      </c>
      <c r="V21" s="894" t="s">
        <v>2306</v>
      </c>
      <c r="W21" s="895" t="s">
        <v>2261</v>
      </c>
      <c r="X21" s="896" t="s">
        <v>2262</v>
      </c>
      <c r="Y21" s="869">
        <v>1.0</v>
      </c>
      <c r="Z21" s="870">
        <v>0.0</v>
      </c>
      <c r="AB21" s="871">
        <v>0.3</v>
      </c>
      <c r="AC21" s="872" t="s">
        <v>2271</v>
      </c>
      <c r="AD21" s="872" t="s">
        <v>1252</v>
      </c>
      <c r="AE21" s="872" t="s">
        <v>2307</v>
      </c>
      <c r="AF21" s="872" t="s">
        <v>2273</v>
      </c>
      <c r="AG21" s="877">
        <f>IFERROR((550-I21)/I21,0)</f>
        <v>-0.03989530208</v>
      </c>
    </row>
    <row r="22" ht="15.75" customHeight="1">
      <c r="B22" s="899" t="s">
        <v>1977</v>
      </c>
      <c r="C22" s="806" t="s">
        <v>2180</v>
      </c>
      <c r="D22" s="900" t="s">
        <v>2155</v>
      </c>
      <c r="E22" s="901" t="s">
        <v>1408</v>
      </c>
      <c r="F22" s="900">
        <v>87.0</v>
      </c>
      <c r="G22" s="902">
        <v>79.8348</v>
      </c>
      <c r="H22" s="903">
        <v>79.8348</v>
      </c>
      <c r="I22" s="903">
        <f>IFERROR(VLOOKUP(B22,CONFIG!$F$6:$G$35,2,0),0)</f>
        <v>128.05</v>
      </c>
      <c r="J22" s="903">
        <f>IFERROR(I22/CONFIG!B3,0)</f>
        <v>94.43911793</v>
      </c>
      <c r="K22" s="903" t="s">
        <v>1061</v>
      </c>
      <c r="L22" s="904">
        <f t="shared" si="1"/>
        <v>10222.84614</v>
      </c>
      <c r="M22" s="905">
        <f t="shared" si="2"/>
        <v>3849.250849</v>
      </c>
      <c r="N22" s="906">
        <f t="shared" si="3"/>
        <v>0.6039371302</v>
      </c>
      <c r="O22" s="907">
        <f>IF(L22&gt;0,L22/SUM(L8:L48),0)</f>
        <v>0.003635553187</v>
      </c>
      <c r="P22" s="908">
        <v>0.048</v>
      </c>
      <c r="Q22" s="904">
        <f t="shared" si="4"/>
        <v>490.6966147</v>
      </c>
      <c r="R22" s="909">
        <v>0.85</v>
      </c>
      <c r="S22" s="910">
        <v>0.05</v>
      </c>
      <c r="T22" s="911">
        <v>0.0</v>
      </c>
      <c r="U22" s="912" t="s">
        <v>2259</v>
      </c>
      <c r="V22" s="913" t="s">
        <v>2308</v>
      </c>
      <c r="W22" s="914" t="s">
        <v>2309</v>
      </c>
      <c r="X22" s="915" t="s">
        <v>2310</v>
      </c>
      <c r="Y22" s="898">
        <v>0.0</v>
      </c>
      <c r="Z22" s="916">
        <v>1.0</v>
      </c>
      <c r="AB22" s="879">
        <v>0.05</v>
      </c>
      <c r="AC22" s="872" t="s">
        <v>2311</v>
      </c>
      <c r="AD22" s="872" t="s">
        <v>2259</v>
      </c>
      <c r="AE22" s="872" t="s">
        <v>2312</v>
      </c>
      <c r="AF22" s="872" t="s">
        <v>2273</v>
      </c>
      <c r="AG22" s="873">
        <f>IFERROR((85-I22)/I22,0)</f>
        <v>-0.3361967981</v>
      </c>
    </row>
    <row r="23" ht="15.75" customHeight="1">
      <c r="B23" s="899" t="s">
        <v>1278</v>
      </c>
      <c r="C23" s="806" t="s">
        <v>2182</v>
      </c>
      <c r="D23" s="900" t="s">
        <v>2151</v>
      </c>
      <c r="E23" s="901" t="s">
        <v>1408</v>
      </c>
      <c r="F23" s="900">
        <v>37.0</v>
      </c>
      <c r="G23" s="902">
        <v>58.1416</v>
      </c>
      <c r="H23" s="903">
        <v>58.1416</v>
      </c>
      <c r="I23" s="903">
        <f>IFERROR(VLOOKUP(B23,CONFIG!$F$6:$G$35,2,0),0)</f>
        <v>59.04</v>
      </c>
      <c r="J23" s="903">
        <f>IFERROR(I23/CONFIG!B3,0)</f>
        <v>43.54303415</v>
      </c>
      <c r="K23" s="903" t="s">
        <v>1061</v>
      </c>
      <c r="L23" s="904">
        <f t="shared" si="1"/>
        <v>3432.680064</v>
      </c>
      <c r="M23" s="905">
        <f t="shared" si="2"/>
        <v>52.23441344</v>
      </c>
      <c r="N23" s="906">
        <f t="shared" si="3"/>
        <v>0.01545193115</v>
      </c>
      <c r="O23" s="907">
        <f>IF(L23&gt;0,L23/SUM(L8:L48),0)</f>
        <v>0.001220764822</v>
      </c>
      <c r="P23" s="908">
        <v>0.025</v>
      </c>
      <c r="Q23" s="904">
        <f t="shared" si="4"/>
        <v>85.8170016</v>
      </c>
      <c r="R23" s="909">
        <v>0.6</v>
      </c>
      <c r="S23" s="910">
        <v>0.05</v>
      </c>
      <c r="T23" s="911">
        <v>2500.0</v>
      </c>
      <c r="U23" s="912" t="s">
        <v>2259</v>
      </c>
      <c r="V23" s="913" t="s">
        <v>2313</v>
      </c>
      <c r="W23" s="914" t="s">
        <v>2309</v>
      </c>
      <c r="X23" s="915" t="s">
        <v>2310</v>
      </c>
      <c r="Y23" s="898">
        <v>0.0</v>
      </c>
      <c r="Z23" s="916">
        <v>1.0</v>
      </c>
      <c r="AB23" s="879">
        <v>0.05</v>
      </c>
      <c r="AC23" s="872" t="s">
        <v>2314</v>
      </c>
      <c r="AD23" s="872" t="s">
        <v>2259</v>
      </c>
      <c r="AE23" s="872" t="s">
        <v>2315</v>
      </c>
      <c r="AF23" s="872" t="s">
        <v>593</v>
      </c>
      <c r="AG23" s="877">
        <f>IFERROR((62-I23)/I23,0)</f>
        <v>0.05013550136</v>
      </c>
    </row>
    <row r="24" ht="15.75" customHeight="1">
      <c r="B24" s="899" t="s">
        <v>1284</v>
      </c>
      <c r="C24" s="806" t="s">
        <v>2184</v>
      </c>
      <c r="D24" s="900" t="s">
        <v>2155</v>
      </c>
      <c r="E24" s="901" t="s">
        <v>1408</v>
      </c>
      <c r="F24" s="900">
        <v>22.0</v>
      </c>
      <c r="G24" s="902">
        <v>52.8663</v>
      </c>
      <c r="H24" s="903">
        <v>52.8663</v>
      </c>
      <c r="I24" s="903">
        <f>IFERROR(VLOOKUP(B24,CONFIG!$F$6:$G$35,2,0),0)</f>
        <v>60.09</v>
      </c>
      <c r="J24" s="903">
        <f>IFERROR(I24/CONFIG!B3,0)</f>
        <v>44.31742754</v>
      </c>
      <c r="K24" s="903" t="s">
        <v>1061</v>
      </c>
      <c r="L24" s="904">
        <f t="shared" si="1"/>
        <v>3176.735967</v>
      </c>
      <c r="M24" s="905">
        <f t="shared" si="2"/>
        <v>381.8902913</v>
      </c>
      <c r="N24" s="906">
        <f t="shared" si="3"/>
        <v>0.1366409225</v>
      </c>
      <c r="O24" s="907">
        <f>IF(L24&gt;0,L24/SUM(L8:L48),0)</f>
        <v>0.001129743362</v>
      </c>
      <c r="P24" s="908">
        <v>0.032</v>
      </c>
      <c r="Q24" s="904">
        <f t="shared" si="4"/>
        <v>101.6555509</v>
      </c>
      <c r="R24" s="909">
        <v>0.35</v>
      </c>
      <c r="S24" s="910">
        <v>0.0</v>
      </c>
      <c r="T24" s="911">
        <v>2000.0</v>
      </c>
      <c r="U24" s="912" t="s">
        <v>2259</v>
      </c>
      <c r="V24" s="913" t="s">
        <v>2316</v>
      </c>
      <c r="W24" s="914" t="s">
        <v>2309</v>
      </c>
      <c r="X24" s="915" t="s">
        <v>2310</v>
      </c>
      <c r="Y24" s="898">
        <v>0.0</v>
      </c>
      <c r="Z24" s="916">
        <v>1.0</v>
      </c>
      <c r="AB24" s="879">
        <v>0.05</v>
      </c>
      <c r="AC24" s="872" t="s">
        <v>2317</v>
      </c>
      <c r="AD24" s="872" t="s">
        <v>2259</v>
      </c>
      <c r="AE24" s="872" t="s">
        <v>2318</v>
      </c>
      <c r="AF24" s="872" t="s">
        <v>2273</v>
      </c>
      <c r="AG24" s="873">
        <f>IFERROR((65-I24)/I24,0)</f>
        <v>0.08171076718</v>
      </c>
    </row>
    <row r="25" ht="15.75" customHeight="1">
      <c r="B25" s="899" t="s">
        <v>1986</v>
      </c>
      <c r="C25" s="806" t="s">
        <v>2185</v>
      </c>
      <c r="D25" s="900" t="s">
        <v>2155</v>
      </c>
      <c r="E25" s="901" t="s">
        <v>1408</v>
      </c>
      <c r="F25" s="900">
        <v>32.0</v>
      </c>
      <c r="G25" s="902">
        <v>22.04</v>
      </c>
      <c r="H25" s="903">
        <v>22.04</v>
      </c>
      <c r="I25" s="903">
        <f>IFERROR(VLOOKUP(B25,CONFIG!$F$6:$G$35,2,0),0)</f>
        <v>18.01</v>
      </c>
      <c r="J25" s="903">
        <f>IFERROR(I25/CONFIG!B3,0)</f>
        <v>13.28269046</v>
      </c>
      <c r="K25" s="903" t="s">
        <v>1061</v>
      </c>
      <c r="L25" s="904">
        <f t="shared" si="1"/>
        <v>396.9404</v>
      </c>
      <c r="M25" s="905">
        <f t="shared" si="2"/>
        <v>-88.8212</v>
      </c>
      <c r="N25" s="906">
        <f t="shared" si="3"/>
        <v>-0.1828493648</v>
      </c>
      <c r="O25" s="907">
        <f>IF(L25&gt;0,L25/SUM(L8:L48),0)</f>
        <v>0.0001411640082</v>
      </c>
      <c r="P25" s="908">
        <v>0.078</v>
      </c>
      <c r="Q25" s="904">
        <f t="shared" si="4"/>
        <v>30.9613512</v>
      </c>
      <c r="R25" s="909">
        <v>0.55</v>
      </c>
      <c r="S25" s="910">
        <v>0.0</v>
      </c>
      <c r="T25" s="911">
        <v>0.0</v>
      </c>
      <c r="U25" s="912" t="s">
        <v>2259</v>
      </c>
      <c r="V25" s="913" t="s">
        <v>2319</v>
      </c>
      <c r="W25" s="914" t="s">
        <v>2309</v>
      </c>
      <c r="X25" s="915" t="s">
        <v>2310</v>
      </c>
      <c r="Y25" s="898">
        <v>0.0</v>
      </c>
      <c r="Z25" s="916">
        <v>1.0</v>
      </c>
      <c r="AB25" s="879">
        <v>0.02</v>
      </c>
      <c r="AC25" s="872" t="s">
        <v>2320</v>
      </c>
      <c r="AD25" s="872" t="s">
        <v>2259</v>
      </c>
      <c r="AE25" s="872" t="s">
        <v>593</v>
      </c>
      <c r="AF25" s="872" t="s">
        <v>2286</v>
      </c>
    </row>
    <row r="26" ht="15.75" customHeight="1">
      <c r="B26" s="899" t="s">
        <v>2187</v>
      </c>
      <c r="C26" s="806" t="s">
        <v>2188</v>
      </c>
      <c r="D26" s="900" t="s">
        <v>2151</v>
      </c>
      <c r="E26" s="901" t="s">
        <v>1408</v>
      </c>
      <c r="F26" s="900">
        <v>5.0</v>
      </c>
      <c r="G26" s="902">
        <v>120.81</v>
      </c>
      <c r="H26" s="903">
        <v>120.81</v>
      </c>
      <c r="I26" s="903">
        <f>IFERROR(J26*CONFIG!B3,0)</f>
        <v>148.294783</v>
      </c>
      <c r="J26" s="903">
        <f>IFERROR(VLOOKUP(B26,CONFIG!$F$6:$G$35,2,0),0)</f>
        <v>109.37</v>
      </c>
      <c r="K26" s="903" t="s">
        <v>2156</v>
      </c>
      <c r="L26" s="904">
        <f t="shared" si="1"/>
        <v>17915.49273</v>
      </c>
      <c r="M26" s="905">
        <f t="shared" si="2"/>
        <v>3320.436634</v>
      </c>
      <c r="N26" s="906">
        <f t="shared" si="3"/>
        <v>0.2275042049</v>
      </c>
      <c r="O26" s="907">
        <f>IF(L26&gt;0,L26/SUM(L8:L48),0)</f>
        <v>0.006371290911</v>
      </c>
      <c r="P26" s="908">
        <v>0.005</v>
      </c>
      <c r="Q26" s="904">
        <f t="shared" si="4"/>
        <v>89.57746367</v>
      </c>
      <c r="R26" s="909">
        <v>1.4</v>
      </c>
      <c r="S26" s="910">
        <v>0.7</v>
      </c>
      <c r="T26" s="911">
        <v>1000.0</v>
      </c>
      <c r="U26" s="912" t="s">
        <v>2259</v>
      </c>
      <c r="V26" s="913" t="s">
        <v>2321</v>
      </c>
      <c r="W26" s="917" t="s">
        <v>2298</v>
      </c>
      <c r="X26" s="915" t="s">
        <v>2299</v>
      </c>
      <c r="Y26" s="898">
        <v>0.0</v>
      </c>
      <c r="Z26" s="870">
        <v>0.0</v>
      </c>
      <c r="AB26" s="876">
        <v>0.8</v>
      </c>
      <c r="AC26" s="872" t="s">
        <v>593</v>
      </c>
      <c r="AD26" s="872" t="s">
        <v>2259</v>
      </c>
      <c r="AE26" s="872" t="s">
        <v>2322</v>
      </c>
      <c r="AF26" s="872" t="s">
        <v>593</v>
      </c>
      <c r="AG26" s="873">
        <f>IFERROR((130-I26)/I26,0)</f>
        <v>-0.1233676777</v>
      </c>
    </row>
    <row r="27" ht="15.75" customHeight="1">
      <c r="B27" s="899" t="s">
        <v>2190</v>
      </c>
      <c r="C27" s="806" t="s">
        <v>2191</v>
      </c>
      <c r="D27" s="900" t="s">
        <v>2151</v>
      </c>
      <c r="E27" s="901" t="s">
        <v>1408</v>
      </c>
      <c r="F27" s="900">
        <v>6.0</v>
      </c>
      <c r="G27" s="902">
        <v>55.25</v>
      </c>
      <c r="H27" s="903">
        <v>55.25</v>
      </c>
      <c r="I27" s="903">
        <f>IFERROR(VLOOKUP(B27,CONFIG!$F$6:$G$35,2,0),0)</f>
        <v>57.54</v>
      </c>
      <c r="J27" s="903">
        <f>IFERROR(I27/CONFIG!B3,0)</f>
        <v>42.43675787</v>
      </c>
      <c r="K27" s="903" t="s">
        <v>1061</v>
      </c>
      <c r="L27" s="904">
        <f t="shared" si="1"/>
        <v>3179.085</v>
      </c>
      <c r="M27" s="905">
        <f t="shared" si="2"/>
        <v>126.5225</v>
      </c>
      <c r="N27" s="906">
        <f t="shared" si="3"/>
        <v>0.0414479638</v>
      </c>
      <c r="O27" s="907">
        <f>IF(L27&gt;0,L27/SUM(L8:L48),0)</f>
        <v>0.001130578749</v>
      </c>
      <c r="P27" s="908">
        <v>0.012</v>
      </c>
      <c r="Q27" s="904">
        <f t="shared" si="4"/>
        <v>38.14902</v>
      </c>
      <c r="R27" s="909">
        <v>1.1</v>
      </c>
      <c r="S27" s="910">
        <v>0.0</v>
      </c>
      <c r="T27" s="911">
        <v>1500.0</v>
      </c>
      <c r="U27" s="912" t="s">
        <v>2259</v>
      </c>
      <c r="V27" s="913" t="s">
        <v>2323</v>
      </c>
      <c r="W27" s="918" t="s">
        <v>2324</v>
      </c>
      <c r="X27" s="915" t="s">
        <v>2299</v>
      </c>
      <c r="Y27" s="898">
        <v>0.0</v>
      </c>
      <c r="Z27" s="870">
        <v>0.0</v>
      </c>
      <c r="AB27" s="871">
        <v>0.4</v>
      </c>
      <c r="AC27" s="872" t="s">
        <v>593</v>
      </c>
      <c r="AD27" s="872" t="s">
        <v>2259</v>
      </c>
      <c r="AE27" s="872" t="s">
        <v>2325</v>
      </c>
      <c r="AF27" s="872" t="s">
        <v>593</v>
      </c>
      <c r="AG27" s="877">
        <f>IFERROR((70-I27)/I27,0)</f>
        <v>0.2165450122</v>
      </c>
    </row>
    <row r="28" ht="15.75" customHeight="1">
      <c r="B28" s="919" t="s">
        <v>1233</v>
      </c>
      <c r="C28" s="818" t="s">
        <v>2192</v>
      </c>
      <c r="D28" s="920" t="s">
        <v>2193</v>
      </c>
      <c r="E28" s="921" t="s">
        <v>1413</v>
      </c>
      <c r="F28" s="920">
        <v>0.0</v>
      </c>
      <c r="G28" s="922">
        <v>0.0</v>
      </c>
      <c r="H28" s="923">
        <v>0.0</v>
      </c>
      <c r="I28" s="923">
        <f>IFERROR(VLOOKUP(B28,CONFIG!$F$6:$G$35,2,0),0)</f>
        <v>19.02</v>
      </c>
      <c r="J28" s="923">
        <f>IFERROR(I28/CONFIG!B3,0)</f>
        <v>14.02758316</v>
      </c>
      <c r="K28" s="923" t="s">
        <v>1061</v>
      </c>
      <c r="L28" s="924">
        <f t="shared" si="1"/>
        <v>0</v>
      </c>
      <c r="M28" s="925">
        <f t="shared" si="2"/>
        <v>0</v>
      </c>
      <c r="N28" s="926">
        <f t="shared" si="3"/>
        <v>0</v>
      </c>
      <c r="O28" s="927">
        <f>IF(L28&gt;0,L28/SUM(L8:L48),0)</f>
        <v>0</v>
      </c>
      <c r="P28" s="928">
        <v>0.0587</v>
      </c>
      <c r="Q28" s="924">
        <f t="shared" si="4"/>
        <v>0</v>
      </c>
      <c r="R28" s="929">
        <v>0.85</v>
      </c>
      <c r="S28" s="930">
        <v>0.0</v>
      </c>
      <c r="T28" s="931">
        <v>7000.0</v>
      </c>
      <c r="U28" s="932" t="s">
        <v>2259</v>
      </c>
      <c r="V28" s="933" t="s">
        <v>2326</v>
      </c>
      <c r="W28" s="934" t="s">
        <v>2327</v>
      </c>
      <c r="X28" s="935" t="s">
        <v>2193</v>
      </c>
      <c r="Y28" s="898">
        <v>0.0</v>
      </c>
      <c r="Z28" s="916">
        <v>1.0</v>
      </c>
      <c r="AB28" s="879">
        <v>0.0</v>
      </c>
      <c r="AC28" s="872" t="s">
        <v>593</v>
      </c>
      <c r="AD28" s="872" t="s">
        <v>2259</v>
      </c>
      <c r="AE28" s="872" t="s">
        <v>2328</v>
      </c>
      <c r="AF28" s="872" t="s">
        <v>593</v>
      </c>
      <c r="AG28" s="873">
        <f>IFERROR((22-I28)/I28,0)</f>
        <v>0.1566771819</v>
      </c>
    </row>
    <row r="29" ht="15.75" customHeight="1">
      <c r="B29" s="919" t="s">
        <v>1240</v>
      </c>
      <c r="C29" s="818" t="s">
        <v>2195</v>
      </c>
      <c r="D29" s="920" t="s">
        <v>2193</v>
      </c>
      <c r="E29" s="921" t="s">
        <v>1413</v>
      </c>
      <c r="F29" s="920">
        <v>0.0</v>
      </c>
      <c r="G29" s="922">
        <v>0.0</v>
      </c>
      <c r="H29" s="923">
        <v>0.0</v>
      </c>
      <c r="I29" s="923">
        <f>IFERROR(VLOOKUP(B29,CONFIG!$F$6:$G$35,2,0),0)</f>
        <v>4.26</v>
      </c>
      <c r="J29" s="923">
        <f>IFERROR(I29/CONFIG!B3,0)</f>
        <v>3.141824618</v>
      </c>
      <c r="K29" s="923" t="s">
        <v>1061</v>
      </c>
      <c r="L29" s="924">
        <f t="shared" si="1"/>
        <v>0</v>
      </c>
      <c r="M29" s="925">
        <f t="shared" si="2"/>
        <v>0</v>
      </c>
      <c r="N29" s="926">
        <f t="shared" si="3"/>
        <v>0</v>
      </c>
      <c r="O29" s="927">
        <f>IF(L29&gt;0,L29/SUM(L8:L48),0)</f>
        <v>0</v>
      </c>
      <c r="P29" s="928">
        <v>0.0667</v>
      </c>
      <c r="Q29" s="924">
        <f t="shared" si="4"/>
        <v>0</v>
      </c>
      <c r="R29" s="929">
        <v>0.7</v>
      </c>
      <c r="S29" s="930">
        <v>0.0</v>
      </c>
      <c r="T29" s="931">
        <v>0.0</v>
      </c>
      <c r="U29" s="932" t="s">
        <v>2259</v>
      </c>
      <c r="V29" s="933" t="s">
        <v>2329</v>
      </c>
      <c r="W29" s="934" t="s">
        <v>2327</v>
      </c>
      <c r="X29" s="935" t="s">
        <v>2193</v>
      </c>
      <c r="Y29" s="898">
        <v>0.0</v>
      </c>
      <c r="Z29" s="916">
        <v>1.0</v>
      </c>
      <c r="AB29" s="879">
        <v>0.0</v>
      </c>
      <c r="AC29" s="872" t="s">
        <v>593</v>
      </c>
      <c r="AD29" s="872" t="s">
        <v>2259</v>
      </c>
      <c r="AE29" s="872" t="s">
        <v>2330</v>
      </c>
      <c r="AF29" s="872" t="s">
        <v>593</v>
      </c>
      <c r="AG29" s="877">
        <f>IFERROR((5-I29)/I29,0)</f>
        <v>0.1737089202</v>
      </c>
    </row>
    <row r="30" ht="15.75" customHeight="1">
      <c r="B30" s="919" t="s">
        <v>2196</v>
      </c>
      <c r="C30" s="818" t="s">
        <v>2197</v>
      </c>
      <c r="D30" s="920" t="s">
        <v>2151</v>
      </c>
      <c r="E30" s="921" t="s">
        <v>1413</v>
      </c>
      <c r="F30" s="920">
        <v>51.0</v>
      </c>
      <c r="G30" s="922">
        <v>30.6811</v>
      </c>
      <c r="H30" s="923">
        <v>30.6811</v>
      </c>
      <c r="I30" s="923">
        <f>IFERROR(VLOOKUP(B30,CONFIG!$F$6:$G$35,2,0),0)</f>
        <v>35.89</v>
      </c>
      <c r="J30" s="923">
        <f>IFERROR(I30/CONFIG!B3,0)</f>
        <v>26.46950365</v>
      </c>
      <c r="K30" s="923" t="s">
        <v>1061</v>
      </c>
      <c r="L30" s="924">
        <f t="shared" si="1"/>
        <v>1101.144679</v>
      </c>
      <c r="M30" s="925">
        <f t="shared" si="2"/>
        <v>159.8147818</v>
      </c>
      <c r="N30" s="926">
        <f t="shared" si="3"/>
        <v>0.1697755296</v>
      </c>
      <c r="O30" s="927">
        <f>IF(L30&gt;0,L30/SUM(L8:L48),0)</f>
        <v>0.0003916003422</v>
      </c>
      <c r="P30" s="928">
        <v>0.049</v>
      </c>
      <c r="Q30" s="924">
        <f t="shared" si="4"/>
        <v>53.95608927</v>
      </c>
      <c r="R30" s="929">
        <v>0.8</v>
      </c>
      <c r="S30" s="930">
        <v>0.0</v>
      </c>
      <c r="T30" s="931">
        <v>0.0</v>
      </c>
      <c r="U30" s="932" t="s">
        <v>1252</v>
      </c>
      <c r="V30" s="933" t="s">
        <v>2331</v>
      </c>
      <c r="W30" s="934" t="s">
        <v>2327</v>
      </c>
      <c r="X30" s="935" t="s">
        <v>2193</v>
      </c>
      <c r="Y30" s="898">
        <v>0.0</v>
      </c>
      <c r="Z30" s="916">
        <v>1.0</v>
      </c>
      <c r="AB30" s="879">
        <v>0.05</v>
      </c>
      <c r="AC30" s="872" t="s">
        <v>593</v>
      </c>
      <c r="AD30" s="872" t="s">
        <v>1252</v>
      </c>
      <c r="AE30" s="872" t="s">
        <v>2332</v>
      </c>
      <c r="AF30" s="872" t="s">
        <v>593</v>
      </c>
      <c r="AG30" s="873">
        <f>IFERROR((38-I30)/I30,0)</f>
        <v>0.05879074951</v>
      </c>
    </row>
    <row r="31" ht="15.75" customHeight="1">
      <c r="B31" s="919" t="s">
        <v>2198</v>
      </c>
      <c r="C31" s="818" t="s">
        <v>2199</v>
      </c>
      <c r="D31" s="920" t="s">
        <v>2193</v>
      </c>
      <c r="E31" s="921" t="s">
        <v>1413</v>
      </c>
      <c r="F31" s="920">
        <v>57.0</v>
      </c>
      <c r="G31" s="922">
        <v>25.2543</v>
      </c>
      <c r="H31" s="923">
        <v>25.2543</v>
      </c>
      <c r="I31" s="923">
        <f>IFERROR(VLOOKUP(B31,CONFIG!$F$6:$G$35,2,0),0)</f>
        <v>26.84</v>
      </c>
      <c r="J31" s="923">
        <f>IFERROR(I31/CONFIG!B3,0)</f>
        <v>19.79497013</v>
      </c>
      <c r="K31" s="923" t="s">
        <v>1061</v>
      </c>
      <c r="L31" s="924">
        <f t="shared" si="1"/>
        <v>677.825412</v>
      </c>
      <c r="M31" s="925">
        <f t="shared" si="2"/>
        <v>40.04574351</v>
      </c>
      <c r="N31" s="926">
        <f t="shared" si="3"/>
        <v>0.06278930717</v>
      </c>
      <c r="O31" s="927">
        <f>IF(L31&gt;0,L31/SUM(L8:L48),0)</f>
        <v>0.0002410552113</v>
      </c>
      <c r="P31" s="928">
        <v>0.0718</v>
      </c>
      <c r="Q31" s="924">
        <f t="shared" si="4"/>
        <v>48.66786458</v>
      </c>
      <c r="R31" s="929">
        <v>0.9</v>
      </c>
      <c r="S31" s="930">
        <v>0.0</v>
      </c>
      <c r="T31" s="931">
        <v>3000.0</v>
      </c>
      <c r="U31" s="932" t="s">
        <v>2259</v>
      </c>
      <c r="V31" s="933" t="s">
        <v>2333</v>
      </c>
      <c r="W31" s="934" t="s">
        <v>2327</v>
      </c>
      <c r="X31" s="935" t="s">
        <v>2193</v>
      </c>
      <c r="Y31" s="898">
        <v>0.0</v>
      </c>
      <c r="Z31" s="916">
        <v>1.0</v>
      </c>
      <c r="AB31" s="879">
        <v>0.0</v>
      </c>
      <c r="AC31" s="872" t="s">
        <v>593</v>
      </c>
      <c r="AD31" s="872" t="s">
        <v>2259</v>
      </c>
      <c r="AE31" s="872" t="s">
        <v>2334</v>
      </c>
      <c r="AF31" s="872" t="s">
        <v>593</v>
      </c>
      <c r="AG31" s="877">
        <f>IFERROR((30-I31)/I31,0)</f>
        <v>0.1177347243</v>
      </c>
    </row>
    <row r="32" ht="15.75" customHeight="1">
      <c r="B32" s="919" t="s">
        <v>1412</v>
      </c>
      <c r="C32" s="818" t="s">
        <v>2200</v>
      </c>
      <c r="D32" s="920" t="s">
        <v>2151</v>
      </c>
      <c r="E32" s="921" t="s">
        <v>1413</v>
      </c>
      <c r="F32" s="920">
        <v>21.0</v>
      </c>
      <c r="G32" s="922">
        <v>40.4066</v>
      </c>
      <c r="H32" s="923">
        <v>40.4066</v>
      </c>
      <c r="I32" s="923">
        <f>IFERROR(VLOOKUP(B32,CONFIG!$F$6:$G$35,2,0),0)</f>
        <v>52.08</v>
      </c>
      <c r="J32" s="923">
        <f>IFERROR(I32/CONFIG!B3,0)</f>
        <v>38.40991224</v>
      </c>
      <c r="K32" s="923" t="s">
        <v>1061</v>
      </c>
      <c r="L32" s="924">
        <f t="shared" si="1"/>
        <v>2104.375728</v>
      </c>
      <c r="M32" s="925">
        <f t="shared" si="2"/>
        <v>471.6824044</v>
      </c>
      <c r="N32" s="926">
        <f t="shared" si="3"/>
        <v>0.2888983483</v>
      </c>
      <c r="O32" s="927">
        <f>IF(L32&gt;0,L32/SUM(L8:L48),0)</f>
        <v>0.000748379637</v>
      </c>
      <c r="P32" s="928">
        <v>0.028</v>
      </c>
      <c r="Q32" s="924">
        <f t="shared" si="4"/>
        <v>58.92252038</v>
      </c>
      <c r="R32" s="929">
        <v>0.95</v>
      </c>
      <c r="S32" s="930">
        <v>0.1</v>
      </c>
      <c r="T32" s="931">
        <v>0.0</v>
      </c>
      <c r="U32" s="932" t="s">
        <v>2259</v>
      </c>
      <c r="V32" s="933" t="s">
        <v>2335</v>
      </c>
      <c r="W32" s="936" t="s">
        <v>2309</v>
      </c>
      <c r="X32" s="935" t="s">
        <v>2310</v>
      </c>
      <c r="Y32" s="898">
        <v>0.0</v>
      </c>
      <c r="Z32" s="916">
        <v>1.0</v>
      </c>
      <c r="AB32" s="879">
        <v>0.2</v>
      </c>
      <c r="AC32" s="872" t="s">
        <v>593</v>
      </c>
      <c r="AD32" s="872" t="s">
        <v>1252</v>
      </c>
      <c r="AE32" s="872" t="s">
        <v>2336</v>
      </c>
      <c r="AF32" s="872" t="s">
        <v>593</v>
      </c>
      <c r="AG32" s="873">
        <f>IFERROR((58-I32)/I32,0)</f>
        <v>0.113671275</v>
      </c>
    </row>
    <row r="33" ht="15.75" customHeight="1">
      <c r="B33" s="919" t="s">
        <v>2201</v>
      </c>
      <c r="C33" s="818" t="s">
        <v>2337</v>
      </c>
      <c r="D33" s="920" t="s">
        <v>2151</v>
      </c>
      <c r="E33" s="921" t="s">
        <v>1413</v>
      </c>
      <c r="F33" s="920">
        <v>19.0</v>
      </c>
      <c r="G33" s="922">
        <v>20.83</v>
      </c>
      <c r="H33" s="923">
        <v>20.83</v>
      </c>
      <c r="I33" s="923">
        <f>IFERROR(VLOOKUP(B33,CONFIG!$F$6:$G$35,2,0),0)</f>
        <v>22.33</v>
      </c>
      <c r="J33" s="923">
        <f>IFERROR(I33/CONFIG!B3,0)</f>
        <v>16.46876613</v>
      </c>
      <c r="K33" s="923" t="s">
        <v>1061</v>
      </c>
      <c r="L33" s="924">
        <f t="shared" si="1"/>
        <v>465.1339</v>
      </c>
      <c r="M33" s="925">
        <f t="shared" si="2"/>
        <v>31.245</v>
      </c>
      <c r="N33" s="926">
        <f t="shared" si="3"/>
        <v>0.07201152184</v>
      </c>
      <c r="O33" s="927">
        <f>IF(L33&gt;0,L33/SUM(L8:L48),0)</f>
        <v>0.0001654156787</v>
      </c>
      <c r="P33" s="928">
        <v>0.045</v>
      </c>
      <c r="Q33" s="924">
        <f t="shared" si="4"/>
        <v>20.9310255</v>
      </c>
      <c r="R33" s="929">
        <v>0.8</v>
      </c>
      <c r="S33" s="930">
        <v>0.0</v>
      </c>
      <c r="T33" s="931">
        <v>0.0</v>
      </c>
      <c r="U33" s="932" t="s">
        <v>2259</v>
      </c>
      <c r="V33" s="933" t="s">
        <v>2338</v>
      </c>
      <c r="W33" s="934" t="s">
        <v>2327</v>
      </c>
      <c r="X33" s="935" t="s">
        <v>2193</v>
      </c>
      <c r="Y33" s="898">
        <v>0.0</v>
      </c>
      <c r="Z33" s="916">
        <v>1.0</v>
      </c>
      <c r="AB33" s="879">
        <v>0.0</v>
      </c>
    </row>
    <row r="34" ht="15.75" customHeight="1">
      <c r="B34" s="919" t="s">
        <v>1289</v>
      </c>
      <c r="C34" s="818" t="s">
        <v>2203</v>
      </c>
      <c r="D34" s="920" t="s">
        <v>2155</v>
      </c>
      <c r="E34" s="921" t="s">
        <v>1413</v>
      </c>
      <c r="F34" s="920">
        <v>8.0</v>
      </c>
      <c r="G34" s="922">
        <v>51.7</v>
      </c>
      <c r="H34" s="923">
        <v>51.7</v>
      </c>
      <c r="I34" s="923">
        <f>IFERROR(VLOOKUP(B34,CONFIG!$F$6:$G$35,2,0),0)</f>
        <v>45.9</v>
      </c>
      <c r="J34" s="923">
        <f>IFERROR(I34/CONFIG!B3,0)</f>
        <v>33.85205399</v>
      </c>
      <c r="K34" s="923" t="s">
        <v>1061</v>
      </c>
      <c r="L34" s="924">
        <f t="shared" si="1"/>
        <v>2373.03</v>
      </c>
      <c r="M34" s="925">
        <f t="shared" si="2"/>
        <v>-299.86</v>
      </c>
      <c r="N34" s="926">
        <f t="shared" si="3"/>
        <v>-0.1121856867</v>
      </c>
      <c r="O34" s="927">
        <f>IF(L34&gt;0,L34/SUM(L8:L48),0)</f>
        <v>0.0008439212192</v>
      </c>
      <c r="P34" s="928">
        <v>0.052</v>
      </c>
      <c r="Q34" s="924">
        <f t="shared" si="4"/>
        <v>123.39756</v>
      </c>
      <c r="R34" s="929">
        <v>1.1</v>
      </c>
      <c r="S34" s="930">
        <v>0.05</v>
      </c>
      <c r="T34" s="931">
        <v>0.0</v>
      </c>
      <c r="U34" s="932" t="s">
        <v>2259</v>
      </c>
      <c r="V34" s="933" t="s">
        <v>2339</v>
      </c>
      <c r="W34" s="936" t="s">
        <v>2309</v>
      </c>
      <c r="X34" s="935" t="s">
        <v>2310</v>
      </c>
      <c r="Y34" s="898">
        <v>0.0</v>
      </c>
      <c r="Z34" s="916">
        <v>1.0</v>
      </c>
      <c r="AB34" s="879">
        <v>0.05</v>
      </c>
    </row>
    <row r="35" ht="15.75" customHeight="1">
      <c r="B35" s="919" t="s">
        <v>2204</v>
      </c>
      <c r="C35" s="818" t="s">
        <v>2205</v>
      </c>
      <c r="D35" s="920" t="s">
        <v>2151</v>
      </c>
      <c r="E35" s="921" t="s">
        <v>1413</v>
      </c>
      <c r="F35" s="920">
        <v>6.0</v>
      </c>
      <c r="G35" s="922">
        <v>43.75</v>
      </c>
      <c r="H35" s="923">
        <v>43.75</v>
      </c>
      <c r="I35" s="923">
        <f>IFERROR(VLOOKUP(B35,CONFIG!$F$6:$G$35,2,0),0)</f>
        <v>55.07</v>
      </c>
      <c r="J35" s="923">
        <f>IFERROR(I35/CONFIG!B3,0)</f>
        <v>40.61508961</v>
      </c>
      <c r="K35" s="923" t="s">
        <v>1061</v>
      </c>
      <c r="L35" s="924">
        <f t="shared" si="1"/>
        <v>2409.3125</v>
      </c>
      <c r="M35" s="925">
        <f t="shared" si="2"/>
        <v>495.25</v>
      </c>
      <c r="N35" s="926">
        <f t="shared" si="3"/>
        <v>0.2587428571</v>
      </c>
      <c r="O35" s="927">
        <f>IF(L35&gt;0,L35/SUM(L8:L48),0)</f>
        <v>0.0008568243733</v>
      </c>
      <c r="P35" s="928">
        <v>0.031</v>
      </c>
      <c r="Q35" s="924">
        <f t="shared" si="4"/>
        <v>74.6886875</v>
      </c>
      <c r="R35" s="929">
        <v>0.9</v>
      </c>
      <c r="S35" s="930">
        <v>0.15</v>
      </c>
      <c r="T35" s="931">
        <v>0.0</v>
      </c>
      <c r="U35" s="932" t="s">
        <v>2259</v>
      </c>
      <c r="V35" s="933" t="s">
        <v>2340</v>
      </c>
      <c r="W35" s="937" t="s">
        <v>2341</v>
      </c>
      <c r="X35" s="935" t="s">
        <v>2342</v>
      </c>
      <c r="Y35" s="898">
        <v>0.0</v>
      </c>
      <c r="Z35" s="870">
        <v>0.0</v>
      </c>
      <c r="AB35" s="879">
        <v>0.1</v>
      </c>
    </row>
    <row r="36" ht="15.75" customHeight="1">
      <c r="B36" s="874" t="s">
        <v>1247</v>
      </c>
      <c r="C36" s="782" t="s">
        <v>2150</v>
      </c>
      <c r="D36" s="853" t="s">
        <v>2151</v>
      </c>
      <c r="E36" s="854" t="s">
        <v>1653</v>
      </c>
      <c r="F36" s="853">
        <v>16.0</v>
      </c>
      <c r="G36" s="855">
        <v>157.3812</v>
      </c>
      <c r="H36" s="856">
        <v>157.3812</v>
      </c>
      <c r="I36" s="856">
        <f>IFERROR(VLOOKUP(B36,CONFIG!$F$6:$G$35,2,0),0)</f>
        <v>161.8</v>
      </c>
      <c r="J36" s="856">
        <f>IFERROR(I36/CONFIG!B3,0)</f>
        <v>119.3303341</v>
      </c>
      <c r="K36" s="856" t="s">
        <v>1061</v>
      </c>
      <c r="L36" s="857">
        <f t="shared" si="1"/>
        <v>25464.27816</v>
      </c>
      <c r="M36" s="858">
        <f t="shared" si="2"/>
        <v>695.4360466</v>
      </c>
      <c r="N36" s="859">
        <f t="shared" si="3"/>
        <v>0.02807705113</v>
      </c>
      <c r="O36" s="860">
        <f>IF(L36&gt;0,L36/SUM(L8:L48),0)</f>
        <v>0.009055867255</v>
      </c>
      <c r="P36" s="861">
        <v>0.0092</v>
      </c>
      <c r="Q36" s="857">
        <f t="shared" si="4"/>
        <v>234.2713591</v>
      </c>
      <c r="R36" s="862">
        <v>1.0</v>
      </c>
      <c r="S36" s="863">
        <v>0.3</v>
      </c>
      <c r="T36" s="864">
        <v>20000.0</v>
      </c>
      <c r="U36" s="865" t="s">
        <v>1252</v>
      </c>
      <c r="V36" s="866" t="s">
        <v>2343</v>
      </c>
      <c r="W36" s="867" t="s">
        <v>2256</v>
      </c>
      <c r="X36" s="868" t="s">
        <v>2151</v>
      </c>
      <c r="Y36" s="869">
        <v>1.0</v>
      </c>
      <c r="Z36" s="870">
        <v>0.0</v>
      </c>
      <c r="AB36" s="871">
        <v>0.35</v>
      </c>
      <c r="AC36" s="872" t="s">
        <v>2257</v>
      </c>
      <c r="AD36" s="872" t="s">
        <v>1252</v>
      </c>
      <c r="AE36" s="872" t="s">
        <v>2258</v>
      </c>
      <c r="AF36" s="872" t="s">
        <v>593</v>
      </c>
      <c r="AG36" s="873">
        <f>IFERROR((185-I36)/I36,0)</f>
        <v>0.1433868974</v>
      </c>
    </row>
    <row r="37" ht="15.75" customHeight="1">
      <c r="B37" s="874" t="s">
        <v>2158</v>
      </c>
      <c r="C37" s="782" t="s">
        <v>2159</v>
      </c>
      <c r="D37" s="853" t="s">
        <v>2155</v>
      </c>
      <c r="E37" s="854" t="s">
        <v>1653</v>
      </c>
      <c r="F37" s="853">
        <v>7.0</v>
      </c>
      <c r="G37" s="855">
        <v>154.9418</v>
      </c>
      <c r="H37" s="856">
        <v>154.9418</v>
      </c>
      <c r="I37" s="856">
        <f>IFERROR(J37*CONFIG!B3,0)</f>
        <v>281.579753</v>
      </c>
      <c r="J37" s="856">
        <f>IFERROR(VLOOKUP(B37,CONFIG!$F$6:$G$35,2,0),0)</f>
        <v>207.67</v>
      </c>
      <c r="K37" s="856" t="s">
        <v>2156</v>
      </c>
      <c r="L37" s="857">
        <f t="shared" si="1"/>
        <v>43628.47377</v>
      </c>
      <c r="M37" s="858">
        <f t="shared" si="2"/>
        <v>19621.51239</v>
      </c>
      <c r="N37" s="859">
        <f t="shared" si="3"/>
        <v>0.8173259443</v>
      </c>
      <c r="O37" s="860">
        <f>IF(L37&gt;0,L37/SUM(L8:L48),0)</f>
        <v>0.01551560443</v>
      </c>
      <c r="P37" s="861">
        <v>0.001</v>
      </c>
      <c r="Q37" s="857">
        <f t="shared" si="4"/>
        <v>43.62847377</v>
      </c>
      <c r="R37" s="862">
        <v>1.22</v>
      </c>
      <c r="S37" s="863">
        <v>0.7</v>
      </c>
      <c r="T37" s="864">
        <v>4000.0</v>
      </c>
      <c r="U37" s="865" t="s">
        <v>2259</v>
      </c>
      <c r="V37" s="866" t="s">
        <v>2344</v>
      </c>
      <c r="W37" s="875" t="s">
        <v>2261</v>
      </c>
      <c r="X37" s="868" t="s">
        <v>2262</v>
      </c>
      <c r="Y37" s="869">
        <v>1.0</v>
      </c>
      <c r="Z37" s="870">
        <v>0.0</v>
      </c>
      <c r="AB37" s="876">
        <v>0.7</v>
      </c>
      <c r="AC37" s="872" t="s">
        <v>2271</v>
      </c>
      <c r="AD37" s="872" t="s">
        <v>2259</v>
      </c>
      <c r="AE37" s="872" t="s">
        <v>2272</v>
      </c>
      <c r="AF37" s="872" t="s">
        <v>2273</v>
      </c>
      <c r="AG37" s="877">
        <f t="shared" ref="AG37:AG38" si="5">IFERROR((280-I37)/I37,0)</f>
        <v>-0.005610321705</v>
      </c>
    </row>
    <row r="38" ht="15.75" customHeight="1">
      <c r="B38" s="881" t="s">
        <v>2173</v>
      </c>
      <c r="C38" s="794" t="s">
        <v>2301</v>
      </c>
      <c r="D38" s="882" t="s">
        <v>2151</v>
      </c>
      <c r="E38" s="196" t="s">
        <v>1655</v>
      </c>
      <c r="F38" s="882">
        <v>5.311</v>
      </c>
      <c r="G38" s="883">
        <v>247.4064</v>
      </c>
      <c r="H38" s="884">
        <v>247.4064</v>
      </c>
      <c r="I38" s="884">
        <f>IFERROR(J38*CONFIG!B3,0)</f>
        <v>331.449755</v>
      </c>
      <c r="J38" s="884">
        <f>IFERROR(VLOOKUP(B38,CONFIG!$F$6:$G$35,2,0),0)</f>
        <v>244.45</v>
      </c>
      <c r="K38" s="884" t="s">
        <v>2156</v>
      </c>
      <c r="L38" s="885">
        <f t="shared" si="1"/>
        <v>82002.79067</v>
      </c>
      <c r="M38" s="886">
        <f t="shared" si="2"/>
        <v>20792.8639</v>
      </c>
      <c r="N38" s="887">
        <f t="shared" si="3"/>
        <v>0.3396975786</v>
      </c>
      <c r="O38" s="888">
        <f>IF(L38&gt;0,L38/SUM(L8:L48),0)</f>
        <v>0.02916267181</v>
      </c>
      <c r="P38" s="889">
        <v>0.0065</v>
      </c>
      <c r="Q38" s="885">
        <f t="shared" si="4"/>
        <v>533.0181393</v>
      </c>
      <c r="R38" s="890">
        <v>1.15</v>
      </c>
      <c r="S38" s="891">
        <v>0.6</v>
      </c>
      <c r="T38" s="892">
        <v>3000.0</v>
      </c>
      <c r="U38" s="893" t="s">
        <v>1252</v>
      </c>
      <c r="V38" s="894" t="s">
        <v>2344</v>
      </c>
      <c r="W38" s="869" t="s">
        <v>2256</v>
      </c>
      <c r="X38" s="896" t="s">
        <v>2151</v>
      </c>
      <c r="Y38" s="869">
        <v>1.0</v>
      </c>
      <c r="Z38" s="870">
        <v>0.0</v>
      </c>
      <c r="AB38" s="871">
        <v>0.6</v>
      </c>
      <c r="AC38" s="872" t="s">
        <v>2303</v>
      </c>
      <c r="AD38" s="872" t="s">
        <v>1252</v>
      </c>
      <c r="AE38" s="872" t="s">
        <v>2272</v>
      </c>
      <c r="AF38" s="872" t="s">
        <v>593</v>
      </c>
      <c r="AG38" s="873">
        <f t="shared" si="5"/>
        <v>-0.1552264083</v>
      </c>
    </row>
    <row r="39" ht="15.75" customHeight="1">
      <c r="B39" s="881" t="s">
        <v>1456</v>
      </c>
      <c r="C39" s="794" t="s">
        <v>2176</v>
      </c>
      <c r="D39" s="882" t="s">
        <v>2151</v>
      </c>
      <c r="E39" s="196" t="s">
        <v>1655</v>
      </c>
      <c r="F39" s="882">
        <v>15.0</v>
      </c>
      <c r="G39" s="883">
        <v>40.06</v>
      </c>
      <c r="H39" s="884">
        <v>40.06</v>
      </c>
      <c r="I39" s="884">
        <f>IFERROR(VLOOKUP(B39,CONFIG!$F$6:$G$35,2,0),0)</f>
        <v>39.85</v>
      </c>
      <c r="J39" s="884">
        <f>IFERROR(I39/CONFIG!B3,0)</f>
        <v>29.39007301</v>
      </c>
      <c r="K39" s="884" t="s">
        <v>1061</v>
      </c>
      <c r="L39" s="885">
        <f t="shared" si="1"/>
        <v>1596.391</v>
      </c>
      <c r="M39" s="886">
        <f t="shared" si="2"/>
        <v>-8.4126</v>
      </c>
      <c r="N39" s="887">
        <f t="shared" si="3"/>
        <v>-0.005242136795</v>
      </c>
      <c r="O39" s="888">
        <f>IF(L39&gt;0,L39/SUM(L8:L48),0)</f>
        <v>0.0005677249083</v>
      </c>
      <c r="P39" s="889">
        <v>0.021</v>
      </c>
      <c r="Q39" s="885">
        <f t="shared" si="4"/>
        <v>33.524211</v>
      </c>
      <c r="R39" s="890">
        <v>0.95</v>
      </c>
      <c r="S39" s="891">
        <v>0.2</v>
      </c>
      <c r="T39" s="892">
        <v>2000.0</v>
      </c>
      <c r="U39" s="893" t="s">
        <v>1252</v>
      </c>
      <c r="V39" s="894" t="s">
        <v>2344</v>
      </c>
      <c r="W39" s="869" t="s">
        <v>2256</v>
      </c>
      <c r="X39" s="896" t="s">
        <v>2151</v>
      </c>
      <c r="Y39" s="869">
        <v>1.0</v>
      </c>
      <c r="Z39" s="870">
        <v>0.0</v>
      </c>
      <c r="AB39" s="871">
        <v>0.3</v>
      </c>
      <c r="AC39" s="872" t="s">
        <v>2284</v>
      </c>
      <c r="AD39" s="872" t="s">
        <v>1252</v>
      </c>
      <c r="AE39" s="872" t="s">
        <v>2305</v>
      </c>
      <c r="AF39" s="872" t="s">
        <v>593</v>
      </c>
      <c r="AG39" s="877">
        <f>IFERROR((45-I39)/I39,0)</f>
        <v>0.1292346299</v>
      </c>
    </row>
    <row r="40" ht="15.75" customHeight="1">
      <c r="B40" s="899" t="s">
        <v>1977</v>
      </c>
      <c r="C40" s="806" t="s">
        <v>2180</v>
      </c>
      <c r="D40" s="900" t="s">
        <v>2155</v>
      </c>
      <c r="E40" s="901" t="s">
        <v>1408</v>
      </c>
      <c r="F40" s="900">
        <v>15.0</v>
      </c>
      <c r="G40" s="902">
        <v>82.29</v>
      </c>
      <c r="H40" s="903">
        <v>82.29</v>
      </c>
      <c r="I40" s="903">
        <f>IFERROR(VLOOKUP(B40,CONFIG!$F$6:$G$35,2,0),0)</f>
        <v>128.05</v>
      </c>
      <c r="J40" s="903">
        <f>IFERROR(I40/CONFIG!B3,0)</f>
        <v>94.43911793</v>
      </c>
      <c r="K40" s="903" t="s">
        <v>1061</v>
      </c>
      <c r="L40" s="904">
        <f t="shared" si="1"/>
        <v>10537.2345</v>
      </c>
      <c r="M40" s="905">
        <f t="shared" si="2"/>
        <v>3765.5904</v>
      </c>
      <c r="N40" s="906">
        <f t="shared" si="3"/>
        <v>0.5560821485</v>
      </c>
      <c r="O40" s="907">
        <f>IF(L40&gt;0,L40/SUM(L8:L48),0)</f>
        <v>0.003747359193</v>
      </c>
      <c r="P40" s="908">
        <v>0.048</v>
      </c>
      <c r="Q40" s="904">
        <f t="shared" si="4"/>
        <v>505.787256</v>
      </c>
      <c r="R40" s="909">
        <v>0.85</v>
      </c>
      <c r="S40" s="910">
        <v>0.05</v>
      </c>
      <c r="T40" s="911">
        <v>0.0</v>
      </c>
      <c r="U40" s="912" t="s">
        <v>2259</v>
      </c>
      <c r="V40" s="913" t="s">
        <v>2345</v>
      </c>
      <c r="W40" s="914" t="s">
        <v>2309</v>
      </c>
      <c r="X40" s="915" t="s">
        <v>2310</v>
      </c>
      <c r="Y40" s="898">
        <v>0.0</v>
      </c>
      <c r="Z40" s="916">
        <v>1.0</v>
      </c>
      <c r="AB40" s="879">
        <v>0.05</v>
      </c>
      <c r="AC40" s="872" t="s">
        <v>2311</v>
      </c>
      <c r="AD40" s="872" t="s">
        <v>2259</v>
      </c>
      <c r="AE40" s="872" t="s">
        <v>2312</v>
      </c>
      <c r="AF40" s="872" t="s">
        <v>2273</v>
      </c>
      <c r="AG40" s="873">
        <f>IFERROR((85-I40)/I40,0)</f>
        <v>-0.3361967981</v>
      </c>
    </row>
    <row r="41" ht="15.75" customHeight="1">
      <c r="B41" s="899" t="s">
        <v>1284</v>
      </c>
      <c r="C41" s="806" t="s">
        <v>2184</v>
      </c>
      <c r="D41" s="900" t="s">
        <v>2155</v>
      </c>
      <c r="E41" s="901" t="s">
        <v>1408</v>
      </c>
      <c r="F41" s="900">
        <v>10.0</v>
      </c>
      <c r="G41" s="902">
        <v>51.78</v>
      </c>
      <c r="H41" s="903">
        <v>51.78</v>
      </c>
      <c r="I41" s="903">
        <f>IFERROR(VLOOKUP(B41,CONFIG!$F$6:$G$35,2,0),0)</f>
        <v>60.09</v>
      </c>
      <c r="J41" s="903">
        <f>IFERROR(I41/CONFIG!B3,0)</f>
        <v>44.31742754</v>
      </c>
      <c r="K41" s="903" t="s">
        <v>1061</v>
      </c>
      <c r="L41" s="904">
        <f t="shared" si="1"/>
        <v>3111.4602</v>
      </c>
      <c r="M41" s="905">
        <f t="shared" si="2"/>
        <v>430.2918</v>
      </c>
      <c r="N41" s="906">
        <f t="shared" si="3"/>
        <v>0.1604866744</v>
      </c>
      <c r="O41" s="907">
        <f>IF(L41&gt;0,L41/SUM(L8:L48),0)</f>
        <v>0.001106529326</v>
      </c>
      <c r="P41" s="908">
        <v>0.032</v>
      </c>
      <c r="Q41" s="904">
        <f t="shared" si="4"/>
        <v>99.5667264</v>
      </c>
      <c r="R41" s="909">
        <v>0.35</v>
      </c>
      <c r="S41" s="910">
        <v>0.0</v>
      </c>
      <c r="T41" s="911">
        <v>2000.0</v>
      </c>
      <c r="U41" s="912" t="s">
        <v>2259</v>
      </c>
      <c r="V41" s="913" t="s">
        <v>2346</v>
      </c>
      <c r="W41" s="914" t="s">
        <v>2309</v>
      </c>
      <c r="X41" s="915" t="s">
        <v>2310</v>
      </c>
      <c r="Y41" s="898">
        <v>0.0</v>
      </c>
      <c r="Z41" s="916">
        <v>1.0</v>
      </c>
      <c r="AB41" s="879">
        <v>0.05</v>
      </c>
      <c r="AC41" s="872" t="s">
        <v>2317</v>
      </c>
      <c r="AD41" s="872" t="s">
        <v>2259</v>
      </c>
      <c r="AE41" s="872" t="s">
        <v>2318</v>
      </c>
      <c r="AF41" s="872" t="s">
        <v>2273</v>
      </c>
      <c r="AG41" s="877">
        <f>IFERROR((65-I41)/I41,0)</f>
        <v>0.08171076718</v>
      </c>
    </row>
    <row r="42" ht="15.75" customHeight="1">
      <c r="B42" s="899" t="s">
        <v>1278</v>
      </c>
      <c r="C42" s="806" t="s">
        <v>2182</v>
      </c>
      <c r="D42" s="900" t="s">
        <v>2151</v>
      </c>
      <c r="E42" s="901" t="s">
        <v>1408</v>
      </c>
      <c r="F42" s="900">
        <v>3.0</v>
      </c>
      <c r="G42" s="902">
        <v>59.0666</v>
      </c>
      <c r="H42" s="903">
        <v>59.0666</v>
      </c>
      <c r="I42" s="903">
        <f>IFERROR(VLOOKUP(B42,CONFIG!$F$6:$G$35,2,0),0)</f>
        <v>59.04</v>
      </c>
      <c r="J42" s="903">
        <f>IFERROR(I42/CONFIG!B3,0)</f>
        <v>43.54303415</v>
      </c>
      <c r="K42" s="903" t="s">
        <v>1061</v>
      </c>
      <c r="L42" s="904">
        <f t="shared" si="1"/>
        <v>3487.292064</v>
      </c>
      <c r="M42" s="905">
        <f t="shared" si="2"/>
        <v>-1.57117156</v>
      </c>
      <c r="N42" s="906">
        <f t="shared" si="3"/>
        <v>-0.0004503391087</v>
      </c>
      <c r="O42" s="907">
        <f>IF(L42&gt;0,L42/SUM(L8:L48),0)</f>
        <v>0.0012401865</v>
      </c>
      <c r="P42" s="908">
        <v>0.025</v>
      </c>
      <c r="Q42" s="904">
        <f t="shared" si="4"/>
        <v>87.1823016</v>
      </c>
      <c r="R42" s="909">
        <v>0.6</v>
      </c>
      <c r="S42" s="910">
        <v>0.05</v>
      </c>
      <c r="T42" s="911">
        <v>2500.0</v>
      </c>
      <c r="U42" s="912" t="s">
        <v>2259</v>
      </c>
      <c r="V42" s="913" t="s">
        <v>2346</v>
      </c>
      <c r="W42" s="914" t="s">
        <v>2309</v>
      </c>
      <c r="X42" s="915" t="s">
        <v>2310</v>
      </c>
      <c r="Y42" s="898">
        <v>0.0</v>
      </c>
      <c r="Z42" s="916">
        <v>1.0</v>
      </c>
      <c r="AB42" s="879">
        <v>0.05</v>
      </c>
      <c r="AC42" s="872" t="s">
        <v>2314</v>
      </c>
      <c r="AD42" s="872" t="s">
        <v>2259</v>
      </c>
      <c r="AE42" s="872" t="s">
        <v>2315</v>
      </c>
      <c r="AF42" s="872" t="s">
        <v>593</v>
      </c>
      <c r="AG42" s="873">
        <f>IFERROR((62-I42)/I42,0)</f>
        <v>0.05013550136</v>
      </c>
    </row>
    <row r="43" ht="15.75" customHeight="1">
      <c r="B43" s="919" t="s">
        <v>2198</v>
      </c>
      <c r="C43" s="818" t="s">
        <v>2199</v>
      </c>
      <c r="D43" s="920" t="s">
        <v>2193</v>
      </c>
      <c r="E43" s="921" t="s">
        <v>1413</v>
      </c>
      <c r="F43" s="920">
        <v>63.0</v>
      </c>
      <c r="G43" s="922">
        <v>23.61</v>
      </c>
      <c r="H43" s="923">
        <v>23.61</v>
      </c>
      <c r="I43" s="923">
        <f>IFERROR(VLOOKUP(B43,CONFIG!$F$6:$G$35,2,0),0)</f>
        <v>26.84</v>
      </c>
      <c r="J43" s="923">
        <f>IFERROR(I43/CONFIG!B3,0)</f>
        <v>19.79497013</v>
      </c>
      <c r="K43" s="923" t="s">
        <v>1061</v>
      </c>
      <c r="L43" s="924">
        <f t="shared" si="1"/>
        <v>633.6924</v>
      </c>
      <c r="M43" s="925">
        <f t="shared" si="2"/>
        <v>76.2603</v>
      </c>
      <c r="N43" s="926">
        <f t="shared" si="3"/>
        <v>0.136806438</v>
      </c>
      <c r="O43" s="927">
        <f>IF(L43&gt;0,L43/SUM(L8:L48),0)</f>
        <v>0.0002253601778</v>
      </c>
      <c r="P43" s="928">
        <v>0.0718</v>
      </c>
      <c r="Q43" s="924">
        <f t="shared" si="4"/>
        <v>45.49911432</v>
      </c>
      <c r="R43" s="929">
        <v>0.9</v>
      </c>
      <c r="S43" s="930">
        <v>0.0</v>
      </c>
      <c r="T43" s="931">
        <v>3000.0</v>
      </c>
      <c r="U43" s="932" t="s">
        <v>2259</v>
      </c>
      <c r="V43" s="933" t="s">
        <v>2347</v>
      </c>
      <c r="W43" s="934" t="s">
        <v>2327</v>
      </c>
      <c r="X43" s="935" t="s">
        <v>2193</v>
      </c>
      <c r="Y43" s="898">
        <v>0.0</v>
      </c>
      <c r="Z43" s="916">
        <v>1.0</v>
      </c>
      <c r="AB43" s="879">
        <v>0.0</v>
      </c>
      <c r="AC43" s="872" t="s">
        <v>593</v>
      </c>
      <c r="AD43" s="872" t="s">
        <v>2259</v>
      </c>
      <c r="AE43" s="872" t="s">
        <v>2334</v>
      </c>
      <c r="AF43" s="872" t="s">
        <v>593</v>
      </c>
      <c r="AG43" s="877">
        <f>IFERROR((30-I43)/I43,0)</f>
        <v>0.1177347243</v>
      </c>
    </row>
    <row r="44" ht="15.75" customHeight="1">
      <c r="B44" s="919" t="s">
        <v>1233</v>
      </c>
      <c r="C44" s="818" t="s">
        <v>2192</v>
      </c>
      <c r="D44" s="920" t="s">
        <v>2193</v>
      </c>
      <c r="E44" s="921" t="s">
        <v>1413</v>
      </c>
      <c r="F44" s="920">
        <v>80.0</v>
      </c>
      <c r="G44" s="922">
        <v>18.73</v>
      </c>
      <c r="H44" s="923">
        <v>18.73</v>
      </c>
      <c r="I44" s="923">
        <f>IFERROR(VLOOKUP(B44,CONFIG!$F$6:$G$35,2,0),0)</f>
        <v>19.02</v>
      </c>
      <c r="J44" s="923">
        <f>IFERROR(I44/CONFIG!B3,0)</f>
        <v>14.02758316</v>
      </c>
      <c r="K44" s="923" t="s">
        <v>1061</v>
      </c>
      <c r="L44" s="924">
        <f t="shared" si="1"/>
        <v>356.2446</v>
      </c>
      <c r="M44" s="925">
        <f t="shared" si="2"/>
        <v>5.4317</v>
      </c>
      <c r="N44" s="926">
        <f t="shared" si="3"/>
        <v>0.01548318206</v>
      </c>
      <c r="O44" s="927">
        <f>IF(L44&gt;0,L44/SUM(L8:L48),0)</f>
        <v>0.0001266913512</v>
      </c>
      <c r="P44" s="928">
        <v>0.0587</v>
      </c>
      <c r="Q44" s="924">
        <f t="shared" si="4"/>
        <v>20.91155802</v>
      </c>
      <c r="R44" s="929">
        <v>0.85</v>
      </c>
      <c r="S44" s="930">
        <v>0.0</v>
      </c>
      <c r="T44" s="931">
        <v>7000.0</v>
      </c>
      <c r="U44" s="932" t="s">
        <v>2259</v>
      </c>
      <c r="V44" s="933" t="s">
        <v>2347</v>
      </c>
      <c r="W44" s="934" t="s">
        <v>2327</v>
      </c>
      <c r="X44" s="935" t="s">
        <v>2193</v>
      </c>
      <c r="Y44" s="898">
        <v>0.0</v>
      </c>
      <c r="Z44" s="916">
        <v>1.0</v>
      </c>
      <c r="AB44" s="879">
        <v>0.0</v>
      </c>
      <c r="AC44" s="872" t="s">
        <v>593</v>
      </c>
      <c r="AD44" s="872" t="s">
        <v>2259</v>
      </c>
      <c r="AE44" s="872" t="s">
        <v>2328</v>
      </c>
      <c r="AF44" s="872" t="s">
        <v>593</v>
      </c>
      <c r="AG44" s="873">
        <f>IFERROR((22-I44)/I44,0)</f>
        <v>0.1566771819</v>
      </c>
    </row>
    <row r="45" ht="15.75" customHeight="1">
      <c r="B45" s="919" t="s">
        <v>1412</v>
      </c>
      <c r="C45" s="818" t="s">
        <v>2200</v>
      </c>
      <c r="D45" s="920" t="s">
        <v>2151</v>
      </c>
      <c r="E45" s="921" t="s">
        <v>1413</v>
      </c>
      <c r="F45" s="920">
        <v>19.0</v>
      </c>
      <c r="G45" s="922">
        <v>48.3705</v>
      </c>
      <c r="H45" s="923">
        <v>48.3705</v>
      </c>
      <c r="I45" s="923">
        <f>IFERROR(VLOOKUP(B45,CONFIG!$F$6:$G$35,2,0),0)</f>
        <v>52.08</v>
      </c>
      <c r="J45" s="923">
        <f>IFERROR(I45/CONFIG!B3,0)</f>
        <v>38.40991224</v>
      </c>
      <c r="K45" s="923" t="s">
        <v>1061</v>
      </c>
      <c r="L45" s="924">
        <f t="shared" si="1"/>
        <v>2519.13564</v>
      </c>
      <c r="M45" s="925">
        <f t="shared" si="2"/>
        <v>179.4303698</v>
      </c>
      <c r="N45" s="926">
        <f t="shared" si="3"/>
        <v>0.07668930443</v>
      </c>
      <c r="O45" s="927">
        <f>IF(L45&gt;0,L45/SUM(L8:L48),0)</f>
        <v>0.0008958808025</v>
      </c>
      <c r="P45" s="928">
        <v>0.028</v>
      </c>
      <c r="Q45" s="924">
        <f t="shared" si="4"/>
        <v>70.53579792</v>
      </c>
      <c r="R45" s="929">
        <v>0.95</v>
      </c>
      <c r="S45" s="930">
        <v>0.1</v>
      </c>
      <c r="T45" s="931">
        <v>0.0</v>
      </c>
      <c r="U45" s="932" t="s">
        <v>2259</v>
      </c>
      <c r="V45" s="933" t="s">
        <v>2347</v>
      </c>
      <c r="W45" s="936" t="s">
        <v>2309</v>
      </c>
      <c r="X45" s="935" t="s">
        <v>2310</v>
      </c>
      <c r="Y45" s="898">
        <v>0.0</v>
      </c>
      <c r="Z45" s="916">
        <v>1.0</v>
      </c>
      <c r="AB45" s="879">
        <v>0.2</v>
      </c>
      <c r="AC45" s="872" t="s">
        <v>593</v>
      </c>
      <c r="AD45" s="872" t="s">
        <v>1252</v>
      </c>
      <c r="AE45" s="872" t="s">
        <v>2336</v>
      </c>
      <c r="AF45" s="872" t="s">
        <v>593</v>
      </c>
      <c r="AG45" s="877">
        <f>IFERROR((58-I45)/I45,0)</f>
        <v>0.113671275</v>
      </c>
    </row>
    <row r="46" ht="15.75" customHeight="1">
      <c r="B46" s="919" t="s">
        <v>2196</v>
      </c>
      <c r="C46" s="818" t="s">
        <v>2197</v>
      </c>
      <c r="D46" s="920" t="s">
        <v>2151</v>
      </c>
      <c r="E46" s="921" t="s">
        <v>1413</v>
      </c>
      <c r="F46" s="920">
        <v>26.0</v>
      </c>
      <c r="G46" s="922">
        <v>32.6111</v>
      </c>
      <c r="H46" s="923">
        <v>32.6111</v>
      </c>
      <c r="I46" s="923">
        <f>IFERROR(VLOOKUP(B46,CONFIG!$F$6:$G$35,2,0),0)</f>
        <v>35.89</v>
      </c>
      <c r="J46" s="923">
        <f>IFERROR(I46/CONFIG!B3,0)</f>
        <v>26.46950365</v>
      </c>
      <c r="K46" s="923" t="s">
        <v>1061</v>
      </c>
      <c r="L46" s="924">
        <f t="shared" si="1"/>
        <v>1170.412379</v>
      </c>
      <c r="M46" s="925">
        <f t="shared" si="2"/>
        <v>106.9285358</v>
      </c>
      <c r="N46" s="926">
        <f t="shared" si="3"/>
        <v>0.1005455198</v>
      </c>
      <c r="O46" s="927">
        <f>IF(L46&gt;0,L46/SUM(L8:L48),0)</f>
        <v>0.0004162340307</v>
      </c>
      <c r="P46" s="928">
        <v>0.049</v>
      </c>
      <c r="Q46" s="924">
        <f t="shared" si="4"/>
        <v>57.35020657</v>
      </c>
      <c r="R46" s="929">
        <v>0.8</v>
      </c>
      <c r="S46" s="930">
        <v>0.0</v>
      </c>
      <c r="T46" s="931">
        <v>0.0</v>
      </c>
      <c r="U46" s="932" t="s">
        <v>2259</v>
      </c>
      <c r="V46" s="933" t="s">
        <v>2347</v>
      </c>
      <c r="W46" s="934" t="s">
        <v>2327</v>
      </c>
      <c r="X46" s="935" t="s">
        <v>2193</v>
      </c>
      <c r="Y46" s="898">
        <v>0.0</v>
      </c>
      <c r="Z46" s="916">
        <v>1.0</v>
      </c>
      <c r="AB46" s="879">
        <v>0.05</v>
      </c>
      <c r="AC46" s="872" t="s">
        <v>593</v>
      </c>
      <c r="AD46" s="872" t="s">
        <v>1252</v>
      </c>
      <c r="AE46" s="872" t="s">
        <v>2332</v>
      </c>
      <c r="AF46" s="872" t="s">
        <v>593</v>
      </c>
      <c r="AG46" s="873">
        <f>IFERROR((38-I46)/I46,0)</f>
        <v>0.05879074951</v>
      </c>
    </row>
    <row r="47" ht="15.75" customHeight="1">
      <c r="B47" s="874" t="s">
        <v>548</v>
      </c>
      <c r="C47" s="782" t="s">
        <v>2216</v>
      </c>
      <c r="D47" s="853" t="s">
        <v>2151</v>
      </c>
      <c r="E47" s="854" t="s">
        <v>1653</v>
      </c>
      <c r="F47" s="853">
        <v>64.3053</v>
      </c>
      <c r="G47" s="855">
        <v>25.5008</v>
      </c>
      <c r="H47" s="856">
        <v>25.5008</v>
      </c>
      <c r="I47" s="856">
        <f>IFERROR(J47*CONFIG!B3,0)</f>
        <v>41.76172</v>
      </c>
      <c r="J47" s="856">
        <f>IFERROR(VLOOKUP(B47,CONFIG!$F$6:$G$35,2,0),0)</f>
        <v>30.8</v>
      </c>
      <c r="K47" s="856" t="s">
        <v>2156</v>
      </c>
      <c r="L47" s="857">
        <f t="shared" si="1"/>
        <v>1064.957269</v>
      </c>
      <c r="M47" s="858">
        <f t="shared" si="2"/>
        <v>414.6664687</v>
      </c>
      <c r="N47" s="859">
        <f t="shared" si="3"/>
        <v>0.6376631321</v>
      </c>
      <c r="O47" s="860">
        <f>IF(L47&gt;0,L47/SUM(L8:L48),0)</f>
        <v>0.0003787310052</v>
      </c>
      <c r="P47" s="861">
        <v>0.0352</v>
      </c>
      <c r="Q47" s="857">
        <f t="shared" si="4"/>
        <v>37.48649588</v>
      </c>
      <c r="R47" s="862">
        <v>0.75</v>
      </c>
      <c r="S47" s="863">
        <v>0.1</v>
      </c>
      <c r="T47" s="864">
        <v>15000.0</v>
      </c>
      <c r="U47" s="865" t="s">
        <v>1252</v>
      </c>
      <c r="V47" s="866" t="s">
        <v>2348</v>
      </c>
      <c r="W47" s="938" t="s">
        <v>2349</v>
      </c>
      <c r="X47" s="868" t="s">
        <v>2350</v>
      </c>
      <c r="Y47" s="869">
        <v>1.0</v>
      </c>
      <c r="Z47" s="870">
        <v>0.0</v>
      </c>
      <c r="AB47" s="879">
        <v>0.15</v>
      </c>
    </row>
    <row r="48" ht="15.75" customHeight="1">
      <c r="B48" s="881" t="s">
        <v>2218</v>
      </c>
      <c r="C48" s="794" t="s">
        <v>2219</v>
      </c>
      <c r="D48" s="882" t="s">
        <v>2151</v>
      </c>
      <c r="E48" s="196" t="s">
        <v>1655</v>
      </c>
      <c r="F48" s="882">
        <v>1.0</v>
      </c>
      <c r="G48" s="883">
        <v>54.52</v>
      </c>
      <c r="H48" s="884">
        <v>54.52</v>
      </c>
      <c r="I48" s="884">
        <f>IFERROR(J48*CONFIG!B3,0)</f>
        <v>77.408331</v>
      </c>
      <c r="J48" s="884">
        <f>IFERROR(VLOOKUP(B48,CONFIG!$F$6:$G$35,2,0),0)</f>
        <v>57.09</v>
      </c>
      <c r="K48" s="884" t="s">
        <v>2156</v>
      </c>
      <c r="L48" s="885">
        <f t="shared" si="1"/>
        <v>4220.302206</v>
      </c>
      <c r="M48" s="886">
        <f t="shared" si="2"/>
        <v>1247.871806</v>
      </c>
      <c r="N48" s="887">
        <f t="shared" si="3"/>
        <v>0.4198153155</v>
      </c>
      <c r="O48" s="888">
        <f>IF(L48&gt;0,L48/SUM(L8:L48),0)</f>
        <v>0.00150086707</v>
      </c>
      <c r="P48" s="889">
        <v>0.0812</v>
      </c>
      <c r="Q48" s="885">
        <f t="shared" si="4"/>
        <v>342.6885391</v>
      </c>
      <c r="R48" s="890">
        <v>0.5</v>
      </c>
      <c r="S48" s="891">
        <v>0.2</v>
      </c>
      <c r="T48" s="892">
        <v>2000.0</v>
      </c>
      <c r="U48" s="893" t="s">
        <v>2259</v>
      </c>
      <c r="V48" s="894" t="s">
        <v>2351</v>
      </c>
      <c r="W48" s="939" t="s">
        <v>2349</v>
      </c>
      <c r="X48" s="896" t="s">
        <v>2350</v>
      </c>
      <c r="Y48" s="869">
        <v>1.0</v>
      </c>
      <c r="Z48" s="870">
        <v>0.0</v>
      </c>
      <c r="AB48" s="879">
        <v>0.1</v>
      </c>
    </row>
    <row r="49" ht="24.0" customHeight="1">
      <c r="B49" s="940"/>
      <c r="C49" s="941"/>
      <c r="D49" s="942"/>
      <c r="E49" s="943"/>
      <c r="F49" s="944"/>
      <c r="G49" s="945"/>
      <c r="H49" s="946"/>
      <c r="I49" s="947"/>
      <c r="J49" s="948"/>
      <c r="K49" s="949"/>
      <c r="L49" s="950"/>
      <c r="M49" s="951"/>
      <c r="N49" s="952"/>
      <c r="O49" s="953"/>
      <c r="P49" s="954"/>
      <c r="Q49" s="955"/>
      <c r="R49" s="956"/>
      <c r="S49" s="957"/>
      <c r="T49" s="739"/>
      <c r="U49" s="739"/>
      <c r="V49" s="739"/>
      <c r="W49" s="958"/>
      <c r="X49" s="739"/>
    </row>
    <row r="50" ht="19.5" customHeight="1">
      <c r="A50" s="959"/>
      <c r="B50" s="960" t="s">
        <v>2352</v>
      </c>
      <c r="C50" s="960"/>
      <c r="D50" s="961"/>
      <c r="E50" s="961"/>
      <c r="F50" s="961"/>
      <c r="G50" s="961"/>
      <c r="H50" s="962"/>
      <c r="I50" s="962"/>
      <c r="J50" s="962"/>
      <c r="K50" s="961"/>
      <c r="L50" s="963">
        <f t="shared" ref="L50:M50" si="6">SUBTOTAL(9,L8:L48)</f>
        <v>2811909.389</v>
      </c>
      <c r="M50" s="964">
        <f t="shared" si="6"/>
        <v>766085.0633</v>
      </c>
      <c r="N50" s="965"/>
      <c r="O50" s="966">
        <f>1</f>
        <v>1</v>
      </c>
      <c r="P50" s="967"/>
      <c r="Q50" s="963">
        <f>SUBTOTAL(9,Q8:Q48)</f>
        <v>14566.78707</v>
      </c>
      <c r="R50" s="961"/>
      <c r="S50" s="968"/>
      <c r="T50" s="969"/>
      <c r="U50" s="969"/>
      <c r="V50" s="969"/>
      <c r="AB50" s="879">
        <v>0.0</v>
      </c>
    </row>
    <row r="51" ht="7.5" customHeight="1">
      <c r="B51" s="970"/>
      <c r="C51" s="971"/>
      <c r="D51" s="971"/>
      <c r="E51" s="971"/>
      <c r="F51" s="971"/>
      <c r="G51" s="971"/>
      <c r="H51" s="972"/>
      <c r="I51" s="971"/>
      <c r="J51" s="971"/>
      <c r="K51" s="971"/>
      <c r="L51" s="973"/>
      <c r="M51" s="973"/>
      <c r="N51" s="973"/>
      <c r="O51" s="974"/>
      <c r="P51" s="975"/>
      <c r="Q51" s="971"/>
      <c r="R51" s="973"/>
      <c r="S51" s="971"/>
      <c r="T51" s="739"/>
      <c r="U51" s="739"/>
      <c r="V51" s="739"/>
    </row>
    <row r="52" ht="15.75" customHeight="1">
      <c r="B52" s="833" t="s">
        <v>2353</v>
      </c>
      <c r="C52" s="976"/>
      <c r="D52" s="834"/>
      <c r="E52" s="834"/>
      <c r="F52" s="834"/>
      <c r="G52" s="834"/>
      <c r="H52" s="977"/>
      <c r="I52" s="977"/>
      <c r="J52" s="977"/>
      <c r="K52" s="834"/>
      <c r="L52" s="835"/>
      <c r="M52" s="978"/>
      <c r="N52" s="979"/>
      <c r="O52" s="980"/>
      <c r="P52" s="981"/>
      <c r="Q52" s="835"/>
      <c r="R52" s="834"/>
      <c r="S52" s="982">
        <f>IFERROR(SUMPRODUCT(L8:L48,S8:S48)/SUBTOTAL(9,L8:L48),0)</f>
        <v>0.6420617448</v>
      </c>
      <c r="T52" s="741"/>
      <c r="U52" s="741"/>
      <c r="V52" s="741"/>
      <c r="AB52" s="879">
        <v>0.0</v>
      </c>
    </row>
    <row r="53" ht="15.75" customHeight="1">
      <c r="B53" s="836" t="s">
        <v>2354</v>
      </c>
      <c r="C53" s="983"/>
      <c r="D53" s="837"/>
      <c r="E53" s="837"/>
      <c r="F53" s="837"/>
      <c r="G53" s="837"/>
      <c r="H53" s="984"/>
      <c r="I53" s="984"/>
      <c r="J53" s="984"/>
      <c r="K53" s="837"/>
      <c r="L53" s="838"/>
      <c r="M53" s="985"/>
      <c r="N53" s="986"/>
      <c r="O53" s="987"/>
      <c r="P53" s="988"/>
      <c r="Q53" s="838"/>
      <c r="R53" s="989">
        <f>IFERROR(SUMPRODUCT(L8:L48,R8:R48)/SUBTOTAL(9,L8:L48),0)</f>
        <v>1.331058161</v>
      </c>
      <c r="S53" s="990"/>
      <c r="T53" s="742"/>
      <c r="U53" s="742"/>
      <c r="V53" s="742"/>
      <c r="AB53" s="879">
        <v>0.0</v>
      </c>
    </row>
    <row r="54" ht="15.75" customHeight="1">
      <c r="B54" s="833" t="s">
        <v>2355</v>
      </c>
      <c r="C54" s="976"/>
      <c r="D54" s="834"/>
      <c r="E54" s="834"/>
      <c r="F54" s="834"/>
      <c r="G54" s="834"/>
      <c r="H54" s="977"/>
      <c r="I54" s="977"/>
      <c r="J54" s="977"/>
      <c r="K54" s="834"/>
      <c r="L54" s="835"/>
      <c r="M54" s="978"/>
      <c r="N54" s="979"/>
      <c r="O54" s="980"/>
      <c r="P54" s="981"/>
      <c r="Q54" s="835">
        <f>Q50</f>
        <v>14566.78707</v>
      </c>
      <c r="R54" s="834"/>
      <c r="S54" s="982"/>
      <c r="T54" s="783"/>
      <c r="U54" s="783"/>
      <c r="V54" s="783"/>
      <c r="AB54" s="879">
        <v>0.0</v>
      </c>
    </row>
    <row r="55" ht="15.75" customHeight="1">
      <c r="B55" s="836" t="s">
        <v>1647</v>
      </c>
      <c r="C55" s="983" t="s">
        <v>251</v>
      </c>
      <c r="D55" s="837" t="s">
        <v>2140</v>
      </c>
      <c r="E55" s="837" t="s">
        <v>2356</v>
      </c>
      <c r="F55" s="837" t="s">
        <v>1648</v>
      </c>
      <c r="G55" s="837" t="s">
        <v>2357</v>
      </c>
      <c r="H55" s="984"/>
      <c r="I55" s="984"/>
      <c r="J55" s="984"/>
      <c r="K55" s="837"/>
      <c r="L55" s="838"/>
      <c r="M55" s="985"/>
      <c r="N55" s="986"/>
      <c r="O55" s="987"/>
      <c r="P55" s="988"/>
      <c r="Q55" s="838"/>
      <c r="R55" s="837"/>
      <c r="S55" s="990"/>
      <c r="AB55" s="879">
        <v>0.0</v>
      </c>
    </row>
    <row r="56" ht="15.75" customHeight="1">
      <c r="B56" s="833" t="s">
        <v>2358</v>
      </c>
      <c r="C56" s="976"/>
      <c r="D56" s="834"/>
      <c r="E56" s="834"/>
      <c r="F56" s="834"/>
      <c r="G56" s="834"/>
      <c r="H56" s="977"/>
      <c r="I56" s="977"/>
      <c r="J56" s="977"/>
      <c r="K56" s="834"/>
      <c r="L56" s="835"/>
      <c r="M56" s="978"/>
      <c r="N56" s="979"/>
      <c r="O56" s="980"/>
      <c r="P56" s="981"/>
      <c r="Q56" s="835"/>
      <c r="R56" s="834"/>
      <c r="S56" s="982"/>
      <c r="T56" s="741"/>
      <c r="U56" s="741"/>
      <c r="V56" s="741"/>
      <c r="AB56" s="879">
        <v>0.0</v>
      </c>
    </row>
    <row r="57" ht="15.75" customHeight="1">
      <c r="B57" s="836" t="s">
        <v>1655</v>
      </c>
      <c r="C57" s="991" t="str">
        <f>'📈 PORTEFEUILLE'!L71</f>
        <v/>
      </c>
      <c r="D57" s="838" t="str">
        <f>'📈 PORTEFEUILLE'!M71</f>
        <v/>
      </c>
      <c r="E57" s="987">
        <f>IF('📈 PORTEFEUILLE'!L67&gt;0,'📈 PORTEFEUILLE'!L71/'📈 PORTEFEUILLE'!L67,0)</f>
        <v>0</v>
      </c>
      <c r="F57" s="992">
        <f>COUNTIFS('📈 PORTEFEUILLE'!E14:E64,"T2",'📈 PORTEFEUILLE'!G14:G64,"&gt;0")</f>
        <v>9</v>
      </c>
      <c r="G57" s="838">
        <f>SUMIF(E9:E50,"T2",R9:R50)</f>
        <v>10.45</v>
      </c>
      <c r="H57" s="984"/>
      <c r="I57" s="984"/>
      <c r="J57" s="984"/>
      <c r="K57" s="837"/>
      <c r="L57" s="838"/>
      <c r="M57" s="985"/>
      <c r="N57" s="986"/>
      <c r="O57" s="987"/>
      <c r="P57" s="988"/>
      <c r="Q57" s="838"/>
      <c r="R57" s="837"/>
      <c r="S57" s="990"/>
      <c r="AB57" s="879">
        <v>0.0</v>
      </c>
    </row>
    <row r="58" ht="15.75" customHeight="1">
      <c r="B58" s="833" t="s">
        <v>1408</v>
      </c>
      <c r="C58" s="993" t="str">
        <f>'📈 PORTEFEUILLE'!L72</f>
        <v/>
      </c>
      <c r="D58" s="835" t="str">
        <f>'📈 PORTEFEUILLE'!M72</f>
        <v/>
      </c>
      <c r="E58" s="980">
        <f>IF('📈 PORTEFEUILLE'!L67&gt;0,'📈 PORTEFEUILLE'!L72/'📈 PORTEFEUILLE'!L67,0)</f>
        <v>0</v>
      </c>
      <c r="F58" s="994">
        <f>COUNTIFS('📈 PORTEFEUILLE'!E14:E64,"T3",'📈 PORTEFEUILLE'!G14:G64,"&gt;0")</f>
        <v>9</v>
      </c>
      <c r="G58" s="835">
        <f>SUMIF(E9:E50,"T3",R9:R50)</f>
        <v>6.65</v>
      </c>
      <c r="H58" s="977"/>
      <c r="I58" s="977"/>
      <c r="J58" s="977"/>
      <c r="K58" s="834"/>
      <c r="L58" s="835"/>
      <c r="M58" s="978"/>
      <c r="N58" s="979"/>
      <c r="O58" s="980"/>
      <c r="P58" s="981"/>
      <c r="Q58" s="835"/>
      <c r="R58" s="834"/>
      <c r="S58" s="982"/>
      <c r="AB58" s="879">
        <v>0.0</v>
      </c>
    </row>
    <row r="59" ht="15.75" customHeight="1">
      <c r="B59" s="836" t="s">
        <v>1413</v>
      </c>
      <c r="C59" s="991">
        <f>'📈 PORTEFEUILLE'!L73</f>
        <v>46900.48111</v>
      </c>
      <c r="D59" s="838">
        <f>'📈 PORTEFEUILLE'!M73</f>
        <v>34589.92633</v>
      </c>
      <c r="E59" s="987">
        <f>IF('📈 PORTEFEUILLE'!L67&gt;0,'📈 PORTEFEUILLE'!L73/'📈 PORTEFEUILLE'!L67,0)</f>
        <v>37222.60405</v>
      </c>
      <c r="F59" s="992">
        <f>COUNTIFS('📈 PORTEFEUILLE'!E14:E64,"T4",'📈 PORTEFEUILLE'!G14:G64,"&gt;0")</f>
        <v>10</v>
      </c>
      <c r="G59" s="838">
        <f>SUMIF(E9:E50,"T4",R9:R50)</f>
        <v>10.5</v>
      </c>
      <c r="H59" s="984"/>
      <c r="I59" s="984"/>
      <c r="J59" s="984"/>
      <c r="K59" s="837"/>
      <c r="L59" s="838"/>
      <c r="M59" s="985"/>
      <c r="N59" s="986"/>
      <c r="O59" s="987"/>
      <c r="P59" s="988"/>
      <c r="Q59" s="838"/>
      <c r="R59" s="837"/>
      <c r="S59" s="990"/>
      <c r="AB59" s="879">
        <v>0.0</v>
      </c>
    </row>
    <row r="60" ht="15.75" customHeight="1">
      <c r="B60" s="833" t="s">
        <v>2359</v>
      </c>
      <c r="C60" s="993">
        <f>'📈 PORTEFEUILLE'!L74</f>
        <v>8519.051159</v>
      </c>
      <c r="D60" s="835">
        <f>'📈 PORTEFEUILLE'!M74</f>
        <v>6282.94945</v>
      </c>
      <c r="E60" s="980">
        <f>IF('📈 PORTEFEUILLE'!L67&gt;0,'📈 PORTEFEUILLE'!L74/'📈 PORTEFEUILLE'!L67,0)</f>
        <v>6761.151713</v>
      </c>
      <c r="F60" s="994">
        <f>COUNTIFS('📈 PORTEFEUILLE'!E14:E64,"T5",'📈 PORTEFEUILLE'!G14:G64,"&gt;0")</f>
        <v>0</v>
      </c>
      <c r="G60" s="835">
        <f>SUMIF(E9:E50,"T5",R9:R50)</f>
        <v>0</v>
      </c>
      <c r="H60" s="977"/>
      <c r="I60" s="977"/>
      <c r="J60" s="977"/>
      <c r="K60" s="834"/>
      <c r="L60" s="835"/>
      <c r="M60" s="978"/>
      <c r="N60" s="979"/>
      <c r="O60" s="980"/>
      <c r="P60" s="981"/>
      <c r="Q60" s="835"/>
      <c r="R60" s="834"/>
      <c r="S60" s="982"/>
      <c r="AB60" s="879">
        <v>0.0</v>
      </c>
    </row>
    <row r="61" ht="15.75" customHeight="1"/>
    <row r="62" ht="15.75" customHeight="1"/>
    <row r="63" ht="15.75" customHeight="1">
      <c r="B63" s="836" t="s">
        <v>2360</v>
      </c>
      <c r="C63" s="983"/>
      <c r="D63" s="837"/>
      <c r="E63" s="837"/>
      <c r="F63" s="837"/>
      <c r="G63" s="837"/>
      <c r="H63" s="984"/>
      <c r="I63" s="984"/>
      <c r="J63" s="984"/>
      <c r="K63" s="837"/>
      <c r="L63" s="838"/>
      <c r="M63" s="985"/>
      <c r="N63" s="986"/>
      <c r="O63" s="987"/>
      <c r="P63" s="988"/>
      <c r="Q63" s="838"/>
      <c r="R63" s="837"/>
      <c r="S63" s="990"/>
      <c r="AB63" s="879">
        <v>0.0</v>
      </c>
    </row>
    <row r="64" ht="15.75" customHeight="1">
      <c r="B64" s="833" t="s">
        <v>2361</v>
      </c>
      <c r="C64" s="993">
        <f>SUM(R9:R50)</f>
        <v>39.05</v>
      </c>
      <c r="D64" s="834"/>
      <c r="E64" s="834"/>
      <c r="F64" s="834"/>
      <c r="G64" s="834"/>
      <c r="H64" s="977"/>
      <c r="I64" s="977"/>
      <c r="J64" s="977"/>
      <c r="K64" s="834"/>
      <c r="L64" s="835"/>
      <c r="M64" s="978"/>
      <c r="N64" s="979"/>
      <c r="O64" s="980"/>
      <c r="P64" s="981"/>
      <c r="Q64" s="835"/>
      <c r="R64" s="834"/>
      <c r="S64" s="982"/>
      <c r="AB64" s="879">
        <v>0.0</v>
      </c>
    </row>
    <row r="65" ht="15.75" customHeight="1">
      <c r="B65" s="836" t="s">
        <v>2362</v>
      </c>
      <c r="C65" s="991">
        <f>IFERROR(C64/12,0)</f>
        <v>3.254166667</v>
      </c>
      <c r="D65" s="837"/>
      <c r="E65" s="837"/>
      <c r="F65" s="837"/>
      <c r="G65" s="837"/>
      <c r="H65" s="984"/>
      <c r="I65" s="984"/>
      <c r="J65" s="984"/>
      <c r="K65" s="837"/>
      <c r="L65" s="838"/>
      <c r="M65" s="985"/>
      <c r="N65" s="986"/>
      <c r="O65" s="987"/>
      <c r="P65" s="988"/>
      <c r="Q65" s="838"/>
      <c r="R65" s="837"/>
      <c r="S65" s="990"/>
      <c r="AB65" s="879">
        <v>0.0</v>
      </c>
    </row>
    <row r="66" ht="15.75" customHeight="1">
      <c r="B66" s="833" t="s">
        <v>2363</v>
      </c>
      <c r="C66" s="995">
        <f>IF('📈 PORTEFEUILLE'!L67&gt;0,C64/'📈 PORTEFEUILLE'!L67,0)</f>
        <v>30.99206349</v>
      </c>
      <c r="D66" s="834"/>
      <c r="E66" s="834"/>
      <c r="F66" s="834"/>
      <c r="G66" s="834"/>
      <c r="H66" s="977"/>
      <c r="I66" s="977"/>
      <c r="J66" s="977"/>
      <c r="K66" s="834"/>
      <c r="L66" s="835"/>
      <c r="M66" s="978"/>
      <c r="N66" s="979"/>
      <c r="O66" s="980"/>
      <c r="P66" s="981"/>
      <c r="Q66" s="835"/>
      <c r="R66" s="834"/>
      <c r="S66" s="982"/>
      <c r="AB66" s="879">
        <v>0.0</v>
      </c>
    </row>
    <row r="67" ht="15.75" customHeight="1">
      <c r="B67" s="836" t="s">
        <v>2364</v>
      </c>
      <c r="C67" s="991">
        <v>84000.0</v>
      </c>
      <c r="D67" s="837"/>
      <c r="E67" s="837"/>
      <c r="F67" s="837"/>
      <c r="G67" s="837"/>
      <c r="H67" s="984"/>
      <c r="I67" s="984"/>
      <c r="J67" s="984"/>
      <c r="K67" s="837"/>
      <c r="L67" s="838"/>
      <c r="M67" s="985"/>
      <c r="N67" s="986"/>
      <c r="O67" s="987"/>
      <c r="P67" s="988"/>
      <c r="Q67" s="838"/>
      <c r="R67" s="837"/>
      <c r="S67" s="990"/>
      <c r="AB67" s="879">
        <v>0.0</v>
      </c>
    </row>
    <row r="68" ht="15.75" customHeight="1">
      <c r="B68" s="833" t="s">
        <v>2365</v>
      </c>
      <c r="C68" s="993">
        <f>MAX(0,C67-C64)</f>
        <v>83960.95</v>
      </c>
      <c r="D68" s="834"/>
      <c r="E68" s="834"/>
      <c r="F68" s="834"/>
      <c r="G68" s="834"/>
      <c r="H68" s="977"/>
      <c r="I68" s="977"/>
      <c r="J68" s="977"/>
      <c r="K68" s="834"/>
      <c r="L68" s="835"/>
      <c r="M68" s="978"/>
      <c r="N68" s="979"/>
      <c r="O68" s="980"/>
      <c r="P68" s="981"/>
      <c r="Q68" s="835"/>
      <c r="R68" s="834"/>
      <c r="S68" s="982"/>
      <c r="AB68" s="879">
        <v>0.0</v>
      </c>
    </row>
    <row r="69" ht="15.75" customHeight="1"/>
    <row r="70" ht="15.75" customHeight="1"/>
    <row r="71" ht="15.75" customHeight="1">
      <c r="B71" s="836" t="s">
        <v>2366</v>
      </c>
      <c r="C71" s="983"/>
      <c r="D71" s="837"/>
      <c r="E71" s="837"/>
      <c r="F71" s="837"/>
      <c r="G71" s="837"/>
      <c r="H71" s="984"/>
      <c r="I71" s="984"/>
      <c r="J71" s="984"/>
      <c r="K71" s="837"/>
      <c r="L71" s="838"/>
      <c r="M71" s="985"/>
      <c r="N71" s="986"/>
      <c r="O71" s="987"/>
      <c r="P71" s="988"/>
      <c r="Q71" s="838"/>
      <c r="R71" s="837"/>
      <c r="S71" s="990"/>
      <c r="AB71" s="879">
        <v>0.0</v>
      </c>
    </row>
    <row r="72" ht="15.75" customHeight="1">
      <c r="B72" s="833" t="s">
        <v>2367</v>
      </c>
      <c r="C72" s="976" t="s">
        <v>2368</v>
      </c>
      <c r="D72" s="834"/>
      <c r="E72" s="834"/>
      <c r="F72" s="834"/>
      <c r="G72" s="834"/>
      <c r="H72" s="977"/>
      <c r="I72" s="977"/>
      <c r="J72" s="977"/>
      <c r="K72" s="834"/>
      <c r="L72" s="835"/>
      <c r="M72" s="978"/>
      <c r="N72" s="979"/>
      <c r="O72" s="980"/>
      <c r="P72" s="981"/>
      <c r="Q72" s="835"/>
      <c r="R72" s="834"/>
      <c r="S72" s="982"/>
      <c r="AB72" s="879">
        <v>0.0</v>
      </c>
    </row>
    <row r="73" ht="15.75" customHeight="1">
      <c r="B73" s="836" t="s">
        <v>2369</v>
      </c>
      <c r="C73" s="983" t="s">
        <v>2370</v>
      </c>
      <c r="D73" s="837"/>
      <c r="E73" s="837"/>
      <c r="F73" s="837"/>
      <c r="G73" s="837"/>
      <c r="H73" s="984"/>
      <c r="I73" s="984"/>
      <c r="J73" s="984"/>
      <c r="K73" s="837"/>
      <c r="L73" s="838"/>
      <c r="M73" s="985"/>
      <c r="N73" s="986"/>
      <c r="O73" s="987"/>
      <c r="P73" s="988"/>
      <c r="Q73" s="838"/>
      <c r="R73" s="837"/>
      <c r="S73" s="990"/>
      <c r="AB73" s="879">
        <v>0.0</v>
      </c>
    </row>
    <row r="74" ht="15.75" customHeight="1">
      <c r="B74" s="833" t="s">
        <v>2371</v>
      </c>
      <c r="C74" s="976" t="s">
        <v>2372</v>
      </c>
      <c r="D74" s="834"/>
      <c r="E74" s="834"/>
      <c r="F74" s="834"/>
      <c r="G74" s="834"/>
      <c r="H74" s="977"/>
      <c r="I74" s="977"/>
      <c r="J74" s="977"/>
      <c r="K74" s="834"/>
      <c r="L74" s="835"/>
      <c r="M74" s="978"/>
      <c r="N74" s="979"/>
      <c r="O74" s="980"/>
      <c r="P74" s="981"/>
      <c r="Q74" s="835"/>
      <c r="R74" s="834"/>
      <c r="S74" s="982"/>
      <c r="AB74" s="879">
        <v>0.0</v>
      </c>
    </row>
    <row r="75" ht="15.75" customHeight="1">
      <c r="B75" s="836" t="s">
        <v>2373</v>
      </c>
      <c r="C75" s="983" t="s">
        <v>2374</v>
      </c>
      <c r="D75" s="837"/>
      <c r="E75" s="837"/>
      <c r="F75" s="837"/>
      <c r="G75" s="837"/>
      <c r="H75" s="984"/>
      <c r="I75" s="984"/>
      <c r="J75" s="984"/>
      <c r="K75" s="837"/>
      <c r="L75" s="838"/>
      <c r="M75" s="985"/>
      <c r="N75" s="986"/>
      <c r="O75" s="987"/>
      <c r="P75" s="988"/>
      <c r="Q75" s="838"/>
      <c r="R75" s="837"/>
      <c r="S75" s="990"/>
      <c r="AB75" s="879">
        <v>0.0</v>
      </c>
    </row>
    <row r="76" ht="15.75" customHeight="1">
      <c r="B76" s="833" t="s">
        <v>2375</v>
      </c>
      <c r="C76" s="976" t="s">
        <v>2376</v>
      </c>
      <c r="D76" s="834"/>
      <c r="E76" s="834"/>
      <c r="F76" s="834"/>
      <c r="G76" s="834"/>
      <c r="H76" s="977"/>
      <c r="I76" s="977"/>
      <c r="J76" s="977"/>
      <c r="K76" s="834"/>
      <c r="L76" s="835"/>
      <c r="M76" s="978"/>
      <c r="N76" s="979"/>
      <c r="O76" s="980"/>
      <c r="P76" s="981"/>
      <c r="Q76" s="835"/>
      <c r="R76" s="834"/>
      <c r="S76" s="982"/>
      <c r="AB76" s="879">
        <v>0.0</v>
      </c>
    </row>
    <row r="77" ht="15.75" customHeight="1">
      <c r="B77" s="836" t="s">
        <v>2377</v>
      </c>
      <c r="C77" s="983" t="s">
        <v>2378</v>
      </c>
      <c r="D77" s="837"/>
      <c r="E77" s="837"/>
      <c r="F77" s="837"/>
      <c r="G77" s="837"/>
      <c r="H77" s="984"/>
      <c r="I77" s="984"/>
      <c r="J77" s="984"/>
      <c r="K77" s="837"/>
      <c r="L77" s="838"/>
      <c r="M77" s="985"/>
      <c r="N77" s="986"/>
      <c r="O77" s="987"/>
      <c r="P77" s="988"/>
      <c r="Q77" s="838"/>
      <c r="R77" s="837"/>
      <c r="S77" s="990"/>
      <c r="AB77" s="879">
        <v>0.0</v>
      </c>
    </row>
    <row r="78" ht="15.75" customHeight="1">
      <c r="B78" s="833" t="s">
        <v>2379</v>
      </c>
      <c r="C78" s="976" t="s">
        <v>2380</v>
      </c>
      <c r="D78" s="834"/>
      <c r="E78" s="834"/>
      <c r="F78" s="834"/>
      <c r="G78" s="834"/>
      <c r="H78" s="977"/>
      <c r="I78" s="977"/>
      <c r="J78" s="977"/>
      <c r="K78" s="834"/>
      <c r="L78" s="835"/>
      <c r="M78" s="978"/>
      <c r="N78" s="979"/>
      <c r="O78" s="980"/>
      <c r="P78" s="981"/>
      <c r="Q78" s="835"/>
      <c r="R78" s="834"/>
      <c r="S78" s="982"/>
      <c r="AB78" s="879">
        <v>0.0</v>
      </c>
    </row>
    <row r="79" ht="6.0" customHeight="1"/>
    <row r="80" ht="15.75" customHeight="1">
      <c r="B80" s="833" t="s">
        <v>2381</v>
      </c>
      <c r="C80" s="976"/>
      <c r="D80" s="834"/>
      <c r="E80" s="834"/>
      <c r="F80" s="834"/>
      <c r="G80" s="834"/>
      <c r="H80" s="977"/>
      <c r="I80" s="977"/>
      <c r="J80" s="977"/>
      <c r="K80" s="834"/>
      <c r="L80" s="835"/>
      <c r="M80" s="978"/>
      <c r="N80" s="979"/>
      <c r="O80" s="980"/>
      <c r="P80" s="981"/>
      <c r="Q80" s="835"/>
      <c r="R80" s="834"/>
      <c r="S80" s="982"/>
      <c r="AB80" s="879">
        <v>0.0</v>
      </c>
    </row>
    <row r="81" ht="15.75" customHeight="1">
      <c r="B81" s="836" t="s">
        <v>1771</v>
      </c>
      <c r="C81" s="983" t="s">
        <v>251</v>
      </c>
      <c r="D81" s="837" t="s">
        <v>2382</v>
      </c>
      <c r="E81" s="837" t="s">
        <v>1937</v>
      </c>
      <c r="F81" s="837" t="s">
        <v>2383</v>
      </c>
      <c r="G81" s="837" t="s">
        <v>272</v>
      </c>
      <c r="H81" s="984"/>
      <c r="I81" s="984"/>
      <c r="J81" s="984"/>
      <c r="K81" s="837"/>
      <c r="L81" s="838"/>
      <c r="M81" s="985"/>
      <c r="N81" s="986"/>
      <c r="O81" s="987"/>
      <c r="P81" s="988"/>
      <c r="Q81" s="838"/>
      <c r="R81" s="837"/>
      <c r="S81" s="990"/>
      <c r="AB81" s="879">
        <v>0.0</v>
      </c>
    </row>
    <row r="82" ht="15.75" customHeight="1">
      <c r="B82" s="833" t="s">
        <v>2384</v>
      </c>
      <c r="C82" s="996">
        <f>SUMPRODUCT((F8:F48="TFSA")*L8:L48)</f>
        <v>0</v>
      </c>
      <c r="D82" s="834" t="s">
        <v>593</v>
      </c>
      <c r="E82" s="834" t="s">
        <v>593</v>
      </c>
      <c r="F82" s="980" t="s">
        <v>593</v>
      </c>
      <c r="G82" s="834" t="s">
        <v>2385</v>
      </c>
      <c r="H82" s="977"/>
      <c r="I82" s="977"/>
      <c r="J82" s="977"/>
      <c r="K82" s="834"/>
      <c r="L82" s="835"/>
      <c r="M82" s="978"/>
      <c r="N82" s="979"/>
      <c r="O82" s="980"/>
      <c r="P82" s="981"/>
      <c r="Q82" s="835"/>
      <c r="R82" s="834"/>
      <c r="S82" s="982"/>
      <c r="AB82" s="879">
        <v>0.0</v>
      </c>
    </row>
    <row r="83" ht="15.75" customHeight="1">
      <c r="B83" s="836" t="s">
        <v>2386</v>
      </c>
      <c r="C83" s="997">
        <f>SUMPRODUCT((F8:F48="TFSA")*Y8:Y48*L8:L48)</f>
        <v>0</v>
      </c>
      <c r="D83" s="987">
        <f>IF(SUMPRODUCT((F8:F48="TFSA")*L8:L48)&gt;0,SUMPRODUCT((F8:F48="TFSA")*Y8:Y48*L8:L48)/SUMPRODUCT((F8:F48="TFSA")*L8:L48),0)</f>
        <v>0</v>
      </c>
      <c r="E83" s="837" t="s">
        <v>2387</v>
      </c>
      <c r="F83" s="987" t="str">
        <f>IF(SUMPRODUCT((F8:F48="TFSA")*L8:L48)&gt;0,SUMPRODUCT((F8:F48="TFSA")*Y8:Y48*L8:L48)/SUMPRODUCT((F8:F48="TFSA")*L8:L48)-0.8,"")</f>
        <v/>
      </c>
      <c r="G83" s="837" t="str">
        <f>IF(SUMPRODUCT((F8:F48="TFSA")*L8:L48)&gt;0,IF(SUMPRODUCT((F8:F48="TFSA")*Y8:Y48*L8:L48)/SUMPRODUCT((F8:F48="TFSA")*L8:L48)&gt;=0.8,"OK","REVOIR"),"")</f>
        <v/>
      </c>
      <c r="H83" s="984"/>
      <c r="I83" s="984"/>
      <c r="J83" s="984"/>
      <c r="K83" s="837"/>
      <c r="L83" s="838"/>
      <c r="M83" s="985"/>
      <c r="N83" s="986"/>
      <c r="O83" s="987"/>
      <c r="P83" s="988"/>
      <c r="Q83" s="838"/>
      <c r="R83" s="837"/>
      <c r="S83" s="990"/>
      <c r="AB83" s="879">
        <v>0.0</v>
      </c>
    </row>
    <row r="84" ht="15.75" customHeight="1">
      <c r="B84" s="833" t="s">
        <v>2388</v>
      </c>
      <c r="C84" s="996">
        <f>SUMPRODUCT((F8:F48="TFSA")*(1-Y8:Y48)*L8:L48)</f>
        <v>0</v>
      </c>
      <c r="D84" s="980">
        <f>IF(SUMPRODUCT((F8:F48="TFSA")*L8:L48)&gt;0,SUMPRODUCT((F8:F48="TFSA")*(1-Y8:Y48)*L8:L48)/SUMPRODUCT((F8:F48="TFSA")*L8:L48),0)</f>
        <v>0</v>
      </c>
      <c r="E84" s="834" t="s">
        <v>2389</v>
      </c>
      <c r="F84" s="980" t="str">
        <f>IF(SUMPRODUCT((F8:F48="TFSA")*L8:L48)&gt;0,SUMPRODUCT((F8:F48="TFSA")*(1-Y8:Y48)*L8:L48)/SUMPRODUCT((F8:F48="TFSA")*L8:L48)-0.2,"")</f>
        <v/>
      </c>
      <c r="G84" s="834" t="str">
        <f>IF(SUMPRODUCT((F8:F48="TFSA")*L8:L48)&gt;0,IF(SUMPRODUCT((F8:F48="TFSA")*(1-Y8:Y48)*L8:L48)/SUMPRODUCT((F8:F48="TFSA")*L8:L48)&lt;=0.2,"OK","TROP HAUT"),"")</f>
        <v/>
      </c>
      <c r="H84" s="977"/>
      <c r="I84" s="977"/>
      <c r="J84" s="977"/>
      <c r="K84" s="834"/>
      <c r="L84" s="835"/>
      <c r="M84" s="978"/>
      <c r="N84" s="979"/>
      <c r="O84" s="980"/>
      <c r="P84" s="981"/>
      <c r="Q84" s="835"/>
      <c r="R84" s="834"/>
      <c r="S84" s="982"/>
      <c r="AB84" s="879">
        <v>0.0</v>
      </c>
    </row>
    <row r="85" ht="15.75" customHeight="1">
      <c r="B85" s="836" t="s">
        <v>2390</v>
      </c>
      <c r="C85" s="997">
        <f>SUMPRODUCT((F8:F48="TFSA")*Z8:Z48*L8:L48)</f>
        <v>0</v>
      </c>
      <c r="D85" s="987">
        <f>IF(SUMPRODUCT((F8:F48="TFSA")*L8:L48)&gt;0,SUMPRODUCT((F8:F48="TFSA")*Z8:Z48*L8:L48)/SUMPRODUCT((F8:F48="TFSA")*L8:L48),0)</f>
        <v>0</v>
      </c>
      <c r="E85" s="837" t="s">
        <v>2391</v>
      </c>
      <c r="F85" s="987" t="str">
        <f>IF(SUMPRODUCT((F8:F48="TFSA")*L8:L48)&gt;0,SUMPRODUCT((F8:F48="TFSA")*Z8:Z48*L8:L48)/SUMPRODUCT((F8:F48="TFSA")*L8:L48)-0.25,"")</f>
        <v/>
      </c>
      <c r="G85" s="837" t="str">
        <f>IF(SUMPRODUCT((F8:F48="TFSA")*L8:L48)&gt;0,IF(SUMPRODUCT((F8:F48="TFSA")*Z8:Z48*L8:L48)/SUMPRODUCT((F8:F48="TFSA")*L8:L48)&lt;=0.25,"OK","SURVEILLER"),"")</f>
        <v/>
      </c>
      <c r="H85" s="984"/>
      <c r="I85" s="984"/>
      <c r="J85" s="984"/>
      <c r="K85" s="837"/>
      <c r="L85" s="838"/>
      <c r="M85" s="985"/>
      <c r="N85" s="986"/>
      <c r="O85" s="987"/>
      <c r="P85" s="988"/>
      <c r="Q85" s="838"/>
      <c r="R85" s="837"/>
      <c r="S85" s="990"/>
      <c r="AB85" s="879">
        <v>0.0</v>
      </c>
    </row>
    <row r="86" ht="6.0" customHeight="1"/>
    <row r="87" ht="15.75" customHeight="1">
      <c r="B87" s="836" t="s">
        <v>2392</v>
      </c>
      <c r="C87" s="983"/>
      <c r="D87" s="837"/>
      <c r="E87" s="837"/>
      <c r="F87" s="837"/>
      <c r="G87" s="837"/>
      <c r="H87" s="984"/>
      <c r="I87" s="984"/>
      <c r="J87" s="984"/>
      <c r="K87" s="837"/>
      <c r="L87" s="838"/>
      <c r="M87" s="985"/>
      <c r="N87" s="986"/>
      <c r="O87" s="987"/>
      <c r="P87" s="988"/>
      <c r="Q87" s="838"/>
      <c r="R87" s="837"/>
      <c r="S87" s="990"/>
      <c r="AB87" s="879">
        <v>0.0</v>
      </c>
    </row>
    <row r="88" ht="15.75" customHeight="1">
      <c r="B88" s="833" t="s">
        <v>1771</v>
      </c>
      <c r="C88" s="976" t="s">
        <v>2393</v>
      </c>
      <c r="D88" s="834" t="s">
        <v>2394</v>
      </c>
      <c r="E88" s="834" t="s">
        <v>2395</v>
      </c>
      <c r="F88" s="834" t="s">
        <v>2396</v>
      </c>
      <c r="G88" s="834" t="s">
        <v>2397</v>
      </c>
      <c r="H88" s="977"/>
      <c r="I88" s="977"/>
      <c r="J88" s="977"/>
      <c r="K88" s="834"/>
      <c r="L88" s="835"/>
      <c r="M88" s="978"/>
      <c r="N88" s="979"/>
      <c r="O88" s="980"/>
      <c r="P88" s="981"/>
      <c r="Q88" s="835"/>
      <c r="R88" s="834"/>
      <c r="S88" s="982"/>
      <c r="AB88" s="879">
        <v>0.0</v>
      </c>
    </row>
    <row r="89" ht="15.75" customHeight="1">
      <c r="B89" s="836" t="s">
        <v>2398</v>
      </c>
      <c r="C89" s="997">
        <f>SUMPRODUCT((F8:F48="FHSA")*L8:L48)</f>
        <v>0</v>
      </c>
      <c r="D89" s="837" t="s">
        <v>593</v>
      </c>
      <c r="E89" s="837" t="s">
        <v>593</v>
      </c>
      <c r="F89" s="837" t="s">
        <v>593</v>
      </c>
      <c r="G89" s="837" t="s">
        <v>593</v>
      </c>
      <c r="H89" s="984"/>
      <c r="I89" s="984"/>
      <c r="J89" s="984"/>
      <c r="K89" s="837"/>
      <c r="L89" s="838"/>
      <c r="M89" s="985"/>
      <c r="N89" s="986"/>
      <c r="O89" s="987"/>
      <c r="P89" s="988"/>
      <c r="Q89" s="838"/>
      <c r="R89" s="837"/>
      <c r="S89" s="990"/>
      <c r="AB89" s="879">
        <v>0.0</v>
      </c>
    </row>
    <row r="90" ht="15.75" customHeight="1">
      <c r="B90" s="833" t="s">
        <v>2399</v>
      </c>
      <c r="C90" s="998">
        <f>IF(SUMPRODUCT((F8:F48="FHSA")*L8:L48)&gt;0,SUMPRODUCT((F8:F48="FHSA")*Y8:Y48*L8:L48)/SUMPRODUCT((F8:F48="FHSA")*L8:L48),0)</f>
        <v>0</v>
      </c>
      <c r="D90" s="834" t="s">
        <v>2400</v>
      </c>
      <c r="E90" s="834" t="s">
        <v>2401</v>
      </c>
      <c r="F90" s="834" t="s">
        <v>2402</v>
      </c>
      <c r="G90" s="834" t="str">
        <f>IF(SUMPRODUCT((F8:F48="FHSA")*L8:L48)&gt;0,IF(SUMPRODUCT((F8:F48="FHSA")*Y8:Y48*L8:L48)/SUMPRODUCT((F8:F48="FHSA")*L8:L48)&lt;=0.7,"OK","TROP ELEVE"),"")</f>
        <v/>
      </c>
      <c r="H90" s="977"/>
      <c r="I90" s="977"/>
      <c r="J90" s="977"/>
      <c r="K90" s="834"/>
      <c r="L90" s="835"/>
      <c r="M90" s="978"/>
      <c r="N90" s="979"/>
      <c r="O90" s="980"/>
      <c r="P90" s="981"/>
      <c r="Q90" s="835"/>
      <c r="R90" s="834"/>
      <c r="S90" s="982"/>
      <c r="AB90" s="879">
        <v>0.0</v>
      </c>
    </row>
    <row r="91" ht="15.75" customHeight="1">
      <c r="B91" s="836" t="s">
        <v>2403</v>
      </c>
      <c r="C91" s="999">
        <f>IF(SUMPRODUCT((F8:F48="FHSA")*L8:L48)&gt;0,SUMPRODUCT((F8:F48="FHSA")*(1-Y8:Y48)*L8:L48)/SUMPRODUCT((F8:F48="FHSA")*L8:L48),0)</f>
        <v>0</v>
      </c>
      <c r="D91" s="837" t="s">
        <v>2402</v>
      </c>
      <c r="E91" s="837" t="s">
        <v>2401</v>
      </c>
      <c r="F91" s="837" t="s">
        <v>2400</v>
      </c>
      <c r="G91" s="837" t="str">
        <f>IF(SUMPRODUCT((F8:F48="FHSA")*L8:L48)&gt;0,IF(SUMPRODUCT((F8:F48="FHSA")*(1-Y8:Y48)*L8:L48)/SUMPRODUCT((F8:F48="FHSA")*L8:L48)&lt;=0.3,"OK","A DILUER"),"")</f>
        <v/>
      </c>
      <c r="H91" s="984"/>
      <c r="I91" s="984"/>
      <c r="J91" s="984"/>
      <c r="K91" s="837"/>
      <c r="L91" s="838"/>
      <c r="M91" s="985"/>
      <c r="N91" s="986"/>
      <c r="O91" s="987"/>
      <c r="P91" s="988"/>
      <c r="Q91" s="838"/>
      <c r="R91" s="837"/>
      <c r="S91" s="990"/>
      <c r="AB91" s="879">
        <v>0.0</v>
      </c>
    </row>
    <row r="92" ht="15.75" customHeight="1">
      <c r="B92" s="833" t="s">
        <v>2404</v>
      </c>
      <c r="C92" s="1000" t="s">
        <v>2405</v>
      </c>
      <c r="D92" s="834" t="s">
        <v>1247</v>
      </c>
      <c r="E92" s="834" t="s">
        <v>2406</v>
      </c>
      <c r="F92" s="834" t="s">
        <v>2407</v>
      </c>
      <c r="G92" s="834" t="s">
        <v>593</v>
      </c>
      <c r="H92" s="977"/>
      <c r="I92" s="977"/>
      <c r="J92" s="977"/>
      <c r="K92" s="834"/>
      <c r="L92" s="835"/>
      <c r="M92" s="978"/>
      <c r="N92" s="979"/>
      <c r="O92" s="980"/>
      <c r="P92" s="981"/>
      <c r="Q92" s="835"/>
      <c r="R92" s="834"/>
      <c r="S92" s="982"/>
      <c r="AB92" s="879">
        <v>0.0</v>
      </c>
    </row>
    <row r="93" ht="15.75" customHeight="1">
      <c r="B93" s="836" t="s">
        <v>2408</v>
      </c>
      <c r="C93" s="983"/>
      <c r="D93" s="837"/>
      <c r="E93" s="837"/>
      <c r="F93" s="837"/>
      <c r="G93" s="837"/>
      <c r="H93" s="984"/>
      <c r="I93" s="984"/>
      <c r="J93" s="984"/>
      <c r="K93" s="837"/>
      <c r="L93" s="838"/>
      <c r="M93" s="985"/>
      <c r="N93" s="986"/>
      <c r="O93" s="987"/>
      <c r="P93" s="988"/>
      <c r="Q93" s="838"/>
      <c r="R93" s="837"/>
      <c r="S93" s="990"/>
      <c r="AB93" s="879">
        <v>0.0</v>
      </c>
    </row>
    <row r="94" ht="6.0" customHeight="1"/>
    <row r="95" ht="15.75" customHeight="1">
      <c r="B95" s="836" t="s">
        <v>2409</v>
      </c>
      <c r="C95" s="983"/>
      <c r="D95" s="837"/>
      <c r="E95" s="837"/>
      <c r="F95" s="837"/>
      <c r="G95" s="837"/>
      <c r="H95" s="984"/>
      <c r="I95" s="984"/>
      <c r="J95" s="984"/>
      <c r="K95" s="837"/>
      <c r="L95" s="838"/>
      <c r="M95" s="985"/>
      <c r="N95" s="986"/>
      <c r="O95" s="987"/>
      <c r="P95" s="988"/>
      <c r="Q95" s="838"/>
      <c r="R95" s="837"/>
      <c r="S95" s="990"/>
      <c r="AB95" s="879">
        <v>0.0</v>
      </c>
    </row>
    <row r="96" ht="15.75" customHeight="1">
      <c r="B96" s="833" t="s">
        <v>2410</v>
      </c>
      <c r="C96" s="976" t="s">
        <v>2411</v>
      </c>
      <c r="D96" s="834" t="s">
        <v>2412</v>
      </c>
      <c r="E96" s="834" t="s">
        <v>1728</v>
      </c>
      <c r="F96" s="834" t="s">
        <v>2413</v>
      </c>
      <c r="G96" s="834" t="s">
        <v>2414</v>
      </c>
      <c r="H96" s="977"/>
      <c r="I96" s="977"/>
      <c r="J96" s="977"/>
      <c r="K96" s="834"/>
      <c r="L96" s="835"/>
      <c r="M96" s="978"/>
      <c r="N96" s="979"/>
      <c r="O96" s="980"/>
      <c r="P96" s="981"/>
      <c r="Q96" s="835"/>
      <c r="R96" s="834"/>
      <c r="S96" s="982"/>
      <c r="AB96" s="879">
        <v>0.0</v>
      </c>
    </row>
    <row r="97" ht="15.75" customHeight="1">
      <c r="B97" s="836" t="s">
        <v>2415</v>
      </c>
      <c r="C97" s="997">
        <f>SUMPRODUCT((F8:F48="REER")*L8:L48)</f>
        <v>0</v>
      </c>
      <c r="D97" s="837"/>
      <c r="E97" s="837"/>
      <c r="F97" s="837"/>
      <c r="G97" s="837" t="s">
        <v>2416</v>
      </c>
      <c r="H97" s="984"/>
      <c r="I97" s="984"/>
      <c r="J97" s="984"/>
      <c r="K97" s="837"/>
      <c r="L97" s="838"/>
      <c r="M97" s="985"/>
      <c r="N97" s="986"/>
      <c r="O97" s="987"/>
      <c r="P97" s="988"/>
      <c r="Q97" s="838"/>
      <c r="R97" s="837"/>
      <c r="S97" s="990"/>
      <c r="AB97" s="879">
        <v>0.0</v>
      </c>
    </row>
    <row r="98" ht="15.75" customHeight="1">
      <c r="B98" s="833" t="s">
        <v>2417</v>
      </c>
      <c r="C98" s="996">
        <f>MIN(SUMPRODUCT((F8:F48="REER")*L8:L48),60000)</f>
        <v>0</v>
      </c>
      <c r="D98" s="1001">
        <v>60000.0</v>
      </c>
      <c r="E98" s="1001">
        <f>MAX(0,D98-C98)</f>
        <v>60000</v>
      </c>
      <c r="F98" s="980">
        <f>IF(D98&gt;0,C98/D98,0)</f>
        <v>0</v>
      </c>
      <c r="G98" s="834" t="s">
        <v>2418</v>
      </c>
      <c r="H98" s="977"/>
      <c r="I98" s="977"/>
      <c r="J98" s="977"/>
      <c r="K98" s="834"/>
      <c r="L98" s="835"/>
      <c r="M98" s="978"/>
      <c r="N98" s="979"/>
      <c r="O98" s="980"/>
      <c r="P98" s="981"/>
      <c r="Q98" s="835"/>
      <c r="R98" s="834"/>
      <c r="S98" s="982"/>
      <c r="AB98" s="879">
        <v>0.0</v>
      </c>
    </row>
    <row r="99" ht="15.75" customHeight="1">
      <c r="B99" s="836" t="s">
        <v>2419</v>
      </c>
      <c r="C99" s="997">
        <f>MAX(0,SUMPRODUCT((F8:F48="REER")*L8:L48)-60000)</f>
        <v>0</v>
      </c>
      <c r="D99" s="837" t="s">
        <v>2420</v>
      </c>
      <c r="E99" s="837" t="s">
        <v>593</v>
      </c>
      <c r="F99" s="837" t="s">
        <v>593</v>
      </c>
      <c r="G99" s="837" t="s">
        <v>2421</v>
      </c>
      <c r="H99" s="984"/>
      <c r="I99" s="984"/>
      <c r="J99" s="984"/>
      <c r="K99" s="837"/>
      <c r="L99" s="838"/>
      <c r="M99" s="985"/>
      <c r="N99" s="986"/>
      <c r="O99" s="987"/>
      <c r="P99" s="988"/>
      <c r="Q99" s="838"/>
      <c r="R99" s="837"/>
      <c r="S99" s="990"/>
      <c r="AB99" s="879">
        <v>0.0</v>
      </c>
    </row>
    <row r="100" ht="15.75" customHeight="1">
      <c r="B100" s="833" t="s">
        <v>2422</v>
      </c>
      <c r="C100" s="996" t="s">
        <v>593</v>
      </c>
      <c r="D100" s="834" t="s">
        <v>593</v>
      </c>
      <c r="E100" s="834" t="s">
        <v>593</v>
      </c>
      <c r="F100" s="834" t="s">
        <v>593</v>
      </c>
      <c r="G100" s="834" t="s">
        <v>2423</v>
      </c>
      <c r="H100" s="977"/>
      <c r="I100" s="977"/>
      <c r="J100" s="977"/>
      <c r="K100" s="834"/>
      <c r="L100" s="835"/>
      <c r="M100" s="978"/>
      <c r="N100" s="979"/>
      <c r="O100" s="980"/>
      <c r="P100" s="981"/>
      <c r="Q100" s="835"/>
      <c r="R100" s="834"/>
      <c r="S100" s="982"/>
      <c r="AB100" s="879">
        <v>0.0</v>
      </c>
    </row>
    <row r="101" ht="6.0" customHeight="1"/>
    <row r="102" ht="15.75" customHeight="1">
      <c r="B102" s="833" t="s">
        <v>2424</v>
      </c>
      <c r="C102" s="976"/>
      <c r="D102" s="834"/>
      <c r="E102" s="834"/>
      <c r="F102" s="834"/>
      <c r="G102" s="834"/>
      <c r="H102" s="977"/>
      <c r="I102" s="977"/>
      <c r="J102" s="977"/>
      <c r="K102" s="834"/>
      <c r="L102" s="835"/>
      <c r="M102" s="978"/>
      <c r="N102" s="979"/>
      <c r="O102" s="980"/>
      <c r="P102" s="981"/>
      <c r="Q102" s="835"/>
      <c r="R102" s="834"/>
      <c r="S102" s="982"/>
      <c r="AB102" s="879">
        <v>0.0</v>
      </c>
    </row>
    <row r="103" ht="15.75" customHeight="1">
      <c r="B103" s="836" t="s">
        <v>2425</v>
      </c>
      <c r="C103" s="983" t="s">
        <v>2426</v>
      </c>
      <c r="D103" s="837" t="s">
        <v>2427</v>
      </c>
      <c r="E103" s="837" t="s">
        <v>2428</v>
      </c>
      <c r="F103" s="837" t="s">
        <v>353</v>
      </c>
      <c r="G103" s="837" t="s">
        <v>2429</v>
      </c>
      <c r="H103" s="984" t="s">
        <v>2430</v>
      </c>
      <c r="I103" s="984" t="s">
        <v>2431</v>
      </c>
      <c r="J103" s="984" t="s">
        <v>2432</v>
      </c>
      <c r="K103" s="837" t="s">
        <v>587</v>
      </c>
      <c r="L103" s="838"/>
      <c r="M103" s="985"/>
      <c r="N103" s="986"/>
      <c r="O103" s="987"/>
      <c r="P103" s="988"/>
      <c r="Q103" s="838"/>
      <c r="R103" s="837"/>
      <c r="S103" s="990"/>
      <c r="AB103" s="879">
        <v>0.0</v>
      </c>
    </row>
    <row r="104" ht="15.75" customHeight="1">
      <c r="B104" s="833" t="s">
        <v>2433</v>
      </c>
      <c r="C104" s="976" t="s">
        <v>2434</v>
      </c>
      <c r="D104" s="982">
        <f>IFERROR(E104/30,0)</f>
        <v>0.3333333333</v>
      </c>
      <c r="E104" s="994">
        <f>IF('🏠 DASHBOARD'!C24&lt;=25000,25,IF('🏠 DASHBOARD'!C24&lt;=50000,18,10))</f>
        <v>10</v>
      </c>
      <c r="F104" s="834" t="s">
        <v>2435</v>
      </c>
      <c r="G104" s="834" t="s">
        <v>593</v>
      </c>
      <c r="H104" s="977" t="s">
        <v>593</v>
      </c>
      <c r="I104" s="977" t="s">
        <v>593</v>
      </c>
      <c r="J104" s="977" t="s">
        <v>593</v>
      </c>
      <c r="K104" s="834" t="str">
        <f t="shared" ref="K104:K107" si="7">IF(H104&gt;G104,"UP","STABLE")</f>
        <v>STABLE</v>
      </c>
      <c r="L104" s="835"/>
      <c r="M104" s="978"/>
      <c r="N104" s="979"/>
      <c r="O104" s="980"/>
      <c r="P104" s="981"/>
      <c r="Q104" s="835"/>
      <c r="R104" s="834"/>
      <c r="S104" s="982"/>
      <c r="AB104" s="879">
        <v>0.0</v>
      </c>
    </row>
    <row r="105" ht="15.75" customHeight="1">
      <c r="B105" s="836" t="s">
        <v>2436</v>
      </c>
      <c r="C105" s="983" t="s">
        <v>2437</v>
      </c>
      <c r="D105" s="990">
        <f t="shared" ref="D105:D106" si="8">IFERROR(E105/25,0)</f>
        <v>1</v>
      </c>
      <c r="E105" s="992">
        <f>MAX(15,25-IF(SUMPRODUCT((F8:F48="FHSA")*Y8:Y48*L8:L48)/MAX(1,SUMPRODUCT((F8:F48="FHSA")*L8:L48))&gt;0.7,10,0))</f>
        <v>25</v>
      </c>
      <c r="F105" s="837" t="s">
        <v>2438</v>
      </c>
      <c r="G105" s="837" t="s">
        <v>593</v>
      </c>
      <c r="H105" s="984" t="s">
        <v>593</v>
      </c>
      <c r="I105" s="984" t="s">
        <v>593</v>
      </c>
      <c r="J105" s="984" t="s">
        <v>593</v>
      </c>
      <c r="K105" s="837" t="str">
        <f t="shared" si="7"/>
        <v>STABLE</v>
      </c>
      <c r="L105" s="838"/>
      <c r="M105" s="985"/>
      <c r="N105" s="986"/>
      <c r="O105" s="987"/>
      <c r="P105" s="988"/>
      <c r="Q105" s="838"/>
      <c r="R105" s="837"/>
      <c r="S105" s="990"/>
      <c r="AB105" s="879">
        <v>0.0</v>
      </c>
    </row>
    <row r="106" ht="15.75" customHeight="1">
      <c r="B106" s="833" t="s">
        <v>2439</v>
      </c>
      <c r="C106" s="976" t="s">
        <v>2437</v>
      </c>
      <c r="D106" s="982">
        <f t="shared" si="8"/>
        <v>0.8</v>
      </c>
      <c r="E106" s="994">
        <f>MAX(12,25-IF(SUMPRODUCT((F8:F48="TFSA")*Z8:Z48*L8:L48)/MAX(1,SUMPRODUCT((F8:F48="TFSA")*L8:L48))&gt;0.25,8,0)-IF(SUMPRODUCT(T8:T48*L8:L48)/MAX(1,SUMPRODUCT(L8:L48))&gt;0.45,5,0))</f>
        <v>20</v>
      </c>
      <c r="F106" s="834" t="s">
        <v>2440</v>
      </c>
      <c r="G106" s="834" t="s">
        <v>593</v>
      </c>
      <c r="H106" s="977" t="s">
        <v>593</v>
      </c>
      <c r="I106" s="977" t="s">
        <v>593</v>
      </c>
      <c r="J106" s="977" t="s">
        <v>593</v>
      </c>
      <c r="K106" s="834" t="str">
        <f t="shared" si="7"/>
        <v>STABLE</v>
      </c>
      <c r="L106" s="835"/>
      <c r="M106" s="978"/>
      <c r="N106" s="979"/>
      <c r="O106" s="980"/>
      <c r="P106" s="981"/>
      <c r="Q106" s="835"/>
      <c r="R106" s="834"/>
      <c r="S106" s="982"/>
      <c r="AB106" s="879">
        <v>0.0</v>
      </c>
    </row>
    <row r="107" ht="15.75" customHeight="1">
      <c r="B107" s="836" t="s">
        <v>2441</v>
      </c>
      <c r="C107" s="983" t="s">
        <v>2442</v>
      </c>
      <c r="D107" s="990">
        <f>IFERROR(E107/20,0)</f>
        <v>0.7</v>
      </c>
      <c r="E107" s="992">
        <f>IF('🏠 DASHBOARD'!J29="OK",20,IF('🏠 DASHBOARD'!J29="EXCES",8,14))</f>
        <v>14</v>
      </c>
      <c r="F107" s="837" t="s">
        <v>2443</v>
      </c>
      <c r="G107" s="837" t="s">
        <v>593</v>
      </c>
      <c r="H107" s="984" t="s">
        <v>593</v>
      </c>
      <c r="I107" s="984" t="s">
        <v>593</v>
      </c>
      <c r="J107" s="984" t="s">
        <v>593</v>
      </c>
      <c r="K107" s="837" t="str">
        <f t="shared" si="7"/>
        <v>STABLE</v>
      </c>
      <c r="L107" s="838"/>
      <c r="M107" s="985"/>
      <c r="N107" s="986"/>
      <c r="O107" s="987"/>
      <c r="P107" s="988"/>
      <c r="Q107" s="838"/>
      <c r="R107" s="837"/>
      <c r="S107" s="990"/>
      <c r="AB107" s="879">
        <v>0.0</v>
      </c>
    </row>
    <row r="108" ht="15.75" customHeight="1">
      <c r="B108" s="833" t="s">
        <v>2444</v>
      </c>
      <c r="C108" s="976" t="s">
        <v>593</v>
      </c>
      <c r="D108" s="834"/>
      <c r="E108" s="994">
        <f>E104+E105+E106+E107</f>
        <v>69</v>
      </c>
      <c r="F108" s="834" t="s">
        <v>2445</v>
      </c>
      <c r="G108" s="834" t="str">
        <f>IF(E108&gt;=80,"EXCELLENT",IF(E108&gt;=65,"BON",IF(E108&gt;=50,"EN PROGRES","ACTION REQUISE")))</f>
        <v>BON</v>
      </c>
      <c r="H108" s="1002" t="s">
        <v>2446</v>
      </c>
      <c r="I108" s="977"/>
      <c r="J108" s="977"/>
      <c r="K108" s="834"/>
      <c r="L108" s="835"/>
      <c r="M108" s="978"/>
      <c r="N108" s="979"/>
      <c r="O108" s="980"/>
      <c r="P108" s="981"/>
      <c r="Q108" s="835"/>
      <c r="R108" s="834"/>
      <c r="S108" s="982"/>
      <c r="AB108" s="879">
        <v>0.0</v>
      </c>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7:$Y$50"/>
  <mergeCells count="1">
    <mergeCell ref="B1:AG1"/>
  </mergeCell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4" width="5.0"/>
    <col customWidth="1" min="5" max="11" width="12.0"/>
    <col customWidth="1" min="12" max="12" width="14.0"/>
    <col customWidth="1" min="13" max="13" width="30.0"/>
  </cols>
  <sheetData>
    <row r="1" ht="27.75" customHeight="1">
      <c r="A1" s="1003" t="s">
        <v>2447</v>
      </c>
      <c r="B1" s="2"/>
      <c r="C1" s="2"/>
      <c r="D1" s="2"/>
      <c r="E1" s="2"/>
      <c r="F1" s="2"/>
      <c r="G1" s="2"/>
      <c r="H1" s="2"/>
      <c r="I1" s="2"/>
      <c r="J1" s="2"/>
      <c r="K1" s="2"/>
      <c r="L1" s="2"/>
      <c r="M1" s="2"/>
    </row>
    <row r="2" ht="15.75" customHeight="1">
      <c r="A2" s="1004" t="s">
        <v>2448</v>
      </c>
      <c r="B2" s="2"/>
      <c r="C2" s="2"/>
      <c r="D2" s="2"/>
      <c r="E2" s="2"/>
      <c r="F2" s="2"/>
      <c r="G2" s="2"/>
      <c r="H2" s="2"/>
      <c r="I2" s="2"/>
      <c r="J2" s="2"/>
      <c r="K2" s="2"/>
      <c r="L2" s="2"/>
      <c r="M2" s="2"/>
    </row>
    <row r="3" ht="15.0" customHeight="1"/>
    <row r="4" ht="21.75" customHeight="1">
      <c r="A4" s="408" t="s">
        <v>2449</v>
      </c>
      <c r="B4" s="2"/>
      <c r="C4" s="2"/>
      <c r="D4" s="2"/>
      <c r="E4" s="2"/>
      <c r="F4" s="2"/>
      <c r="G4" s="2"/>
      <c r="H4" s="2"/>
      <c r="I4" s="2"/>
      <c r="J4" s="2"/>
      <c r="K4" s="2"/>
      <c r="L4" s="2"/>
      <c r="M4" s="2"/>
    </row>
    <row r="5" ht="19.5" customHeight="1">
      <c r="A5" s="1005" t="s">
        <v>2450</v>
      </c>
      <c r="B5" s="2"/>
      <c r="C5" s="1006" t="s">
        <v>2451</v>
      </c>
      <c r="D5" s="2"/>
      <c r="E5" s="1006" t="s">
        <v>2452</v>
      </c>
      <c r="F5" s="2"/>
      <c r="G5" s="1007" t="s">
        <v>2453</v>
      </c>
      <c r="H5" s="2"/>
      <c r="I5" s="2"/>
      <c r="J5" s="1007" t="s">
        <v>2454</v>
      </c>
      <c r="K5" s="2"/>
      <c r="L5" s="2"/>
      <c r="M5" s="2"/>
    </row>
    <row r="6" ht="18.0" customHeight="1">
      <c r="A6" s="1008" t="s">
        <v>2455</v>
      </c>
      <c r="B6" s="2"/>
      <c r="C6" s="1009" t="s">
        <v>2456</v>
      </c>
      <c r="D6" s="2"/>
      <c r="E6" s="1010" t="s">
        <v>2457</v>
      </c>
      <c r="F6" s="2"/>
      <c r="G6" s="1011" t="s">
        <v>2458</v>
      </c>
      <c r="H6" s="2"/>
      <c r="I6" s="2"/>
      <c r="J6" s="1012" t="s">
        <v>2459</v>
      </c>
      <c r="K6" s="2"/>
      <c r="L6" s="2"/>
      <c r="M6" s="2"/>
    </row>
    <row r="7" ht="18.0" customHeight="1">
      <c r="A7" s="1013" t="s">
        <v>2460</v>
      </c>
      <c r="B7" s="2"/>
      <c r="C7" s="1009" t="s">
        <v>2461</v>
      </c>
      <c r="D7" s="2"/>
      <c r="E7" s="1010" t="s">
        <v>2462</v>
      </c>
      <c r="F7" s="2"/>
      <c r="G7" s="1011" t="s">
        <v>2463</v>
      </c>
      <c r="H7" s="2"/>
      <c r="I7" s="2"/>
      <c r="J7" s="1012" t="s">
        <v>2464</v>
      </c>
      <c r="K7" s="2"/>
      <c r="L7" s="2"/>
      <c r="M7" s="2"/>
    </row>
    <row r="8" ht="18.0" customHeight="1">
      <c r="A8" s="1008" t="s">
        <v>2465</v>
      </c>
      <c r="B8" s="2"/>
      <c r="C8" s="1009" t="s">
        <v>2466</v>
      </c>
      <c r="D8" s="2"/>
      <c r="E8" s="1010" t="s">
        <v>2467</v>
      </c>
      <c r="F8" s="2"/>
      <c r="G8" s="1011" t="s">
        <v>2468</v>
      </c>
      <c r="H8" s="2"/>
      <c r="I8" s="2"/>
      <c r="J8" s="1012" t="s">
        <v>2469</v>
      </c>
      <c r="K8" s="2"/>
      <c r="L8" s="2"/>
      <c r="M8" s="2"/>
    </row>
    <row r="9" ht="18.0" customHeight="1">
      <c r="A9" s="1013" t="s">
        <v>2470</v>
      </c>
      <c r="B9" s="2"/>
      <c r="C9" s="1009" t="s">
        <v>2471</v>
      </c>
      <c r="D9" s="2"/>
      <c r="E9" s="1010" t="s">
        <v>2472</v>
      </c>
      <c r="F9" s="2"/>
      <c r="G9" s="1011" t="s">
        <v>2473</v>
      </c>
      <c r="H9" s="2"/>
      <c r="I9" s="2"/>
      <c r="J9" s="1012" t="s">
        <v>2474</v>
      </c>
      <c r="K9" s="2"/>
      <c r="L9" s="2"/>
      <c r="M9" s="2"/>
    </row>
    <row r="10" ht="18.0" customHeight="1">
      <c r="A10" s="1008" t="s">
        <v>2475</v>
      </c>
      <c r="B10" s="2"/>
      <c r="C10" s="1009" t="s">
        <v>2476</v>
      </c>
      <c r="D10" s="2"/>
      <c r="E10" s="1010" t="s">
        <v>2477</v>
      </c>
      <c r="F10" s="2"/>
      <c r="G10" s="1011" t="s">
        <v>2478</v>
      </c>
      <c r="H10" s="2"/>
      <c r="I10" s="2"/>
      <c r="J10" s="1012" t="s">
        <v>2479</v>
      </c>
      <c r="K10" s="2"/>
      <c r="L10" s="2"/>
      <c r="M10" s="2"/>
    </row>
    <row r="11" ht="18.0" customHeight="1">
      <c r="A11" s="1013" t="s">
        <v>2480</v>
      </c>
      <c r="B11" s="2"/>
      <c r="C11" s="1009" t="s">
        <v>2481</v>
      </c>
      <c r="D11" s="2"/>
      <c r="E11" s="1010" t="s">
        <v>2482</v>
      </c>
      <c r="F11" s="2"/>
      <c r="G11" s="1011" t="s">
        <v>2483</v>
      </c>
      <c r="H11" s="2"/>
      <c r="I11" s="2"/>
      <c r="J11" s="1012" t="s">
        <v>2484</v>
      </c>
      <c r="K11" s="2"/>
      <c r="L11" s="2"/>
      <c r="M11" s="2"/>
    </row>
    <row r="12" ht="18.0" customHeight="1">
      <c r="A12" s="1008" t="s">
        <v>2485</v>
      </c>
      <c r="B12" s="2"/>
      <c r="C12" s="1009" t="s">
        <v>2486</v>
      </c>
      <c r="D12" s="2"/>
      <c r="E12" s="1010" t="s">
        <v>2487</v>
      </c>
      <c r="F12" s="2"/>
      <c r="G12" s="1011" t="s">
        <v>2488</v>
      </c>
      <c r="H12" s="2"/>
      <c r="I12" s="2"/>
      <c r="J12" s="1012" t="s">
        <v>2489</v>
      </c>
      <c r="K12" s="2"/>
      <c r="L12" s="2"/>
      <c r="M12" s="2"/>
    </row>
    <row r="13" ht="18.0" customHeight="1">
      <c r="A13" s="1013" t="s">
        <v>2490</v>
      </c>
      <c r="B13" s="2"/>
      <c r="C13" s="1009" t="s">
        <v>2491</v>
      </c>
      <c r="D13" s="2"/>
      <c r="E13" s="1010" t="s">
        <v>2492</v>
      </c>
      <c r="F13" s="2"/>
      <c r="G13" s="1011" t="s">
        <v>2493</v>
      </c>
      <c r="H13" s="2"/>
      <c r="I13" s="2"/>
      <c r="J13" s="1012" t="s">
        <v>2494</v>
      </c>
      <c r="K13" s="2"/>
      <c r="L13" s="2"/>
      <c r="M13" s="2"/>
    </row>
    <row r="14" ht="15.0" customHeight="1"/>
    <row r="15" ht="21.75" customHeight="1">
      <c r="A15" s="408" t="s">
        <v>2495</v>
      </c>
      <c r="B15" s="2"/>
      <c r="C15" s="2"/>
      <c r="D15" s="2"/>
      <c r="E15" s="2"/>
      <c r="F15" s="2"/>
      <c r="G15" s="2"/>
      <c r="H15" s="2"/>
      <c r="I15" s="2"/>
      <c r="J15" s="2"/>
      <c r="K15" s="2"/>
      <c r="L15" s="2"/>
      <c r="M15" s="2"/>
    </row>
    <row r="16" ht="18.0" customHeight="1">
      <c r="A16" s="412" t="s">
        <v>2450</v>
      </c>
      <c r="B16" s="1014" t="s">
        <v>354</v>
      </c>
      <c r="C16" s="2"/>
      <c r="D16" s="412" t="s">
        <v>2496</v>
      </c>
      <c r="E16" s="412" t="s">
        <v>2497</v>
      </c>
      <c r="F16" s="412" t="s">
        <v>2498</v>
      </c>
      <c r="G16" s="1014" t="s">
        <v>2499</v>
      </c>
      <c r="H16" s="2"/>
      <c r="I16" s="2"/>
      <c r="J16" s="2"/>
      <c r="K16" s="2"/>
      <c r="L16" s="2"/>
      <c r="M16" s="2"/>
    </row>
    <row r="17" ht="19.5" customHeight="1">
      <c r="A17" s="1015" t="s">
        <v>2500</v>
      </c>
      <c r="B17" s="414" t="s">
        <v>2501</v>
      </c>
      <c r="C17" s="415" t="s">
        <v>2502</v>
      </c>
      <c r="D17" s="1016">
        <v>0.15</v>
      </c>
      <c r="E17" s="1017" t="s">
        <v>2503</v>
      </c>
      <c r="F17" s="1018">
        <f t="shared" ref="F17:F24" si="1">IF(ISNUMBER(E17),E17*D17,0)</f>
        <v>0</v>
      </c>
      <c r="G17" s="1019" t="s">
        <v>2504</v>
      </c>
      <c r="H17" s="2"/>
      <c r="I17" s="2"/>
      <c r="J17" s="2"/>
      <c r="K17" s="2"/>
      <c r="L17" s="2"/>
      <c r="M17" s="2"/>
    </row>
    <row r="18" ht="19.5" customHeight="1">
      <c r="A18" s="1020" t="s">
        <v>2505</v>
      </c>
      <c r="B18" s="421" t="s">
        <v>2506</v>
      </c>
      <c r="C18" s="422" t="s">
        <v>2507</v>
      </c>
      <c r="D18" s="1016">
        <v>0.1</v>
      </c>
      <c r="E18" s="1017" t="s">
        <v>2503</v>
      </c>
      <c r="F18" s="1018">
        <f t="shared" si="1"/>
        <v>0</v>
      </c>
      <c r="G18" s="1021" t="s">
        <v>2508</v>
      </c>
      <c r="H18" s="2"/>
      <c r="I18" s="2"/>
      <c r="J18" s="2"/>
      <c r="K18" s="2"/>
      <c r="L18" s="2"/>
      <c r="M18" s="2"/>
    </row>
    <row r="19" ht="19.5" customHeight="1">
      <c r="A19" s="1015" t="s">
        <v>2509</v>
      </c>
      <c r="B19" s="414" t="s">
        <v>2510</v>
      </c>
      <c r="C19" s="415" t="s">
        <v>2511</v>
      </c>
      <c r="D19" s="1016">
        <v>0.2</v>
      </c>
      <c r="E19" s="1017" t="s">
        <v>2503</v>
      </c>
      <c r="F19" s="1018">
        <f t="shared" si="1"/>
        <v>0</v>
      </c>
      <c r="G19" s="1019" t="s">
        <v>2512</v>
      </c>
      <c r="H19" s="2"/>
      <c r="I19" s="2"/>
      <c r="J19" s="2"/>
      <c r="K19" s="2"/>
      <c r="L19" s="2"/>
      <c r="M19" s="2"/>
    </row>
    <row r="20" ht="19.5" customHeight="1">
      <c r="A20" s="1020" t="s">
        <v>2513</v>
      </c>
      <c r="B20" s="421" t="s">
        <v>2514</v>
      </c>
      <c r="C20" s="422" t="s">
        <v>2515</v>
      </c>
      <c r="D20" s="1016">
        <v>0.1</v>
      </c>
      <c r="E20" s="1017" t="s">
        <v>2503</v>
      </c>
      <c r="F20" s="1018">
        <f t="shared" si="1"/>
        <v>0</v>
      </c>
      <c r="G20" s="1021" t="s">
        <v>2516</v>
      </c>
      <c r="H20" s="2"/>
      <c r="I20" s="2"/>
      <c r="J20" s="2"/>
      <c r="K20" s="2"/>
      <c r="L20" s="2"/>
      <c r="M20" s="2"/>
    </row>
    <row r="21" ht="19.5" customHeight="1">
      <c r="A21" s="1015" t="s">
        <v>2517</v>
      </c>
      <c r="B21" s="414" t="s">
        <v>2518</v>
      </c>
      <c r="C21" s="415" t="s">
        <v>2519</v>
      </c>
      <c r="D21" s="1016">
        <v>0.2</v>
      </c>
      <c r="E21" s="1017" t="s">
        <v>2503</v>
      </c>
      <c r="F21" s="1018">
        <f t="shared" si="1"/>
        <v>0</v>
      </c>
      <c r="G21" s="1019" t="s">
        <v>2520</v>
      </c>
      <c r="H21" s="2"/>
      <c r="I21" s="2"/>
      <c r="J21" s="2"/>
      <c r="K21" s="2"/>
      <c r="L21" s="2"/>
      <c r="M21" s="2"/>
    </row>
    <row r="22" ht="19.5" customHeight="1">
      <c r="A22" s="1020" t="s">
        <v>2521</v>
      </c>
      <c r="B22" s="421" t="s">
        <v>2522</v>
      </c>
      <c r="C22" s="422" t="s">
        <v>2523</v>
      </c>
      <c r="D22" s="1016">
        <v>0.1</v>
      </c>
      <c r="E22" s="1017" t="s">
        <v>2503</v>
      </c>
      <c r="F22" s="1018">
        <f t="shared" si="1"/>
        <v>0</v>
      </c>
      <c r="G22" s="1021" t="s">
        <v>2524</v>
      </c>
      <c r="H22" s="2"/>
      <c r="I22" s="2"/>
      <c r="J22" s="2"/>
      <c r="K22" s="2"/>
      <c r="L22" s="2"/>
      <c r="M22" s="2"/>
    </row>
    <row r="23" ht="19.5" customHeight="1">
      <c r="A23" s="1015" t="s">
        <v>2525</v>
      </c>
      <c r="B23" s="414" t="s">
        <v>2526</v>
      </c>
      <c r="C23" s="415" t="s">
        <v>2527</v>
      </c>
      <c r="D23" s="1016">
        <v>0.1</v>
      </c>
      <c r="E23" s="1017" t="s">
        <v>2503</v>
      </c>
      <c r="F23" s="1018">
        <f t="shared" si="1"/>
        <v>0</v>
      </c>
      <c r="G23" s="1019" t="s">
        <v>2528</v>
      </c>
      <c r="H23" s="2"/>
      <c r="I23" s="2"/>
      <c r="J23" s="2"/>
      <c r="K23" s="2"/>
      <c r="L23" s="2"/>
      <c r="M23" s="2"/>
    </row>
    <row r="24" ht="19.5" customHeight="1">
      <c r="A24" s="1020" t="s">
        <v>2529</v>
      </c>
      <c r="B24" s="421" t="s">
        <v>2530</v>
      </c>
      <c r="C24" s="422" t="s">
        <v>2531</v>
      </c>
      <c r="D24" s="1016">
        <v>0.05</v>
      </c>
      <c r="E24" s="1017" t="s">
        <v>2503</v>
      </c>
      <c r="F24" s="1018">
        <f t="shared" si="1"/>
        <v>0</v>
      </c>
      <c r="G24" s="1021" t="s">
        <v>2532</v>
      </c>
      <c r="H24" s="2"/>
      <c r="I24" s="2"/>
      <c r="J24" s="2"/>
      <c r="K24" s="2"/>
      <c r="L24" s="2"/>
      <c r="M24" s="2"/>
    </row>
    <row r="25" ht="21.75" customHeight="1">
      <c r="A25" s="1022" t="s">
        <v>2533</v>
      </c>
      <c r="B25" s="2"/>
      <c r="C25" s="2"/>
      <c r="D25" s="1023" t="s">
        <v>2534</v>
      </c>
      <c r="E25" s="1024">
        <f>SUM(F17:F24)</f>
        <v>0</v>
      </c>
      <c r="F25" s="2"/>
    </row>
    <row r="26" ht="21.75" customHeight="1">
      <c r="A26" s="1025" t="s">
        <v>2535</v>
      </c>
      <c r="B26" s="2"/>
      <c r="C26" s="2"/>
      <c r="D26" s="1026" t="str">
        <f>IF(F25&gt;=4,"🟢 T1 — Conviction max · Accumuler agressivement",IF(F25&gt;=3,"🟡 T2 — Accumuler sélectivement",IF(F25&gt;=2,"🟠 T3 — Hold sans accumulation","🔴 T4 — Diluer naturellement")))</f>
        <v>🔴 T4 — Diluer naturellement</v>
      </c>
      <c r="E26" s="2"/>
      <c r="F26" s="2"/>
      <c r="G26" s="2"/>
      <c r="H26" s="2"/>
      <c r="I26" s="2"/>
      <c r="J26" s="2"/>
      <c r="K26" s="2"/>
      <c r="L26" s="2"/>
      <c r="M26" s="2"/>
    </row>
    <row r="27" ht="15.75" customHeight="1"/>
    <row r="28" ht="15.75" customHeight="1"/>
    <row r="29" ht="21.75" customHeight="1">
      <c r="A29" s="408" t="s">
        <v>2536</v>
      </c>
      <c r="B29" s="2"/>
      <c r="C29" s="2"/>
      <c r="D29" s="2"/>
      <c r="E29" s="2"/>
      <c r="F29" s="2"/>
      <c r="G29" s="2"/>
      <c r="H29" s="2"/>
      <c r="I29" s="2"/>
      <c r="J29" s="2"/>
      <c r="K29" s="2"/>
      <c r="L29" s="2"/>
      <c r="M29" s="2"/>
    </row>
    <row r="30" ht="18.0" customHeight="1">
      <c r="A30" s="447" t="s">
        <v>1206</v>
      </c>
      <c r="B30" s="447" t="s">
        <v>1565</v>
      </c>
      <c r="C30" s="447" t="s">
        <v>1647</v>
      </c>
      <c r="D30" s="447" t="s">
        <v>1205</v>
      </c>
      <c r="E30" s="447" t="s">
        <v>2537</v>
      </c>
      <c r="F30" s="447" t="s">
        <v>2538</v>
      </c>
      <c r="G30" s="447" t="s">
        <v>2539</v>
      </c>
      <c r="H30" s="447" t="s">
        <v>2538</v>
      </c>
      <c r="I30" s="447" t="s">
        <v>2540</v>
      </c>
      <c r="J30" s="447" t="s">
        <v>2538</v>
      </c>
      <c r="K30" s="447" t="s">
        <v>2497</v>
      </c>
      <c r="L30" s="447" t="s">
        <v>2541</v>
      </c>
      <c r="M30" s="1027" t="s">
        <v>1212</v>
      </c>
      <c r="N30" s="460"/>
      <c r="O30" s="461"/>
    </row>
    <row r="31" ht="45.0" customHeight="1">
      <c r="A31" s="435" t="s">
        <v>1247</v>
      </c>
      <c r="B31" s="426" t="s">
        <v>2150</v>
      </c>
      <c r="C31" s="1028" t="s">
        <v>1653</v>
      </c>
      <c r="D31" s="423" t="s">
        <v>2542</v>
      </c>
      <c r="E31" s="1029" t="s">
        <v>2543</v>
      </c>
      <c r="F31" s="84">
        <v>4.0</v>
      </c>
      <c r="G31" s="1029" t="s">
        <v>2544</v>
      </c>
      <c r="H31" s="84">
        <v>4.5</v>
      </c>
      <c r="I31" s="1029" t="s">
        <v>2545</v>
      </c>
      <c r="J31" s="84">
        <v>5.0</v>
      </c>
      <c r="K31" s="1030">
        <v>4.2</v>
      </c>
      <c r="L31" s="1028" t="s">
        <v>1653</v>
      </c>
      <c r="M31" s="1031" t="s">
        <v>2546</v>
      </c>
      <c r="N31" s="2"/>
      <c r="O31" s="2"/>
    </row>
    <row r="32" ht="45.0" customHeight="1">
      <c r="A32" s="441" t="s">
        <v>536</v>
      </c>
      <c r="B32" s="432" t="s">
        <v>2547</v>
      </c>
      <c r="C32" s="1032" t="s">
        <v>1653</v>
      </c>
      <c r="D32" s="429" t="s">
        <v>2542</v>
      </c>
      <c r="E32" s="1033" t="s">
        <v>2548</v>
      </c>
      <c r="F32" s="87">
        <v>4.0</v>
      </c>
      <c r="G32" s="1033" t="s">
        <v>2549</v>
      </c>
      <c r="H32" s="87">
        <v>5.0</v>
      </c>
      <c r="I32" s="1033" t="s">
        <v>2550</v>
      </c>
      <c r="J32" s="87">
        <v>5.0</v>
      </c>
      <c r="K32" s="1034">
        <v>4.2</v>
      </c>
      <c r="L32" s="1032" t="s">
        <v>1653</v>
      </c>
      <c r="M32" s="1035" t="s">
        <v>2551</v>
      </c>
      <c r="N32" s="2"/>
      <c r="O32" s="2"/>
    </row>
    <row r="33" ht="45.0" customHeight="1">
      <c r="A33" s="435" t="s">
        <v>1223</v>
      </c>
      <c r="B33" s="426" t="s">
        <v>2552</v>
      </c>
      <c r="C33" s="1028" t="s">
        <v>1653</v>
      </c>
      <c r="D33" s="423" t="s">
        <v>2542</v>
      </c>
      <c r="E33" s="1029" t="s">
        <v>2553</v>
      </c>
      <c r="F33" s="1036">
        <v>3.5</v>
      </c>
      <c r="G33" s="1029" t="s">
        <v>2554</v>
      </c>
      <c r="H33" s="84">
        <v>4.5</v>
      </c>
      <c r="I33" s="1029" t="s">
        <v>2555</v>
      </c>
      <c r="J33" s="84">
        <v>5.0</v>
      </c>
      <c r="K33" s="1037">
        <v>3.8</v>
      </c>
      <c r="L33" s="1028" t="s">
        <v>1653</v>
      </c>
      <c r="M33" s="1031" t="s">
        <v>2556</v>
      </c>
      <c r="N33" s="2"/>
      <c r="O33" s="2"/>
    </row>
    <row r="34" ht="45.0" customHeight="1">
      <c r="A34" s="441" t="s">
        <v>2153</v>
      </c>
      <c r="B34" s="432" t="s">
        <v>2557</v>
      </c>
      <c r="C34" s="1032" t="s">
        <v>1653</v>
      </c>
      <c r="D34" s="429" t="s">
        <v>2542</v>
      </c>
      <c r="E34" s="1033" t="s">
        <v>2558</v>
      </c>
      <c r="F34" s="87">
        <v>4.5</v>
      </c>
      <c r="G34" s="1033" t="s">
        <v>2559</v>
      </c>
      <c r="H34" s="87">
        <v>4.5</v>
      </c>
      <c r="I34" s="1033" t="s">
        <v>2560</v>
      </c>
      <c r="J34" s="87">
        <v>5.0</v>
      </c>
      <c r="K34" s="1038">
        <v>3.8</v>
      </c>
      <c r="L34" s="1032" t="s">
        <v>1653</v>
      </c>
      <c r="M34" s="1035" t="s">
        <v>2561</v>
      </c>
      <c r="N34" s="2"/>
      <c r="O34" s="2"/>
    </row>
    <row r="35" ht="45.0" customHeight="1">
      <c r="A35" s="435" t="s">
        <v>2158</v>
      </c>
      <c r="B35" s="426" t="s">
        <v>2562</v>
      </c>
      <c r="C35" s="1028" t="s">
        <v>1653</v>
      </c>
      <c r="D35" s="423" t="s">
        <v>2542</v>
      </c>
      <c r="E35" s="1029" t="s">
        <v>2563</v>
      </c>
      <c r="F35" s="84">
        <v>4.0</v>
      </c>
      <c r="G35" s="1029" t="s">
        <v>2564</v>
      </c>
      <c r="H35" s="84">
        <v>4.5</v>
      </c>
      <c r="I35" s="1029" t="s">
        <v>2565</v>
      </c>
      <c r="J35" s="84">
        <v>5.0</v>
      </c>
      <c r="K35" s="1037">
        <v>3.8</v>
      </c>
      <c r="L35" s="1028" t="s">
        <v>1653</v>
      </c>
      <c r="M35" s="1031" t="s">
        <v>2566</v>
      </c>
      <c r="N35" s="2"/>
      <c r="O35" s="2"/>
    </row>
    <row r="36" ht="45.0" customHeight="1">
      <c r="A36" s="441" t="s">
        <v>2161</v>
      </c>
      <c r="B36" s="432" t="s">
        <v>2162</v>
      </c>
      <c r="C36" s="1032" t="s">
        <v>1653</v>
      </c>
      <c r="D36" s="429" t="s">
        <v>2542</v>
      </c>
      <c r="E36" s="1033" t="s">
        <v>2567</v>
      </c>
      <c r="F36" s="87">
        <v>4.0</v>
      </c>
      <c r="G36" s="1033" t="s">
        <v>2568</v>
      </c>
      <c r="H36" s="87">
        <v>5.0</v>
      </c>
      <c r="I36" s="1033" t="s">
        <v>2569</v>
      </c>
      <c r="J36" s="87">
        <v>5.0</v>
      </c>
      <c r="K36" s="1038">
        <v>3.9</v>
      </c>
      <c r="L36" s="1032" t="s">
        <v>1653</v>
      </c>
      <c r="M36" s="1035" t="s">
        <v>2570</v>
      </c>
      <c r="N36" s="2"/>
      <c r="O36" s="2"/>
    </row>
    <row r="37" ht="45.0" customHeight="1">
      <c r="A37" s="435" t="s">
        <v>1219</v>
      </c>
      <c r="B37" s="426" t="s">
        <v>2166</v>
      </c>
      <c r="C37" s="1028" t="s">
        <v>1653</v>
      </c>
      <c r="D37" s="423" t="s">
        <v>2542</v>
      </c>
      <c r="E37" s="1029" t="s">
        <v>2571</v>
      </c>
      <c r="F37" s="1036">
        <v>3.0</v>
      </c>
      <c r="G37" s="1029" t="s">
        <v>2572</v>
      </c>
      <c r="H37" s="84">
        <v>4.0</v>
      </c>
      <c r="I37" s="1029" t="s">
        <v>2573</v>
      </c>
      <c r="J37" s="84">
        <v>4.5</v>
      </c>
      <c r="K37" s="1037">
        <v>3.7</v>
      </c>
      <c r="L37" s="1028" t="s">
        <v>1653</v>
      </c>
      <c r="M37" s="1031" t="s">
        <v>2574</v>
      </c>
      <c r="N37" s="2"/>
      <c r="O37" s="2"/>
    </row>
    <row r="38" ht="45.0" customHeight="1">
      <c r="A38" s="441" t="s">
        <v>2163</v>
      </c>
      <c r="B38" s="432" t="s">
        <v>2575</v>
      </c>
      <c r="C38" s="1032" t="s">
        <v>1653</v>
      </c>
      <c r="D38" s="429" t="s">
        <v>2542</v>
      </c>
      <c r="E38" s="1033" t="s">
        <v>2576</v>
      </c>
      <c r="F38" s="87">
        <v>4.0</v>
      </c>
      <c r="G38" s="1033" t="s">
        <v>2577</v>
      </c>
      <c r="H38" s="87">
        <v>4.0</v>
      </c>
      <c r="I38" s="1033" t="s">
        <v>2578</v>
      </c>
      <c r="J38" s="87">
        <v>4.5</v>
      </c>
      <c r="K38" s="1038">
        <v>3.8</v>
      </c>
      <c r="L38" s="1032" t="s">
        <v>1653</v>
      </c>
      <c r="M38" s="1035" t="s">
        <v>2579</v>
      </c>
      <c r="N38" s="2"/>
      <c r="O38" s="2"/>
    </row>
    <row r="39" ht="45.0" customHeight="1">
      <c r="A39" s="435" t="s">
        <v>548</v>
      </c>
      <c r="B39" s="426" t="s">
        <v>2580</v>
      </c>
      <c r="C39" s="1028" t="s">
        <v>1653</v>
      </c>
      <c r="D39" s="423" t="s">
        <v>2542</v>
      </c>
      <c r="E39" s="1029" t="s">
        <v>2581</v>
      </c>
      <c r="F39" s="84">
        <v>4.5</v>
      </c>
      <c r="G39" s="1029" t="s">
        <v>2582</v>
      </c>
      <c r="H39" s="84">
        <v>4.5</v>
      </c>
      <c r="I39" s="1029" t="s">
        <v>2583</v>
      </c>
      <c r="J39" s="84">
        <v>4.5</v>
      </c>
      <c r="K39" s="1030">
        <v>4.4</v>
      </c>
      <c r="L39" s="1028" t="s">
        <v>1653</v>
      </c>
      <c r="M39" s="1031" t="s">
        <v>2584</v>
      </c>
      <c r="N39" s="2"/>
      <c r="O39" s="2"/>
    </row>
    <row r="40" ht="18.0" customHeight="1">
      <c r="A40" s="1039" t="s">
        <v>2167</v>
      </c>
      <c r="B40" s="1040" t="s">
        <v>2585</v>
      </c>
      <c r="C40" s="1041" t="s">
        <v>1655</v>
      </c>
      <c r="D40" s="1042" t="s">
        <v>2586</v>
      </c>
      <c r="E40" s="1043"/>
      <c r="F40" s="1043"/>
      <c r="G40" s="1043"/>
      <c r="H40" s="1043"/>
      <c r="I40" s="1043"/>
      <c r="J40" s="1043"/>
      <c r="K40" s="1043"/>
      <c r="L40" s="1043"/>
      <c r="M40" s="1044" t="str">
        <f t="shared" ref="M40:M59" si="2">IF(ISNUMBER(E40),SUM(E40:L40)/8*5,"⬜")</f>
        <v>⬜</v>
      </c>
    </row>
    <row r="41" ht="18.0" customHeight="1">
      <c r="A41" s="1039" t="s">
        <v>2169</v>
      </c>
      <c r="B41" s="1040" t="s">
        <v>2587</v>
      </c>
      <c r="C41" s="1041" t="s">
        <v>1655</v>
      </c>
      <c r="D41" s="1042" t="s">
        <v>2586</v>
      </c>
      <c r="E41" s="1043"/>
      <c r="F41" s="1043"/>
      <c r="G41" s="1043"/>
      <c r="H41" s="1043"/>
      <c r="I41" s="1043"/>
      <c r="J41" s="1043"/>
      <c r="K41" s="1043"/>
      <c r="L41" s="1043"/>
      <c r="M41" s="1044" t="str">
        <f t="shared" si="2"/>
        <v>⬜</v>
      </c>
    </row>
    <row r="42" ht="18.0" customHeight="1">
      <c r="A42" s="1039" t="s">
        <v>2173</v>
      </c>
      <c r="B42" s="1040" t="s">
        <v>2588</v>
      </c>
      <c r="C42" s="1041" t="s">
        <v>1655</v>
      </c>
      <c r="D42" s="1042" t="s">
        <v>2586</v>
      </c>
      <c r="E42" s="1043"/>
      <c r="F42" s="1043"/>
      <c r="G42" s="1043"/>
      <c r="H42" s="1043"/>
      <c r="I42" s="1043"/>
      <c r="J42" s="1043"/>
      <c r="K42" s="1043"/>
      <c r="L42" s="1043"/>
      <c r="M42" s="1044" t="str">
        <f t="shared" si="2"/>
        <v>⬜</v>
      </c>
    </row>
    <row r="43" ht="18.0" customHeight="1">
      <c r="A43" s="1039" t="s">
        <v>2178</v>
      </c>
      <c r="B43" s="1040" t="s">
        <v>2589</v>
      </c>
      <c r="C43" s="1041" t="s">
        <v>1655</v>
      </c>
      <c r="D43" s="1042" t="s">
        <v>2586</v>
      </c>
      <c r="E43" s="1043"/>
      <c r="F43" s="1043"/>
      <c r="G43" s="1043"/>
      <c r="H43" s="1043"/>
      <c r="I43" s="1043"/>
      <c r="J43" s="1043"/>
      <c r="K43" s="1043"/>
      <c r="L43" s="1043"/>
      <c r="M43" s="1044" t="str">
        <f t="shared" si="2"/>
        <v>⬜</v>
      </c>
    </row>
    <row r="44" ht="18.0" customHeight="1">
      <c r="A44" s="1039" t="s">
        <v>2218</v>
      </c>
      <c r="B44" s="1040" t="s">
        <v>2590</v>
      </c>
      <c r="C44" s="1041" t="s">
        <v>1655</v>
      </c>
      <c r="D44" s="1042" t="s">
        <v>2586</v>
      </c>
      <c r="E44" s="1043"/>
      <c r="F44" s="1043"/>
      <c r="G44" s="1043"/>
      <c r="H44" s="1043"/>
      <c r="I44" s="1043"/>
      <c r="J44" s="1043"/>
      <c r="K44" s="1043"/>
      <c r="L44" s="1043"/>
      <c r="M44" s="1044" t="str">
        <f t="shared" si="2"/>
        <v>⬜</v>
      </c>
    </row>
    <row r="45" ht="18.0" customHeight="1">
      <c r="A45" s="1039" t="s">
        <v>2171</v>
      </c>
      <c r="B45" s="1040" t="s">
        <v>2591</v>
      </c>
      <c r="C45" s="1041" t="s">
        <v>1655</v>
      </c>
      <c r="D45" s="1042" t="s">
        <v>2586</v>
      </c>
      <c r="E45" s="1043"/>
      <c r="F45" s="1043"/>
      <c r="G45" s="1043"/>
      <c r="H45" s="1043"/>
      <c r="I45" s="1043"/>
      <c r="J45" s="1043"/>
      <c r="K45" s="1043"/>
      <c r="L45" s="1043"/>
      <c r="M45" s="1044" t="str">
        <f t="shared" si="2"/>
        <v>⬜</v>
      </c>
    </row>
    <row r="46" ht="18.0" customHeight="1">
      <c r="A46" s="1039" t="s">
        <v>1456</v>
      </c>
      <c r="B46" s="1040" t="s">
        <v>2592</v>
      </c>
      <c r="C46" s="1041" t="s">
        <v>1655</v>
      </c>
      <c r="D46" s="1042" t="s">
        <v>2586</v>
      </c>
      <c r="E46" s="1043"/>
      <c r="F46" s="1043"/>
      <c r="G46" s="1043"/>
      <c r="H46" s="1043"/>
      <c r="I46" s="1043"/>
      <c r="J46" s="1043"/>
      <c r="K46" s="1043"/>
      <c r="L46" s="1043"/>
      <c r="M46" s="1044" t="str">
        <f t="shared" si="2"/>
        <v>⬜</v>
      </c>
    </row>
    <row r="47" ht="18.0" customHeight="1">
      <c r="A47" s="1045" t="s">
        <v>1977</v>
      </c>
      <c r="B47" s="1046" t="s">
        <v>2180</v>
      </c>
      <c r="C47" s="1047" t="s">
        <v>1408</v>
      </c>
      <c r="D47" s="1042" t="s">
        <v>2586</v>
      </c>
      <c r="E47" s="1043"/>
      <c r="F47" s="1043"/>
      <c r="G47" s="1043"/>
      <c r="H47" s="1043"/>
      <c r="I47" s="1043"/>
      <c r="J47" s="1043"/>
      <c r="K47" s="1043"/>
      <c r="L47" s="1043"/>
      <c r="M47" s="1044" t="str">
        <f t="shared" si="2"/>
        <v>⬜</v>
      </c>
    </row>
    <row r="48" ht="18.0" customHeight="1">
      <c r="A48" s="1045" t="s">
        <v>1284</v>
      </c>
      <c r="B48" s="1046" t="s">
        <v>2184</v>
      </c>
      <c r="C48" s="1047" t="s">
        <v>1408</v>
      </c>
      <c r="D48" s="1042" t="s">
        <v>2586</v>
      </c>
      <c r="E48" s="1043"/>
      <c r="F48" s="1043"/>
      <c r="G48" s="1043"/>
      <c r="H48" s="1043"/>
      <c r="I48" s="1043"/>
      <c r="J48" s="1043"/>
      <c r="K48" s="1043"/>
      <c r="L48" s="1043"/>
      <c r="M48" s="1044" t="str">
        <f t="shared" si="2"/>
        <v>⬜</v>
      </c>
    </row>
    <row r="49" ht="18.0" customHeight="1">
      <c r="A49" s="1045" t="s">
        <v>1986</v>
      </c>
      <c r="B49" s="1046" t="s">
        <v>2593</v>
      </c>
      <c r="C49" s="1047" t="s">
        <v>1408</v>
      </c>
      <c r="D49" s="1042" t="s">
        <v>2586</v>
      </c>
      <c r="E49" s="1043"/>
      <c r="F49" s="1043"/>
      <c r="G49" s="1043"/>
      <c r="H49" s="1043"/>
      <c r="I49" s="1043"/>
      <c r="J49" s="1043"/>
      <c r="K49" s="1043"/>
      <c r="L49" s="1043"/>
      <c r="M49" s="1044" t="str">
        <f t="shared" si="2"/>
        <v>⬜</v>
      </c>
    </row>
    <row r="50" ht="18.0" customHeight="1">
      <c r="A50" s="1045" t="s">
        <v>1278</v>
      </c>
      <c r="B50" s="1046" t="s">
        <v>2594</v>
      </c>
      <c r="C50" s="1047" t="s">
        <v>1408</v>
      </c>
      <c r="D50" s="1042" t="s">
        <v>2586</v>
      </c>
      <c r="E50" s="1043"/>
      <c r="F50" s="1043"/>
      <c r="G50" s="1043"/>
      <c r="H50" s="1043"/>
      <c r="I50" s="1043"/>
      <c r="J50" s="1043"/>
      <c r="K50" s="1043"/>
      <c r="L50" s="1043"/>
      <c r="M50" s="1044" t="str">
        <f t="shared" si="2"/>
        <v>⬜</v>
      </c>
    </row>
    <row r="51" ht="18.0" customHeight="1">
      <c r="A51" s="1045" t="s">
        <v>2190</v>
      </c>
      <c r="B51" s="1046" t="s">
        <v>2595</v>
      </c>
      <c r="C51" s="1047" t="s">
        <v>1408</v>
      </c>
      <c r="D51" s="1042" t="s">
        <v>2586</v>
      </c>
      <c r="E51" s="1043"/>
      <c r="F51" s="1043"/>
      <c r="G51" s="1043"/>
      <c r="H51" s="1043"/>
      <c r="I51" s="1043"/>
      <c r="J51" s="1043"/>
      <c r="K51" s="1043"/>
      <c r="L51" s="1043"/>
      <c r="M51" s="1044" t="str">
        <f t="shared" si="2"/>
        <v>⬜</v>
      </c>
    </row>
    <row r="52" ht="18.0" customHeight="1">
      <c r="A52" s="1045" t="s">
        <v>2187</v>
      </c>
      <c r="B52" s="1046" t="s">
        <v>2596</v>
      </c>
      <c r="C52" s="1047" t="s">
        <v>1408</v>
      </c>
      <c r="D52" s="1042" t="s">
        <v>2586</v>
      </c>
      <c r="E52" s="1043"/>
      <c r="F52" s="1043"/>
      <c r="G52" s="1043"/>
      <c r="H52" s="1043"/>
      <c r="I52" s="1043"/>
      <c r="J52" s="1043"/>
      <c r="K52" s="1043"/>
      <c r="L52" s="1043"/>
      <c r="M52" s="1044" t="str">
        <f t="shared" si="2"/>
        <v>⬜</v>
      </c>
    </row>
    <row r="53" ht="18.0" customHeight="1">
      <c r="A53" s="1048" t="s">
        <v>1412</v>
      </c>
      <c r="B53" s="1049" t="s">
        <v>2597</v>
      </c>
      <c r="C53" s="1050" t="s">
        <v>1413</v>
      </c>
      <c r="D53" s="1042" t="s">
        <v>2586</v>
      </c>
      <c r="E53" s="1043"/>
      <c r="F53" s="1043"/>
      <c r="G53" s="1043"/>
      <c r="H53" s="1043"/>
      <c r="I53" s="1043"/>
      <c r="J53" s="1043"/>
      <c r="K53" s="1043"/>
      <c r="L53" s="1043"/>
      <c r="M53" s="1044" t="str">
        <f t="shared" si="2"/>
        <v>⬜</v>
      </c>
    </row>
    <row r="54" ht="18.0" customHeight="1">
      <c r="A54" s="1048" t="s">
        <v>1289</v>
      </c>
      <c r="B54" s="1049" t="s">
        <v>2598</v>
      </c>
      <c r="C54" s="1050" t="s">
        <v>1413</v>
      </c>
      <c r="D54" s="1042" t="s">
        <v>2586</v>
      </c>
      <c r="E54" s="1043"/>
      <c r="F54" s="1043"/>
      <c r="G54" s="1043"/>
      <c r="H54" s="1043"/>
      <c r="I54" s="1043"/>
      <c r="J54" s="1043"/>
      <c r="K54" s="1043"/>
      <c r="L54" s="1043"/>
      <c r="M54" s="1044" t="str">
        <f t="shared" si="2"/>
        <v>⬜</v>
      </c>
    </row>
    <row r="55" ht="18.0" customHeight="1">
      <c r="A55" s="1048" t="s">
        <v>2196</v>
      </c>
      <c r="B55" s="1049" t="s">
        <v>2599</v>
      </c>
      <c r="C55" s="1050" t="s">
        <v>1413</v>
      </c>
      <c r="D55" s="1042" t="s">
        <v>2586</v>
      </c>
      <c r="E55" s="1043"/>
      <c r="F55" s="1043"/>
      <c r="G55" s="1043"/>
      <c r="H55" s="1043"/>
      <c r="I55" s="1043"/>
      <c r="J55" s="1043"/>
      <c r="K55" s="1043"/>
      <c r="L55" s="1043"/>
      <c r="M55" s="1044" t="str">
        <f t="shared" si="2"/>
        <v>⬜</v>
      </c>
    </row>
    <row r="56" ht="18.0" customHeight="1">
      <c r="A56" s="1048" t="s">
        <v>2201</v>
      </c>
      <c r="B56" s="1049" t="s">
        <v>2600</v>
      </c>
      <c r="C56" s="1050" t="s">
        <v>1413</v>
      </c>
      <c r="D56" s="1042" t="s">
        <v>2586</v>
      </c>
      <c r="E56" s="1043"/>
      <c r="F56" s="1043"/>
      <c r="G56" s="1043"/>
      <c r="H56" s="1043"/>
      <c r="I56" s="1043"/>
      <c r="J56" s="1043"/>
      <c r="K56" s="1043"/>
      <c r="L56" s="1043"/>
      <c r="M56" s="1044" t="str">
        <f t="shared" si="2"/>
        <v>⬜</v>
      </c>
    </row>
    <row r="57" ht="18.0" customHeight="1">
      <c r="A57" s="1048" t="s">
        <v>2204</v>
      </c>
      <c r="B57" s="1049" t="s">
        <v>2601</v>
      </c>
      <c r="C57" s="1050" t="s">
        <v>1413</v>
      </c>
      <c r="D57" s="1042" t="s">
        <v>2586</v>
      </c>
      <c r="E57" s="1043"/>
      <c r="F57" s="1043"/>
      <c r="G57" s="1043"/>
      <c r="H57" s="1043"/>
      <c r="I57" s="1043"/>
      <c r="J57" s="1043"/>
      <c r="K57" s="1043"/>
      <c r="L57" s="1043"/>
      <c r="M57" s="1044" t="str">
        <f t="shared" si="2"/>
        <v>⬜</v>
      </c>
    </row>
    <row r="58" ht="18.0" customHeight="1">
      <c r="A58" s="1048" t="s">
        <v>2198</v>
      </c>
      <c r="B58" s="1049" t="s">
        <v>2602</v>
      </c>
      <c r="C58" s="1050" t="s">
        <v>1413</v>
      </c>
      <c r="D58" s="1042" t="s">
        <v>2586</v>
      </c>
      <c r="E58" s="1043"/>
      <c r="F58" s="1043"/>
      <c r="G58" s="1043"/>
      <c r="H58" s="1043"/>
      <c r="I58" s="1043"/>
      <c r="J58" s="1043"/>
      <c r="K58" s="1043"/>
      <c r="L58" s="1043"/>
      <c r="M58" s="1044" t="str">
        <f t="shared" si="2"/>
        <v>⬜</v>
      </c>
    </row>
    <row r="59" ht="18.0" customHeight="1">
      <c r="A59" s="1048" t="s">
        <v>1233</v>
      </c>
      <c r="B59" s="1049" t="s">
        <v>2192</v>
      </c>
      <c r="C59" s="1050" t="s">
        <v>2220</v>
      </c>
      <c r="D59" s="1042" t="s">
        <v>2603</v>
      </c>
      <c r="E59" s="1043"/>
      <c r="F59" s="1043"/>
      <c r="G59" s="1043"/>
      <c r="H59" s="1043"/>
      <c r="I59" s="1043"/>
      <c r="J59" s="1043"/>
      <c r="K59" s="1043"/>
      <c r="L59" s="1043"/>
      <c r="M59" s="1044" t="str">
        <f t="shared" si="2"/>
        <v>⬜</v>
      </c>
    </row>
    <row r="60" ht="15.75" customHeight="1"/>
    <row r="61" ht="21.75" customHeight="1">
      <c r="A61" s="408" t="s">
        <v>2604</v>
      </c>
      <c r="B61" s="2"/>
      <c r="C61" s="2"/>
      <c r="D61" s="2"/>
      <c r="E61" s="2"/>
      <c r="F61" s="2"/>
      <c r="G61" s="2"/>
      <c r="H61" s="2"/>
      <c r="I61" s="2"/>
      <c r="J61" s="2"/>
      <c r="K61" s="2"/>
      <c r="L61" s="2"/>
      <c r="M61" s="2"/>
    </row>
    <row r="62" ht="18.0" customHeight="1">
      <c r="A62" s="1020" t="s">
        <v>2605</v>
      </c>
      <c r="B62" s="1013" t="s">
        <v>2606</v>
      </c>
      <c r="C62" s="2"/>
      <c r="D62" s="2"/>
      <c r="E62" s="1051" t="s">
        <v>2607</v>
      </c>
      <c r="F62" s="2"/>
      <c r="G62" s="2"/>
      <c r="H62" s="2"/>
      <c r="I62" s="2"/>
      <c r="J62" s="2"/>
      <c r="K62" s="2"/>
      <c r="L62" s="2"/>
      <c r="M62" s="2"/>
    </row>
    <row r="63" ht="18.0" customHeight="1">
      <c r="A63" s="1015" t="s">
        <v>2608</v>
      </c>
      <c r="B63" s="1008" t="s">
        <v>2510</v>
      </c>
      <c r="C63" s="2"/>
      <c r="D63" s="2"/>
      <c r="E63" s="1052" t="s">
        <v>2609</v>
      </c>
      <c r="F63" s="2"/>
      <c r="G63" s="2"/>
      <c r="H63" s="2"/>
      <c r="I63" s="2"/>
      <c r="J63" s="2"/>
      <c r="K63" s="2"/>
      <c r="L63" s="2"/>
      <c r="M63" s="2"/>
    </row>
    <row r="64" ht="18.0" customHeight="1">
      <c r="A64" s="1020" t="s">
        <v>2610</v>
      </c>
      <c r="B64" s="1013" t="s">
        <v>2514</v>
      </c>
      <c r="C64" s="2"/>
      <c r="D64" s="2"/>
      <c r="E64" s="1051" t="s">
        <v>2611</v>
      </c>
      <c r="F64" s="2"/>
      <c r="G64" s="2"/>
      <c r="H64" s="2"/>
      <c r="I64" s="2"/>
      <c r="J64" s="2"/>
      <c r="K64" s="2"/>
      <c r="L64" s="2"/>
      <c r="M64" s="2"/>
    </row>
    <row r="65" ht="18.0" customHeight="1">
      <c r="A65" s="1015" t="s">
        <v>2612</v>
      </c>
      <c r="B65" s="1008" t="s">
        <v>2613</v>
      </c>
      <c r="C65" s="2"/>
      <c r="D65" s="2"/>
      <c r="E65" s="1052" t="s">
        <v>2614</v>
      </c>
      <c r="F65" s="2"/>
      <c r="G65" s="2"/>
      <c r="H65" s="2"/>
      <c r="I65" s="2"/>
      <c r="J65" s="2"/>
      <c r="K65" s="2"/>
      <c r="L65" s="2"/>
      <c r="M65" s="2"/>
    </row>
    <row r="66" ht="18.0" customHeight="1">
      <c r="A66" s="1020" t="s">
        <v>2615</v>
      </c>
      <c r="B66" s="1013" t="s">
        <v>2616</v>
      </c>
      <c r="C66" s="2"/>
      <c r="D66" s="2"/>
      <c r="E66" s="1051" t="s">
        <v>2617</v>
      </c>
      <c r="F66" s="2"/>
      <c r="G66" s="2"/>
      <c r="H66" s="2"/>
      <c r="I66" s="2"/>
      <c r="J66" s="2"/>
      <c r="K66" s="2"/>
      <c r="L66" s="2"/>
      <c r="M66" s="2"/>
    </row>
    <row r="67" ht="18.0" customHeight="1">
      <c r="A67" s="1015" t="s">
        <v>2618</v>
      </c>
      <c r="B67" s="1008" t="s">
        <v>2619</v>
      </c>
      <c r="C67" s="2"/>
      <c r="D67" s="2"/>
      <c r="E67" s="1052" t="s">
        <v>2620</v>
      </c>
      <c r="F67" s="2"/>
      <c r="G67" s="2"/>
      <c r="H67" s="2"/>
      <c r="I67" s="2"/>
      <c r="J67" s="2"/>
      <c r="K67" s="2"/>
      <c r="L67" s="2"/>
      <c r="M67" s="2"/>
    </row>
    <row r="68" ht="18.0" customHeight="1">
      <c r="A68" s="1020" t="s">
        <v>2621</v>
      </c>
      <c r="B68" s="1013" t="s">
        <v>2622</v>
      </c>
      <c r="C68" s="2"/>
      <c r="D68" s="2"/>
      <c r="E68" s="1051" t="s">
        <v>2623</v>
      </c>
      <c r="F68" s="2"/>
      <c r="G68" s="2"/>
      <c r="H68" s="2"/>
      <c r="I68" s="2"/>
      <c r="J68" s="2"/>
      <c r="K68" s="2"/>
      <c r="L68" s="2"/>
      <c r="M68" s="2"/>
    </row>
    <row r="69" ht="18.0" customHeight="1">
      <c r="A69" s="1015" t="s">
        <v>2624</v>
      </c>
      <c r="B69" s="1008" t="s">
        <v>2625</v>
      </c>
      <c r="C69" s="2"/>
      <c r="D69" s="2"/>
      <c r="E69" s="1052" t="s">
        <v>2626</v>
      </c>
      <c r="F69" s="2"/>
      <c r="G69" s="2"/>
      <c r="H69" s="2"/>
      <c r="I69" s="2"/>
      <c r="J69" s="2"/>
      <c r="K69" s="2"/>
      <c r="L69" s="2"/>
      <c r="M69" s="2"/>
    </row>
    <row r="70" ht="15.75" customHeight="1"/>
    <row r="71" ht="21.75" customHeight="1">
      <c r="A71" s="408" t="s">
        <v>2627</v>
      </c>
      <c r="B71" s="2"/>
      <c r="C71" s="2"/>
      <c r="D71" s="2"/>
      <c r="E71" s="2"/>
      <c r="F71" s="2"/>
      <c r="G71" s="2"/>
      <c r="H71" s="2"/>
      <c r="I71" s="2"/>
      <c r="J71" s="2"/>
      <c r="K71" s="2"/>
      <c r="L71" s="2"/>
      <c r="M71" s="2"/>
    </row>
    <row r="72" ht="18.0" customHeight="1">
      <c r="A72" s="750" t="s">
        <v>2628</v>
      </c>
      <c r="B72" s="750" t="s">
        <v>1206</v>
      </c>
      <c r="C72" s="750" t="s">
        <v>2629</v>
      </c>
      <c r="D72" s="750" t="s">
        <v>1428</v>
      </c>
      <c r="E72" s="750" t="s">
        <v>1206</v>
      </c>
      <c r="F72" s="750" t="s">
        <v>1430</v>
      </c>
      <c r="G72" s="750" t="s">
        <v>2630</v>
      </c>
      <c r="H72" s="750" t="s">
        <v>2631</v>
      </c>
      <c r="I72" s="750" t="s">
        <v>1519</v>
      </c>
    </row>
    <row r="73" ht="18.75" customHeight="1">
      <c r="A73" s="1053" t="s">
        <v>1213</v>
      </c>
      <c r="B73" s="1053" t="s">
        <v>2632</v>
      </c>
      <c r="C73" s="1053" t="s">
        <v>2633</v>
      </c>
      <c r="D73" s="1053" t="s">
        <v>2634</v>
      </c>
      <c r="E73" s="1053" t="s">
        <v>2635</v>
      </c>
      <c r="F73" s="1053" t="s">
        <v>1436</v>
      </c>
      <c r="G73" s="1053" t="str">
        <f>IF(ISNUMBER(F73),(F73-D73)/D73,"-")</f>
        <v>-</v>
      </c>
      <c r="H73" s="1053" t="s">
        <v>1437</v>
      </c>
      <c r="I73" s="1053" t="s">
        <v>1438</v>
      </c>
    </row>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3">
    <mergeCell ref="C11:D11"/>
    <mergeCell ref="E11:F11"/>
    <mergeCell ref="A12:B12"/>
    <mergeCell ref="C12:D12"/>
    <mergeCell ref="E12:F12"/>
    <mergeCell ref="G12:I12"/>
    <mergeCell ref="A13:B13"/>
    <mergeCell ref="G13:I13"/>
    <mergeCell ref="C13:D13"/>
    <mergeCell ref="E13:F13"/>
    <mergeCell ref="J13:M13"/>
    <mergeCell ref="A15:M15"/>
    <mergeCell ref="B16:C16"/>
    <mergeCell ref="G16:M16"/>
    <mergeCell ref="G17:M17"/>
    <mergeCell ref="G18:M18"/>
    <mergeCell ref="G19:M19"/>
    <mergeCell ref="G20:M20"/>
    <mergeCell ref="G21:M21"/>
    <mergeCell ref="G22:M22"/>
    <mergeCell ref="G23:M23"/>
    <mergeCell ref="G24:M24"/>
    <mergeCell ref="A25:C25"/>
    <mergeCell ref="E25:F25"/>
    <mergeCell ref="A26:C26"/>
    <mergeCell ref="D26:M26"/>
    <mergeCell ref="A29:M29"/>
    <mergeCell ref="M30:O30"/>
    <mergeCell ref="M31:O31"/>
    <mergeCell ref="M32:O32"/>
    <mergeCell ref="M33:O33"/>
    <mergeCell ref="M34:O34"/>
    <mergeCell ref="M35:O35"/>
    <mergeCell ref="M36:O36"/>
    <mergeCell ref="M37:O37"/>
    <mergeCell ref="M38:O38"/>
    <mergeCell ref="B64:D64"/>
    <mergeCell ref="B65:D65"/>
    <mergeCell ref="B66:D66"/>
    <mergeCell ref="B67:D67"/>
    <mergeCell ref="B68:D68"/>
    <mergeCell ref="B69:D69"/>
    <mergeCell ref="E65:M65"/>
    <mergeCell ref="E66:M66"/>
    <mergeCell ref="E67:M67"/>
    <mergeCell ref="E68:M68"/>
    <mergeCell ref="E69:M69"/>
    <mergeCell ref="A71:M71"/>
    <mergeCell ref="I73:M73"/>
    <mergeCell ref="M39:O39"/>
    <mergeCell ref="A61:M61"/>
    <mergeCell ref="B62:D62"/>
    <mergeCell ref="E62:M62"/>
    <mergeCell ref="B63:D63"/>
    <mergeCell ref="E63:M63"/>
    <mergeCell ref="E64:M64"/>
    <mergeCell ref="A1:M1"/>
    <mergeCell ref="A2:M2"/>
    <mergeCell ref="A4:M4"/>
    <mergeCell ref="C5:D5"/>
    <mergeCell ref="E5:F5"/>
    <mergeCell ref="G5:I5"/>
    <mergeCell ref="J5:M5"/>
    <mergeCell ref="G7:I7"/>
    <mergeCell ref="J7:M7"/>
    <mergeCell ref="J8:M8"/>
    <mergeCell ref="A5:B5"/>
    <mergeCell ref="A6:B6"/>
    <mergeCell ref="C6:D6"/>
    <mergeCell ref="E6:F6"/>
    <mergeCell ref="G6:I6"/>
    <mergeCell ref="J6:M6"/>
    <mergeCell ref="A7:B7"/>
    <mergeCell ref="C9:D9"/>
    <mergeCell ref="E9:F9"/>
    <mergeCell ref="J9:M9"/>
    <mergeCell ref="C7:D7"/>
    <mergeCell ref="E7:F7"/>
    <mergeCell ref="A8:B8"/>
    <mergeCell ref="C8:D8"/>
    <mergeCell ref="E8:F8"/>
    <mergeCell ref="G8:I8"/>
    <mergeCell ref="G9:I9"/>
    <mergeCell ref="G11:I11"/>
    <mergeCell ref="J11:M11"/>
    <mergeCell ref="J12:M12"/>
    <mergeCell ref="A9:B9"/>
    <mergeCell ref="A10:B10"/>
    <mergeCell ref="C10:D10"/>
    <mergeCell ref="E10:F10"/>
    <mergeCell ref="G10:I10"/>
    <mergeCell ref="J10:M10"/>
    <mergeCell ref="A11:B11"/>
  </mergeCell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0"/>
    <col customWidth="1" min="2" max="2" width="22.0"/>
    <col customWidth="1" min="3" max="6" width="14.0"/>
    <col customWidth="1" min="7" max="8" width="20.0"/>
  </cols>
  <sheetData>
    <row r="1" ht="27.75" customHeight="1">
      <c r="B1" s="1054" t="s">
        <v>2636</v>
      </c>
      <c r="C1" s="2"/>
      <c r="D1" s="2"/>
      <c r="E1" s="2"/>
      <c r="F1" s="2"/>
      <c r="G1" s="2"/>
      <c r="H1" s="2"/>
    </row>
    <row r="2" ht="15.0" customHeight="1"/>
    <row r="3" ht="19.5" customHeight="1">
      <c r="B3" s="1055" t="s">
        <v>2637</v>
      </c>
      <c r="C3" s="2"/>
      <c r="D3" s="2"/>
      <c r="E3" s="2"/>
      <c r="F3" s="2"/>
      <c r="G3" s="2"/>
      <c r="H3" s="2"/>
    </row>
    <row r="4" ht="15.0" customHeight="1">
      <c r="B4" s="1056">
        <v>5000.0</v>
      </c>
      <c r="C4" s="1057">
        <v>3500.0</v>
      </c>
      <c r="D4" s="1056" t="s">
        <v>2638</v>
      </c>
      <c r="E4" s="1057" t="s">
        <v>2638</v>
      </c>
    </row>
    <row r="5" ht="15.0" customHeight="1">
      <c r="B5" s="30" t="s">
        <v>269</v>
      </c>
      <c r="C5" s="30" t="s">
        <v>250</v>
      </c>
      <c r="D5" s="30" t="s">
        <v>1206</v>
      </c>
      <c r="E5" s="30" t="s">
        <v>310</v>
      </c>
      <c r="F5" s="30" t="s">
        <v>1208</v>
      </c>
      <c r="G5" s="30" t="s">
        <v>2143</v>
      </c>
      <c r="H5" s="30" t="s">
        <v>272</v>
      </c>
    </row>
    <row r="6" ht="16.5" customHeight="1">
      <c r="B6" s="1058" t="s">
        <v>2639</v>
      </c>
      <c r="C6" s="1058" t="s">
        <v>25</v>
      </c>
      <c r="D6" s="1058" t="s">
        <v>548</v>
      </c>
      <c r="E6" s="1058" t="s">
        <v>2640</v>
      </c>
      <c r="F6" s="1058" t="s">
        <v>2640</v>
      </c>
      <c r="G6" s="1059">
        <f>CONFIG!B8</f>
        <v>37008</v>
      </c>
      <c r="H6" s="1058" t="s">
        <v>2641</v>
      </c>
    </row>
    <row r="7" ht="16.5" customHeight="1">
      <c r="B7" s="1060" t="s">
        <v>2642</v>
      </c>
      <c r="C7" s="1060" t="s">
        <v>22</v>
      </c>
      <c r="D7" s="1060" t="s">
        <v>1247</v>
      </c>
      <c r="E7" s="1060" t="s">
        <v>2643</v>
      </c>
      <c r="F7" s="1060" t="s">
        <v>1765</v>
      </c>
      <c r="G7" s="1061">
        <f>CONFIG!B7</f>
        <v>13700</v>
      </c>
      <c r="H7" s="1060" t="s">
        <v>2644</v>
      </c>
    </row>
    <row r="8" ht="16.5" customHeight="1">
      <c r="B8" s="1062" t="s">
        <v>2645</v>
      </c>
      <c r="C8" s="1062" t="s">
        <v>19</v>
      </c>
      <c r="D8" s="1062" t="s">
        <v>2646</v>
      </c>
      <c r="E8" s="1062" t="s">
        <v>2276</v>
      </c>
      <c r="F8" s="1062" t="s">
        <v>2647</v>
      </c>
      <c r="G8" s="1063">
        <f>CONFIG!B6</f>
        <v>69600</v>
      </c>
      <c r="H8" s="1062" t="s">
        <v>2648</v>
      </c>
    </row>
    <row r="9" ht="15.0" customHeight="1">
      <c r="A9" s="1064" t="s">
        <v>2649</v>
      </c>
      <c r="B9" s="1065" t="s">
        <v>2650</v>
      </c>
      <c r="C9" s="1065" t="s">
        <v>2651</v>
      </c>
      <c r="D9" s="1065" t="s">
        <v>2652</v>
      </c>
      <c r="E9" s="1065" t="s">
        <v>2653</v>
      </c>
    </row>
    <row r="10" ht="19.5" customHeight="1">
      <c r="B10" s="1066" t="s">
        <v>2654</v>
      </c>
      <c r="C10" s="2"/>
      <c r="D10" s="2"/>
      <c r="E10" s="2"/>
      <c r="F10" s="2"/>
      <c r="G10" s="2"/>
      <c r="H10" s="2"/>
    </row>
    <row r="11" ht="15.0" customHeight="1">
      <c r="B11" s="100" t="s">
        <v>269</v>
      </c>
      <c r="C11" s="100" t="s">
        <v>1206</v>
      </c>
      <c r="D11" s="100" t="s">
        <v>250</v>
      </c>
      <c r="E11" s="100" t="s">
        <v>1324</v>
      </c>
      <c r="F11" s="100" t="s">
        <v>1772</v>
      </c>
      <c r="G11" s="100" t="s">
        <v>2655</v>
      </c>
      <c r="H11" s="100" t="s">
        <v>588</v>
      </c>
    </row>
    <row r="12" ht="16.5" customHeight="1">
      <c r="B12" s="1067" t="s">
        <v>2656</v>
      </c>
      <c r="C12" s="1068" t="s">
        <v>1240</v>
      </c>
      <c r="D12" s="1058" t="s">
        <v>19</v>
      </c>
      <c r="E12" s="1068" t="s">
        <v>2657</v>
      </c>
      <c r="F12" s="1068" t="s">
        <v>2658</v>
      </c>
      <c r="G12" s="1068" t="s">
        <v>2659</v>
      </c>
      <c r="H12" s="1068" t="s">
        <v>2660</v>
      </c>
    </row>
    <row r="13" ht="16.5" customHeight="1">
      <c r="B13" s="1060" t="s">
        <v>2661</v>
      </c>
      <c r="C13" s="1060" t="s">
        <v>2201</v>
      </c>
      <c r="D13" s="1060" t="s">
        <v>19</v>
      </c>
      <c r="E13" s="1060" t="s">
        <v>2662</v>
      </c>
      <c r="F13" s="1060" t="s">
        <v>2663</v>
      </c>
      <c r="G13" s="1060" t="s">
        <v>2664</v>
      </c>
      <c r="H13" s="1069" t="s">
        <v>2665</v>
      </c>
    </row>
    <row r="14" ht="16.5" customHeight="1">
      <c r="B14" s="1062" t="s">
        <v>2666</v>
      </c>
      <c r="C14" s="1062" t="s">
        <v>1412</v>
      </c>
      <c r="D14" s="1062" t="s">
        <v>19</v>
      </c>
      <c r="E14" s="1062" t="s">
        <v>2667</v>
      </c>
      <c r="F14" s="1062" t="s">
        <v>2668</v>
      </c>
      <c r="G14" s="1062" t="s">
        <v>2669</v>
      </c>
      <c r="H14" s="1069" t="s">
        <v>2665</v>
      </c>
    </row>
    <row r="15" ht="16.5" customHeight="1">
      <c r="B15" s="1060" t="s">
        <v>2670</v>
      </c>
      <c r="C15" s="1060" t="s">
        <v>2204</v>
      </c>
      <c r="D15" s="1060" t="s">
        <v>19</v>
      </c>
      <c r="E15" s="1060" t="s">
        <v>1338</v>
      </c>
      <c r="F15" s="1060" t="s">
        <v>2671</v>
      </c>
      <c r="G15" s="1060" t="s">
        <v>2672</v>
      </c>
      <c r="H15" s="1069" t="s">
        <v>2665</v>
      </c>
    </row>
    <row r="16" ht="15.0" customHeight="1"/>
    <row r="17" ht="19.5" customHeight="1">
      <c r="B17" s="1070" t="s">
        <v>2673</v>
      </c>
      <c r="C17" s="2"/>
      <c r="D17" s="2"/>
      <c r="E17" s="2"/>
      <c r="F17" s="2"/>
      <c r="G17" s="2"/>
      <c r="H17" s="2"/>
    </row>
    <row r="18" ht="16.5" customHeight="1">
      <c r="B18" s="1071" t="s">
        <v>2674</v>
      </c>
      <c r="C18" s="2"/>
      <c r="D18" s="1072" t="s">
        <v>2675</v>
      </c>
      <c r="E18" s="2"/>
      <c r="F18" s="2"/>
      <c r="G18" s="2"/>
      <c r="H18" s="2"/>
    </row>
    <row r="19" ht="16.5" customHeight="1">
      <c r="B19" s="1073" t="s">
        <v>2676</v>
      </c>
      <c r="C19" s="2"/>
      <c r="D19" s="1074" t="s">
        <v>2677</v>
      </c>
      <c r="E19" s="2"/>
      <c r="F19" s="2"/>
      <c r="G19" s="2"/>
      <c r="H19" s="2"/>
    </row>
    <row r="20" ht="16.5" customHeight="1">
      <c r="B20" s="1071" t="s">
        <v>2678</v>
      </c>
      <c r="C20" s="2"/>
      <c r="D20" s="1072" t="s">
        <v>2679</v>
      </c>
      <c r="E20" s="2"/>
      <c r="F20" s="2"/>
      <c r="G20" s="2"/>
      <c r="H20" s="2"/>
    </row>
    <row r="21" ht="16.5" customHeight="1">
      <c r="B21" s="1073" t="s">
        <v>2680</v>
      </c>
      <c r="C21" s="2"/>
      <c r="D21" s="1074" t="s">
        <v>2681</v>
      </c>
      <c r="E21" s="2"/>
      <c r="F21" s="2"/>
      <c r="G21" s="2"/>
      <c r="H21" s="2"/>
    </row>
    <row r="22" ht="16.5" customHeight="1">
      <c r="B22" s="1071" t="s">
        <v>2682</v>
      </c>
      <c r="C22" s="2"/>
      <c r="D22" s="1072" t="s">
        <v>2683</v>
      </c>
      <c r="E22" s="2"/>
      <c r="F22" s="2"/>
      <c r="G22" s="2"/>
      <c r="H22" s="2"/>
    </row>
    <row r="23" ht="15.75" customHeight="1"/>
    <row r="24" ht="19.5" customHeight="1">
      <c r="B24" s="1075" t="s">
        <v>2684</v>
      </c>
      <c r="C24" s="2"/>
      <c r="D24" s="2"/>
      <c r="E24" s="2"/>
      <c r="F24" s="2"/>
      <c r="G24" s="2"/>
      <c r="H24" s="2"/>
    </row>
    <row r="25" ht="15.0" customHeight="1">
      <c r="B25" s="1076" t="s">
        <v>1112</v>
      </c>
      <c r="C25" s="2"/>
      <c r="D25" s="1077" t="s">
        <v>1727</v>
      </c>
      <c r="E25" s="1077" t="s">
        <v>2685</v>
      </c>
      <c r="F25" s="1077" t="s">
        <v>2686</v>
      </c>
      <c r="G25" s="1077" t="s">
        <v>896</v>
      </c>
      <c r="H25" s="1077"/>
    </row>
    <row r="26" ht="16.5" customHeight="1">
      <c r="B26" s="1073" t="s">
        <v>2687</v>
      </c>
      <c r="C26" s="2"/>
      <c r="D26" s="1060" t="s">
        <v>2688</v>
      </c>
      <c r="E26" s="1060" t="s">
        <v>2689</v>
      </c>
      <c r="F26" s="1060" t="s">
        <v>2690</v>
      </c>
      <c r="G26" s="1060" t="s">
        <v>2691</v>
      </c>
    </row>
    <row r="27" ht="16.5" customHeight="1">
      <c r="B27" s="1078" t="s">
        <v>2692</v>
      </c>
      <c r="C27" s="2"/>
      <c r="D27" s="1079" t="s">
        <v>2688</v>
      </c>
      <c r="E27" s="1079" t="s">
        <v>2693</v>
      </c>
      <c r="F27" s="1079" t="s">
        <v>2694</v>
      </c>
      <c r="G27" s="1079" t="s">
        <v>2695</v>
      </c>
    </row>
    <row r="28" ht="16.5" customHeight="1">
      <c r="B28" s="1073" t="s">
        <v>2696</v>
      </c>
      <c r="C28" s="2"/>
      <c r="D28" s="1060" t="s">
        <v>2688</v>
      </c>
      <c r="E28" s="1060" t="s">
        <v>2697</v>
      </c>
      <c r="F28" s="1060" t="s">
        <v>2698</v>
      </c>
      <c r="G28" s="1060" t="s">
        <v>2699</v>
      </c>
    </row>
    <row r="29" ht="16.5" customHeight="1">
      <c r="B29" s="1078" t="s">
        <v>2700</v>
      </c>
      <c r="C29" s="2"/>
      <c r="D29" s="1079" t="s">
        <v>2688</v>
      </c>
      <c r="E29" s="1079" t="s">
        <v>2701</v>
      </c>
      <c r="F29" s="1079" t="s">
        <v>2702</v>
      </c>
      <c r="G29" s="1079" t="s">
        <v>2703</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D20:H20"/>
    <mergeCell ref="D21:H21"/>
    <mergeCell ref="D22:H22"/>
    <mergeCell ref="B24:H24"/>
    <mergeCell ref="B1:H1"/>
    <mergeCell ref="B3:H3"/>
    <mergeCell ref="B10:H10"/>
    <mergeCell ref="B17:H17"/>
    <mergeCell ref="B18:C18"/>
    <mergeCell ref="D18:H18"/>
    <mergeCell ref="D19:H19"/>
    <mergeCell ref="B28:C28"/>
    <mergeCell ref="B29:C29"/>
    <mergeCell ref="B19:C19"/>
    <mergeCell ref="B20:C20"/>
    <mergeCell ref="B21:C21"/>
    <mergeCell ref="B22:C22"/>
    <mergeCell ref="B25:C25"/>
    <mergeCell ref="B26:C26"/>
    <mergeCell ref="B27:C27"/>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0"/>
    <col customWidth="1" min="2" max="2" width="18.0"/>
    <col customWidth="1" min="3" max="3" width="14.0"/>
    <col customWidth="1" min="4" max="6" width="12.0"/>
    <col customWidth="1" min="7" max="7" width="14.0"/>
    <col customWidth="1" min="8" max="8" width="22.0"/>
  </cols>
  <sheetData>
    <row r="1" ht="27.75" customHeight="1">
      <c r="B1" s="1080" t="s">
        <v>2704</v>
      </c>
      <c r="C1" s="2"/>
      <c r="D1" s="2"/>
      <c r="E1" s="2"/>
      <c r="F1" s="2"/>
      <c r="G1" s="2"/>
      <c r="H1" s="2"/>
    </row>
    <row r="2" ht="18.0" customHeight="1"/>
    <row r="3" ht="19.5" customHeight="1">
      <c r="B3" s="1055" t="s">
        <v>2705</v>
      </c>
      <c r="C3" s="2"/>
      <c r="D3" s="2"/>
      <c r="E3" s="2"/>
      <c r="F3" s="2"/>
      <c r="G3" s="2"/>
      <c r="H3" s="2"/>
    </row>
    <row r="4" ht="18.0" customHeight="1">
      <c r="B4" s="30" t="s">
        <v>2706</v>
      </c>
      <c r="D4" s="30" t="s">
        <v>1711</v>
      </c>
      <c r="F4" s="30" t="s">
        <v>1774</v>
      </c>
      <c r="H4" s="30"/>
    </row>
    <row r="5" ht="18.0" customHeight="1">
      <c r="B5" s="1071" t="s">
        <v>2707</v>
      </c>
      <c r="C5" s="2"/>
      <c r="D5" s="1071" t="str">
        <f>IF(CONFIG!B34&lt;1000,"🔴 CRITIQUE","✅ OK")</f>
        <v>✅ OK</v>
      </c>
      <c r="E5" s="2"/>
      <c r="F5" s="1072" t="s">
        <v>2708</v>
      </c>
      <c r="G5" s="2"/>
      <c r="H5" s="2"/>
    </row>
    <row r="6" ht="18.0" customHeight="1">
      <c r="B6" s="1073" t="s">
        <v>2709</v>
      </c>
      <c r="C6" s="2"/>
      <c r="D6" s="1081" t="s">
        <v>2710</v>
      </c>
      <c r="E6" s="2"/>
      <c r="F6" s="1074" t="s">
        <v>2711</v>
      </c>
      <c r="G6" s="2"/>
      <c r="H6" s="2"/>
    </row>
    <row r="7" ht="18.0" customHeight="1">
      <c r="B7" s="1071" t="s">
        <v>2712</v>
      </c>
      <c r="C7" s="2"/>
      <c r="D7" s="1071" t="str">
        <f>IF(CONFIG!B32&gt;0.65,"🔴 &gt;65%",IF(CONFIG!B32&gt;0.6,"🟡 SURVEILLER","✅ OK"))</f>
        <v>🔴 &gt;65%</v>
      </c>
      <c r="E7" s="2"/>
      <c r="F7" s="1072" t="s">
        <v>2713</v>
      </c>
      <c r="G7" s="2"/>
      <c r="H7" s="2"/>
    </row>
    <row r="8" ht="18.0" customHeight="1">
      <c r="B8" s="1073" t="s">
        <v>2714</v>
      </c>
      <c r="C8" s="2"/>
      <c r="D8" s="1073" t="str">
        <f>IF(CONFIG!B31&gt;0.45,"🔴 &gt;45%",IF(CONFIG!B31&gt;0.4,"🟡 PROCHE","✅ OK"))</f>
        <v>✅ OK</v>
      </c>
      <c r="E8" s="2"/>
      <c r="F8" s="1074" t="s">
        <v>2715</v>
      </c>
      <c r="G8" s="2"/>
      <c r="H8" s="2"/>
    </row>
    <row r="9" ht="18.0" customHeight="1">
      <c r="B9" s="1071" t="s">
        <v>2716</v>
      </c>
      <c r="C9" s="2"/>
      <c r="D9" s="1071" t="str">
        <f>IF(CONFIG!B7&lt;500,"⚠️ QUASI PLEIN","✅ OK")</f>
        <v>✅ OK</v>
      </c>
      <c r="E9" s="2"/>
      <c r="F9" s="1072" t="str">
        <f>" Room: $"&amp;TEXT(CONFIG!B7,"#,##0")</f>
        <v> Room: $13,700</v>
      </c>
      <c r="G9" s="2"/>
      <c r="H9" s="2"/>
    </row>
    <row r="10" ht="18.0" customHeight="1">
      <c r="B10" s="1073" t="s">
        <v>2717</v>
      </c>
      <c r="C10" s="2"/>
      <c r="D10" s="1073" t="s">
        <v>2718</v>
      </c>
      <c r="E10" s="2"/>
      <c r="F10" s="1074" t="s">
        <v>2719</v>
      </c>
      <c r="G10" s="2"/>
      <c r="H10" s="2"/>
    </row>
    <row r="11" ht="18.0" customHeight="1"/>
    <row r="12" ht="19.5" customHeight="1">
      <c r="B12" s="1075" t="s">
        <v>2720</v>
      </c>
      <c r="C12" s="2"/>
      <c r="D12" s="2"/>
      <c r="E12" s="2"/>
      <c r="F12" s="2"/>
      <c r="G12" s="2"/>
      <c r="H12" s="2"/>
    </row>
    <row r="13" ht="18.0" customHeight="1">
      <c r="B13" s="1077" t="s">
        <v>1647</v>
      </c>
      <c r="C13" s="1077" t="s">
        <v>1206</v>
      </c>
      <c r="D13" s="1077" t="s">
        <v>2721</v>
      </c>
      <c r="E13" s="1077" t="s">
        <v>2722</v>
      </c>
      <c r="F13" s="1077" t="s">
        <v>270</v>
      </c>
      <c r="G13" s="1077" t="s">
        <v>2723</v>
      </c>
      <c r="H13" s="1077" t="s">
        <v>588</v>
      </c>
    </row>
    <row r="14" ht="18.0" customHeight="1">
      <c r="B14" s="1060" t="s">
        <v>1653</v>
      </c>
      <c r="C14" s="1060" t="s">
        <v>536</v>
      </c>
      <c r="D14" s="1082">
        <f>IFERROR(__xludf.DUMMYFUNCTION("IFERROR(googlefinance(""AVGO""),CONFIG!G8)"),322.16)</f>
        <v>322.16</v>
      </c>
      <c r="E14" s="1060">
        <v>320.0</v>
      </c>
      <c r="F14" s="1060" t="str">
        <f t="shared" ref="F14:F18" si="1">IF(ISNUMBER(D14),IF(D14&lt;E14,"🟢 ACHETER","⏳ ATTENDRE"),"—")</f>
        <v>⏳ ATTENDRE</v>
      </c>
      <c r="G14" s="1060" t="s">
        <v>2724</v>
      </c>
      <c r="H14" s="1060" t="s">
        <v>2725</v>
      </c>
    </row>
    <row r="15" ht="18.0" customHeight="1">
      <c r="B15" s="1079" t="s">
        <v>1653</v>
      </c>
      <c r="C15" s="1079" t="s">
        <v>1223</v>
      </c>
      <c r="D15" s="1083">
        <f>IFERROR(__xludf.DUMMYFUNCTION("IFERROR(googlefinance(""SMH""),CONFIG!G10)"),387.33)</f>
        <v>387.33</v>
      </c>
      <c r="E15" s="1079">
        <v>350.0</v>
      </c>
      <c r="F15" s="1079" t="str">
        <f t="shared" si="1"/>
        <v>⏳ ATTENDRE</v>
      </c>
      <c r="G15" s="1079" t="s">
        <v>593</v>
      </c>
      <c r="H15" s="1079" t="s">
        <v>2726</v>
      </c>
    </row>
    <row r="16" ht="18.0" customHeight="1">
      <c r="B16" s="1060" t="s">
        <v>1653</v>
      </c>
      <c r="C16" s="1060" t="s">
        <v>2153</v>
      </c>
      <c r="D16" s="1082">
        <f>IFERROR(__xludf.DUMMYFUNCTION("IFERROR(googlefinance(""GOOG""),CONFIG!G7)"),301.46)</f>
        <v>301.46</v>
      </c>
      <c r="E16" s="1060">
        <v>280.0</v>
      </c>
      <c r="F16" s="1060" t="str">
        <f t="shared" si="1"/>
        <v>⏳ ATTENDRE</v>
      </c>
      <c r="G16" s="1060" t="s">
        <v>593</v>
      </c>
      <c r="H16" s="1060" t="s">
        <v>2727</v>
      </c>
    </row>
    <row r="17" ht="18.0" customHeight="1">
      <c r="B17" s="1079" t="s">
        <v>1653</v>
      </c>
      <c r="C17" s="1079" t="s">
        <v>2161</v>
      </c>
      <c r="D17" s="1083">
        <f>IFERROR(__xludf.DUMMYFUNCTION("IFERROR(googlefinance(""META""),CONFIG!G11)"),613.71)</f>
        <v>613.71</v>
      </c>
      <c r="E17" s="1079">
        <v>580.0</v>
      </c>
      <c r="F17" s="1079" t="str">
        <f t="shared" si="1"/>
        <v>⏳ ATTENDRE</v>
      </c>
      <c r="G17" s="1079" t="s">
        <v>2728</v>
      </c>
      <c r="H17" s="1079" t="s">
        <v>2729</v>
      </c>
    </row>
    <row r="18" ht="18.0" customHeight="1">
      <c r="B18" s="1060" t="s">
        <v>1653</v>
      </c>
      <c r="C18" s="1060" t="s">
        <v>1247</v>
      </c>
      <c r="D18" s="1082">
        <f>IFERROR(__xludf.DUMMYFUNCTION("IFERROR(googlefinance(""TSE:VFV""),CONFIG!G6)"),161.8)</f>
        <v>161.8</v>
      </c>
      <c r="E18" s="1060">
        <v>155.0</v>
      </c>
      <c r="F18" s="1060" t="str">
        <f t="shared" si="1"/>
        <v>⏳ ATTENDRE</v>
      </c>
      <c r="G18" s="1060" t="s">
        <v>593</v>
      </c>
      <c r="H18" s="1060" t="s">
        <v>2730</v>
      </c>
    </row>
    <row r="19" ht="18.0" customHeight="1">
      <c r="B19" s="1079" t="s">
        <v>1655</v>
      </c>
      <c r="C19" s="1079" t="s">
        <v>2169</v>
      </c>
      <c r="D19" s="1083">
        <f>IFERROR(__xludf.DUMMYFUNCTION("IFERROR(googlefinance(""NVDA""),CONFIG!G16)"),180.25)</f>
        <v>180.25</v>
      </c>
      <c r="E19" s="1079">
        <v>160.0</v>
      </c>
      <c r="F19" s="1079" t="str">
        <f t="shared" ref="F19:F20" si="2">IF(ISNUMBER(D19),IF(D19&lt;E19,"🔵 T2 DIP","⏳ TENIR"),"—")</f>
        <v>⏳ TENIR</v>
      </c>
      <c r="G19" s="1079" t="s">
        <v>2731</v>
      </c>
      <c r="H19" s="1079" t="s">
        <v>2732</v>
      </c>
    </row>
    <row r="20" ht="18.0" customHeight="1">
      <c r="B20" s="1060" t="s">
        <v>1655</v>
      </c>
      <c r="C20" s="1060" t="s">
        <v>2167</v>
      </c>
      <c r="D20" s="1082">
        <f>IFERROR(__xludf.DUMMYFUNCTION("IFERROR(googlefinance(""MSFT""),CONFIG!G15)"),395.55)</f>
        <v>395.55</v>
      </c>
      <c r="E20" s="1060">
        <v>370.0</v>
      </c>
      <c r="F20" s="1060" t="str">
        <f t="shared" si="2"/>
        <v>⏳ TENIR</v>
      </c>
      <c r="G20" s="1060" t="s">
        <v>593</v>
      </c>
      <c r="H20" s="1060" t="s">
        <v>2733</v>
      </c>
    </row>
    <row r="21" ht="18.0" customHeight="1">
      <c r="B21" s="22" t="s">
        <v>1653</v>
      </c>
      <c r="C21" s="22" t="s">
        <v>1219</v>
      </c>
      <c r="D21" s="1084">
        <f>IFERROR(__xludf.DUMMYFUNCTION("IFERROR(googlefinance(""GEV""),CONFIG!G13)"),805.02)</f>
        <v>805.02</v>
      </c>
      <c r="E21" s="22">
        <v>750.0</v>
      </c>
      <c r="F21" s="22" t="str">
        <f>IF(ISNUMBER(D21),IF(D21&lt;E21,"🟢 ACHETER","⏳ ATTENDRE"),"—")</f>
        <v>⏳ ATTENDRE</v>
      </c>
      <c r="G21" s="22" t="s">
        <v>593</v>
      </c>
      <c r="H21" s="22" t="s">
        <v>2734</v>
      </c>
    </row>
    <row r="22" ht="18.0" customHeight="1">
      <c r="B22" s="1085" t="s">
        <v>2735</v>
      </c>
      <c r="C22" s="2"/>
      <c r="D22" s="2"/>
      <c r="E22" s="2"/>
      <c r="F22" s="2"/>
      <c r="G22" s="2"/>
      <c r="H22" s="2"/>
    </row>
    <row r="23" ht="18.0" customHeight="1">
      <c r="B23" s="30" t="s">
        <v>1206</v>
      </c>
      <c r="C23" s="30" t="s">
        <v>2736</v>
      </c>
      <c r="D23" s="30" t="s">
        <v>2737</v>
      </c>
      <c r="E23" s="30" t="s">
        <v>2738</v>
      </c>
      <c r="F23" s="30" t="s">
        <v>270</v>
      </c>
      <c r="G23" s="30" t="s">
        <v>272</v>
      </c>
      <c r="H23" s="30"/>
    </row>
    <row r="24" ht="18.0" customHeight="1">
      <c r="B24" s="1086" t="s">
        <v>2161</v>
      </c>
      <c r="C24" s="2"/>
      <c r="D24" s="1087" t="s">
        <v>2280</v>
      </c>
      <c r="E24" s="1087" t="s">
        <v>2739</v>
      </c>
      <c r="F24" s="1088" t="s">
        <v>2740</v>
      </c>
      <c r="G24" s="2"/>
      <c r="H24" s="2"/>
    </row>
    <row r="25" ht="18.0" customHeight="1">
      <c r="B25" s="1086" t="s">
        <v>536</v>
      </c>
      <c r="C25" s="2"/>
      <c r="D25" s="1087" t="s">
        <v>2741</v>
      </c>
      <c r="E25" s="1087" t="s">
        <v>2742</v>
      </c>
      <c r="F25" s="1088" t="s">
        <v>2740</v>
      </c>
      <c r="G25" s="2"/>
      <c r="H25" s="2"/>
    </row>
    <row r="26" ht="18.0" customHeight="1">
      <c r="B26" s="1086" t="s">
        <v>2169</v>
      </c>
      <c r="C26" s="2"/>
      <c r="D26" s="1087" t="s">
        <v>2743</v>
      </c>
      <c r="E26" s="1087" t="s">
        <v>2744</v>
      </c>
      <c r="F26" s="1088" t="s">
        <v>2745</v>
      </c>
      <c r="G26" s="2"/>
      <c r="H26" s="2"/>
    </row>
    <row r="27" ht="18.0" customHeight="1">
      <c r="B27" s="1089" t="s">
        <v>2746</v>
      </c>
      <c r="C27" s="2"/>
      <c r="D27" s="2"/>
      <c r="E27" s="2"/>
      <c r="F27" s="2"/>
      <c r="G27" s="2"/>
      <c r="H27" s="2"/>
    </row>
    <row r="28" ht="18.0" customHeight="1">
      <c r="B28" s="1090"/>
      <c r="F28" s="1090"/>
    </row>
    <row r="29" ht="18.0" customHeight="1">
      <c r="B29" s="1090"/>
      <c r="F29" s="1090"/>
    </row>
    <row r="30" ht="18.0" customHeight="1">
      <c r="B30" s="1091" t="s">
        <v>2747</v>
      </c>
      <c r="C30" s="2"/>
      <c r="F30" s="1090"/>
    </row>
    <row r="31" ht="19.5" customHeight="1">
      <c r="B31" s="1092" t="s">
        <v>2450</v>
      </c>
      <c r="C31" s="2"/>
      <c r="D31" s="1092" t="s">
        <v>2496</v>
      </c>
      <c r="E31" s="2"/>
      <c r="F31" s="1092" t="s">
        <v>1774</v>
      </c>
      <c r="G31" s="2"/>
      <c r="H31" s="2"/>
    </row>
    <row r="32" ht="18.0" customHeight="1">
      <c r="B32" s="1093" t="s">
        <v>2748</v>
      </c>
      <c r="D32" s="1093">
        <v>15.0</v>
      </c>
      <c r="E32" s="1093" t="s">
        <v>456</v>
      </c>
      <c r="F32" s="1094" t="s">
        <v>2749</v>
      </c>
    </row>
    <row r="33" ht="19.5" customHeight="1">
      <c r="B33" s="1095" t="s">
        <v>2750</v>
      </c>
      <c r="C33" s="2"/>
      <c r="D33" s="2"/>
      <c r="E33" s="2"/>
      <c r="F33" s="2"/>
      <c r="G33" s="2"/>
      <c r="H33" s="2"/>
    </row>
    <row r="34" ht="18.0" customHeight="1">
      <c r="B34" s="1096" t="s">
        <v>2751</v>
      </c>
      <c r="C34" s="2"/>
      <c r="D34" s="1096">
        <v>15.0</v>
      </c>
      <c r="E34" s="2"/>
      <c r="F34" s="1097" t="s">
        <v>2752</v>
      </c>
      <c r="G34" s="2"/>
      <c r="H34" s="2"/>
    </row>
    <row r="35" ht="18.0" customHeight="1">
      <c r="B35" s="1095" t="s">
        <v>2753</v>
      </c>
      <c r="C35" s="2"/>
      <c r="D35" s="1095">
        <v>15.0</v>
      </c>
      <c r="E35" s="2"/>
      <c r="F35" s="1098" t="s">
        <v>2754</v>
      </c>
      <c r="G35" s="2"/>
      <c r="H35" s="2"/>
    </row>
    <row r="36" ht="18.0" customHeight="1">
      <c r="B36" s="1096" t="s">
        <v>2755</v>
      </c>
      <c r="C36" s="2"/>
      <c r="D36" s="1096">
        <v>15.0</v>
      </c>
      <c r="E36" s="2"/>
      <c r="F36" s="1097" t="s">
        <v>2756</v>
      </c>
      <c r="G36" s="2"/>
      <c r="H36" s="2"/>
    </row>
    <row r="37" ht="18.0" customHeight="1">
      <c r="B37" s="1095" t="s">
        <v>2757</v>
      </c>
      <c r="C37" s="2"/>
      <c r="D37" s="1095">
        <v>15.0</v>
      </c>
      <c r="E37" s="2"/>
      <c r="F37" s="1098" t="s">
        <v>2758</v>
      </c>
      <c r="G37" s="2"/>
      <c r="H37" s="2"/>
    </row>
    <row r="38" ht="18.0" customHeight="1">
      <c r="B38" s="1093" t="s">
        <v>2759</v>
      </c>
      <c r="D38" s="1093">
        <v>10.0</v>
      </c>
      <c r="E38" s="1093" t="s">
        <v>452</v>
      </c>
      <c r="F38" s="1094" t="s">
        <v>2760</v>
      </c>
    </row>
    <row r="39" ht="18.0" customHeight="1">
      <c r="B39" s="248" t="s">
        <v>2761</v>
      </c>
      <c r="D39" s="248">
        <f>SUM(E24:E30)</f>
        <v>0</v>
      </c>
      <c r="F39" s="248" t="str">
        <f>IF(D31&gt;=80,"🟢 EXCELLENT",IF(D31&gt;=65,"🟡 BON","🔴 À AMÉLIORER"))</f>
        <v>🟢 EXCELLENT</v>
      </c>
    </row>
    <row r="40" ht="18.0" customHeight="1"/>
    <row r="41" ht="18.0" customHeight="1">
      <c r="B41" s="1099" t="s">
        <v>2762</v>
      </c>
    </row>
    <row r="42" ht="18.0" customHeight="1">
      <c r="B42" s="1100" t="s">
        <v>2763</v>
      </c>
      <c r="D42" s="1101">
        <f>IFERROR(__xludf.DUMMYFUNCTION("IFERROR(googlefinance(""CURRENCY:USDCAD""),CONFIG!B3)"),1.3810498999999998)</f>
        <v>1.3810499</v>
      </c>
      <c r="F42" s="1102" t="s">
        <v>2764</v>
      </c>
    </row>
    <row r="43" ht="18.0" customHeight="1">
      <c r="B43" s="1103" t="s">
        <v>2765</v>
      </c>
      <c r="D43" s="1104">
        <f>CONFIG!B3</f>
        <v>1.3559</v>
      </c>
      <c r="F43" s="1065" t="s">
        <v>2766</v>
      </c>
    </row>
    <row r="44" ht="18.0" customHeight="1">
      <c r="B44" s="1100" t="s">
        <v>2767</v>
      </c>
      <c r="D44" s="1105">
        <f>CONFIG!B46</f>
        <v>0.9633353658</v>
      </c>
      <c r="F44" s="1102" t="s">
        <v>2768</v>
      </c>
    </row>
    <row r="45" ht="18.0" customHeight="1">
      <c r="B45" s="1103" t="s">
        <v>141</v>
      </c>
      <c r="D45" s="1103" t="str">
        <f>IF(CONFIG!B46&gt;0.65,"🔴 DÉPASSE 65%",IF(CONFIG!B46&gt;0.6,"🟡 SURVEILLER","✅ OK"))</f>
        <v>🔴 DÉPASSE 65%</v>
      </c>
      <c r="F45" s="1065"/>
    </row>
    <row r="46" ht="18.0" customHeight="1">
      <c r="B46" s="1106" t="s">
        <v>2769</v>
      </c>
      <c r="C46" s="2"/>
      <c r="D46" s="2"/>
      <c r="E46" s="2"/>
      <c r="F46" s="2"/>
      <c r="G46" s="2"/>
      <c r="H46" s="2"/>
    </row>
    <row r="47" ht="34.5" customHeight="1">
      <c r="B47" s="1107" t="s">
        <v>2770</v>
      </c>
      <c r="C47" s="2"/>
      <c r="D47" s="2"/>
      <c r="E47" s="2"/>
      <c r="F47" s="2"/>
      <c r="G47" s="2"/>
      <c r="H47" s="2"/>
    </row>
    <row r="48" ht="15.75" customHeight="1"/>
    <row r="49" ht="15.75" customHeight="1">
      <c r="A49" s="1108" t="s">
        <v>779</v>
      </c>
      <c r="B49" s="1109" t="s">
        <v>2771</v>
      </c>
      <c r="C49" s="1110" t="s">
        <v>2772</v>
      </c>
      <c r="D49" s="2"/>
      <c r="E49" s="2"/>
      <c r="F49" s="2"/>
      <c r="G49" s="2"/>
      <c r="H49" s="2"/>
    </row>
    <row r="50" ht="15.75" customHeight="1">
      <c r="A50" s="1111" t="s">
        <v>2773</v>
      </c>
      <c r="B50" s="1112" t="s">
        <v>2774</v>
      </c>
      <c r="C50" s="1113" t="s">
        <v>2775</v>
      </c>
      <c r="D50" s="2"/>
      <c r="E50" s="2"/>
      <c r="F50" s="2"/>
      <c r="G50" s="2"/>
      <c r="H50" s="2"/>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5">
    <mergeCell ref="B1:H1"/>
    <mergeCell ref="B3:H3"/>
    <mergeCell ref="B5:C5"/>
    <mergeCell ref="D5:E5"/>
    <mergeCell ref="F5:H5"/>
    <mergeCell ref="D6:E6"/>
    <mergeCell ref="F6:H6"/>
    <mergeCell ref="B6:C6"/>
    <mergeCell ref="B7:C7"/>
    <mergeCell ref="D7:E7"/>
    <mergeCell ref="F7:H7"/>
    <mergeCell ref="B8:C8"/>
    <mergeCell ref="D8:E8"/>
    <mergeCell ref="F8:H8"/>
    <mergeCell ref="B9:C9"/>
    <mergeCell ref="D9:E9"/>
    <mergeCell ref="F9:H9"/>
    <mergeCell ref="B10:C10"/>
    <mergeCell ref="D10:E10"/>
    <mergeCell ref="F10:H10"/>
    <mergeCell ref="B12:H12"/>
    <mergeCell ref="B22:H22"/>
    <mergeCell ref="B24:C24"/>
    <mergeCell ref="F24:H24"/>
    <mergeCell ref="B25:C25"/>
    <mergeCell ref="F25:H25"/>
    <mergeCell ref="F26:H26"/>
    <mergeCell ref="B27:H27"/>
    <mergeCell ref="D34:E34"/>
    <mergeCell ref="D35:E35"/>
    <mergeCell ref="F35:H35"/>
    <mergeCell ref="D36:E36"/>
    <mergeCell ref="F36:H36"/>
    <mergeCell ref="F37:H37"/>
    <mergeCell ref="F28:H28"/>
    <mergeCell ref="F29:H29"/>
    <mergeCell ref="F30:H30"/>
    <mergeCell ref="D31:E31"/>
    <mergeCell ref="F31:H31"/>
    <mergeCell ref="B33:H33"/>
    <mergeCell ref="F34:H34"/>
    <mergeCell ref="B36:C36"/>
    <mergeCell ref="B37:C37"/>
    <mergeCell ref="D37:E37"/>
    <mergeCell ref="B46:H46"/>
    <mergeCell ref="B47:H47"/>
    <mergeCell ref="C49:H49"/>
    <mergeCell ref="C50:H50"/>
    <mergeCell ref="B26:C26"/>
    <mergeCell ref="B28:C28"/>
    <mergeCell ref="B29:C29"/>
    <mergeCell ref="B30:C30"/>
    <mergeCell ref="B31:C31"/>
    <mergeCell ref="B34:C34"/>
    <mergeCell ref="B35:C35"/>
  </mergeCell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0"/>
    <col customWidth="1" min="2" max="2" width="22.0"/>
    <col customWidth="1" min="3" max="7" width="14.0"/>
    <col customWidth="1" min="8" max="8" width="22.0"/>
  </cols>
  <sheetData>
    <row r="1" ht="19.5" customHeight="1">
      <c r="B1" s="292" t="s">
        <v>2776</v>
      </c>
      <c r="C1" s="2"/>
      <c r="D1" s="2"/>
      <c r="E1" s="2"/>
      <c r="F1" s="2"/>
      <c r="G1" s="2"/>
      <c r="H1" s="2"/>
    </row>
    <row r="2" ht="19.5" customHeight="1"/>
    <row r="3" ht="19.5" customHeight="1">
      <c r="B3" s="1055" t="s">
        <v>2777</v>
      </c>
      <c r="C3" s="2"/>
      <c r="D3" s="2"/>
      <c r="E3" s="2"/>
      <c r="F3" s="2"/>
      <c r="G3" s="2"/>
      <c r="H3" s="2"/>
    </row>
    <row r="4" ht="19.5" customHeight="1">
      <c r="B4" s="30" t="s">
        <v>1991</v>
      </c>
      <c r="D4" s="30" t="s">
        <v>2778</v>
      </c>
      <c r="E4" s="30" t="s">
        <v>2779</v>
      </c>
      <c r="F4" s="30" t="s">
        <v>353</v>
      </c>
      <c r="G4" s="30"/>
      <c r="H4" s="30"/>
    </row>
    <row r="5" ht="19.5" customHeight="1">
      <c r="B5" s="1071" t="s">
        <v>2780</v>
      </c>
      <c r="C5" s="2"/>
      <c r="D5" s="1114">
        <f>16000*CONFIG!B11</f>
        <v>8476.8</v>
      </c>
      <c r="E5" s="1062">
        <f>16000*CONFIG!B11/12</f>
        <v>706.4</v>
      </c>
      <c r="F5" s="1072" t="s">
        <v>2781</v>
      </c>
      <c r="G5" s="2"/>
      <c r="H5" s="2"/>
    </row>
    <row r="6" ht="19.5" customHeight="1">
      <c r="B6" s="1073" t="s">
        <v>2782</v>
      </c>
      <c r="C6" s="2"/>
      <c r="D6" s="1114">
        <f>36000*CONFIG!B11</f>
        <v>19072.8</v>
      </c>
      <c r="E6" s="1060">
        <f>36000*CONFIG!B11/12</f>
        <v>1589.4</v>
      </c>
      <c r="F6" s="1074" t="s">
        <v>2783</v>
      </c>
      <c r="G6" s="2"/>
      <c r="H6" s="2"/>
    </row>
    <row r="7" ht="19.5" customHeight="1">
      <c r="B7" s="1071" t="s">
        <v>2784</v>
      </c>
      <c r="C7" s="2"/>
      <c r="D7" s="1114">
        <f>2000*CONFIG!B11</f>
        <v>1059.6</v>
      </c>
      <c r="E7" s="1062">
        <f>2000*CONFIG!B11/12</f>
        <v>88.3</v>
      </c>
      <c r="F7" s="1072" t="s">
        <v>2785</v>
      </c>
      <c r="G7" s="2"/>
      <c r="H7" s="2"/>
    </row>
    <row r="8" ht="19.5" customHeight="1">
      <c r="B8" s="1073" t="s">
        <v>2786</v>
      </c>
      <c r="C8" s="2"/>
      <c r="D8" s="1114">
        <f>5000*(CONFIG!B11+0.3)</f>
        <v>4149</v>
      </c>
      <c r="E8" s="1060" t="s">
        <v>593</v>
      </c>
      <c r="F8" s="1074" t="s">
        <v>2787</v>
      </c>
      <c r="G8" s="2"/>
      <c r="H8" s="2"/>
    </row>
    <row r="9" ht="19.5" customHeight="1"/>
    <row r="10" ht="19.5" customHeight="1">
      <c r="B10" s="1070" t="s">
        <v>2788</v>
      </c>
      <c r="C10" s="2"/>
      <c r="D10" s="2"/>
      <c r="E10" s="2"/>
      <c r="F10" s="2"/>
      <c r="G10" s="2"/>
      <c r="H10" s="2"/>
    </row>
    <row r="11" ht="19.5" customHeight="1">
      <c r="B11" s="30" t="s">
        <v>1785</v>
      </c>
      <c r="D11" s="30" t="s">
        <v>2789</v>
      </c>
      <c r="E11" s="30" t="s">
        <v>2790</v>
      </c>
      <c r="F11" s="30" t="s">
        <v>1758</v>
      </c>
      <c r="G11" s="30"/>
      <c r="H11" s="30"/>
    </row>
    <row r="12" ht="19.5" customHeight="1">
      <c r="B12" s="1071" t="s">
        <v>2791</v>
      </c>
      <c r="C12" s="2"/>
      <c r="D12" s="1063">
        <f>CONFIG!B33</f>
        <v>2300</v>
      </c>
      <c r="E12" s="1115">
        <f>CONFIG!B11</f>
        <v>0.5298</v>
      </c>
      <c r="F12" s="1116">
        <f t="shared" ref="F12:F14" si="1">D12*E12</f>
        <v>1218.54</v>
      </c>
      <c r="G12" s="2"/>
      <c r="H12" s="2"/>
    </row>
    <row r="13" ht="19.5" customHeight="1">
      <c r="B13" s="1073" t="s">
        <v>2792</v>
      </c>
      <c r="C13" s="2"/>
      <c r="D13" s="1061">
        <f>CONFIG!B34</f>
        <v>2000</v>
      </c>
      <c r="E13" s="1117">
        <f>CONFIG!B11</f>
        <v>0.5298</v>
      </c>
      <c r="F13" s="1118">
        <f t="shared" si="1"/>
        <v>1059.6</v>
      </c>
      <c r="G13" s="2"/>
      <c r="H13" s="2"/>
    </row>
    <row r="14" ht="19.5" customHeight="1">
      <c r="B14" s="1071" t="s">
        <v>2015</v>
      </c>
      <c r="C14" s="2"/>
      <c r="D14" s="1063">
        <f>CONFIG!B27</f>
        <v>0</v>
      </c>
      <c r="E14" s="1115">
        <f>CONFIG!B11+0.3</f>
        <v>0.8298</v>
      </c>
      <c r="F14" s="1116">
        <f t="shared" si="1"/>
        <v>0</v>
      </c>
      <c r="G14" s="2"/>
      <c r="H14" s="2"/>
    </row>
    <row r="15" ht="19.5" customHeight="1">
      <c r="B15" s="1119" t="s">
        <v>2793</v>
      </c>
      <c r="C15" s="2"/>
      <c r="D15" s="1120">
        <f>SUM(D12:D14)</f>
        <v>4300</v>
      </c>
      <c r="F15" s="1119">
        <f>SUM(F12:F14)</f>
        <v>2278.14</v>
      </c>
      <c r="G15" s="2"/>
      <c r="H15" s="2"/>
    </row>
    <row r="16" ht="19.5" customHeight="1"/>
    <row r="17" ht="19.5" customHeight="1">
      <c r="B17" s="1091" t="s">
        <v>2794</v>
      </c>
      <c r="C17" s="2"/>
      <c r="D17" s="2"/>
      <c r="E17" s="2"/>
      <c r="F17" s="2"/>
      <c r="G17" s="2"/>
      <c r="H17" s="2"/>
    </row>
    <row r="18" ht="19.5" customHeight="1">
      <c r="B18" s="1096" t="s">
        <v>2795</v>
      </c>
      <c r="C18" s="2"/>
      <c r="D18" s="1096" t="s">
        <v>2796</v>
      </c>
      <c r="E18" s="2"/>
      <c r="F18" s="1097" t="s">
        <v>2797</v>
      </c>
      <c r="G18" s="2"/>
      <c r="H18" s="2"/>
    </row>
    <row r="19" ht="19.5" customHeight="1">
      <c r="B19" s="1095" t="s">
        <v>2798</v>
      </c>
      <c r="C19" s="2"/>
      <c r="D19" s="1095" t="s">
        <v>2799</v>
      </c>
      <c r="E19" s="2"/>
      <c r="F19" s="1098" t="s">
        <v>2800</v>
      </c>
      <c r="G19" s="2"/>
      <c r="H19" s="2"/>
    </row>
    <row r="20" ht="19.5" customHeight="1">
      <c r="B20" s="1096" t="s">
        <v>2801</v>
      </c>
      <c r="C20" s="2"/>
      <c r="D20" s="1096" t="str">
        <f>TEXT(CONFIG!B11+0.3,"0.0%")&amp;" retour effectif"</f>
        <v>83.0% retour effectif</v>
      </c>
      <c r="E20" s="2"/>
      <c r="F20" s="1097" t="s">
        <v>2802</v>
      </c>
      <c r="G20" s="2"/>
      <c r="H20" s="2"/>
    </row>
    <row r="21" ht="19.5" customHeight="1">
      <c r="B21" s="1095" t="s">
        <v>2803</v>
      </c>
      <c r="C21" s="2"/>
      <c r="D21" s="1121">
        <f>CONFIG!B35</f>
        <v>140000</v>
      </c>
      <c r="E21" s="2"/>
      <c r="F21" s="1098" t="s">
        <v>2804</v>
      </c>
      <c r="G21" s="2"/>
      <c r="H21" s="2"/>
    </row>
    <row r="22" ht="19.5" customHeight="1">
      <c r="B22" s="1122" t="s">
        <v>2805</v>
      </c>
      <c r="D22" s="22" t="str">
        <f>IF(CONFIG!B35&gt;129590,"🔴 NON ÉLIGIBLE · Revenu net &gt; $129,590","✅ ÉLIGIBLE · Cotiser avant 31 déc")</f>
        <v>🔴 NON ÉLIGIBLE · Revenu net &gt; $129,590</v>
      </c>
      <c r="F22" s="1090"/>
    </row>
    <row r="23" ht="19.5" customHeight="1">
      <c r="B23" s="1093" t="s">
        <v>2806</v>
      </c>
      <c r="D23" s="1123" t="s">
        <v>2807</v>
      </c>
    </row>
    <row r="24" ht="15.75" customHeight="1"/>
    <row r="25" ht="15.75" customHeight="1">
      <c r="B25" s="22" t="s">
        <v>2808</v>
      </c>
    </row>
    <row r="26" ht="15.75" customHeight="1">
      <c r="B26" s="22" t="s">
        <v>1785</v>
      </c>
      <c r="D26" s="22" t="s">
        <v>1772</v>
      </c>
      <c r="E26" s="22" t="s">
        <v>2809</v>
      </c>
      <c r="F26" s="22" t="s">
        <v>588</v>
      </c>
    </row>
    <row r="27" ht="15.75" customHeight="1">
      <c r="B27" s="22" t="s">
        <v>2810</v>
      </c>
      <c r="D27" s="1124">
        <f>CONFIG!B34</f>
        <v>2000</v>
      </c>
      <c r="E27" s="22" t="s">
        <v>2542</v>
      </c>
      <c r="F27" s="22" t="s">
        <v>2811</v>
      </c>
    </row>
    <row r="28" ht="15.75" customHeight="1">
      <c r="B28" s="22" t="s">
        <v>2812</v>
      </c>
      <c r="D28" s="22">
        <v>2000.0</v>
      </c>
      <c r="E28" s="22" t="s">
        <v>1810</v>
      </c>
      <c r="F28" s="22" t="s">
        <v>2813</v>
      </c>
    </row>
    <row r="29" ht="15.75" customHeight="1">
      <c r="B29" s="22" t="s">
        <v>2814</v>
      </c>
      <c r="D29" s="22">
        <f>IFERROR(ROUNDUP((60000-CONFIG!B34)/2000,0),"⬜")</f>
        <v>29</v>
      </c>
      <c r="E29" s="22" t="s">
        <v>2815</v>
      </c>
      <c r="F29" s="22" t="s">
        <v>2816</v>
      </c>
    </row>
    <row r="30" ht="15.75" customHeight="1">
      <c r="B30" s="22" t="s">
        <v>2817</v>
      </c>
      <c r="D30" s="22" t="str">
        <f>IFERROR(TEXT(DATE(2026,3,1)+ROUNDUP((60000-CONFIG!B34)/2000,0)*30,"mmm yyyy"),"⬜ Saisir")</f>
        <v>Jul 2028</v>
      </c>
      <c r="E30" s="22" t="s">
        <v>2815</v>
      </c>
      <c r="F30" s="22" t="s">
        <v>2818</v>
      </c>
    </row>
    <row r="31" ht="15.75" customHeight="1">
      <c r="B31" s="22" t="s">
        <v>2819</v>
      </c>
      <c r="D31" s="22">
        <f>CONFIG!B34*CONFIG!B11</f>
        <v>1059.6</v>
      </c>
      <c r="E31" s="22" t="s">
        <v>2815</v>
      </c>
      <c r="F31" s="22" t="s">
        <v>2820</v>
      </c>
    </row>
    <row r="32" ht="15.75" customHeight="1"/>
    <row r="33" ht="15.75" customHeight="1">
      <c r="B33" s="22" t="s">
        <v>2821</v>
      </c>
    </row>
    <row r="34" ht="15.75" customHeight="1">
      <c r="B34" s="22" t="s">
        <v>1785</v>
      </c>
      <c r="D34" s="22" t="s">
        <v>1772</v>
      </c>
      <c r="E34" s="22" t="s">
        <v>2809</v>
      </c>
      <c r="F34" s="22" t="s">
        <v>588</v>
      </c>
    </row>
    <row r="35" ht="15.75" customHeight="1">
      <c r="B35" s="22" t="s">
        <v>2822</v>
      </c>
      <c r="D35" s="1124">
        <f>CONFIG!B7</f>
        <v>13700</v>
      </c>
      <c r="E35" s="22" t="s">
        <v>2542</v>
      </c>
      <c r="F35" s="22" t="s">
        <v>2823</v>
      </c>
    </row>
    <row r="36" ht="15.75" customHeight="1">
      <c r="B36" s="22" t="s">
        <v>2824</v>
      </c>
      <c r="D36" s="1124">
        <f>CONFIG!B33</f>
        <v>2300</v>
      </c>
      <c r="E36" s="22" t="s">
        <v>2815</v>
      </c>
      <c r="F36" s="22" t="s">
        <v>2825</v>
      </c>
    </row>
    <row r="37" ht="15.75" customHeight="1">
      <c r="B37" s="22" t="s">
        <v>2826</v>
      </c>
      <c r="D37" s="22">
        <v>40000.0</v>
      </c>
      <c r="E37" s="22" t="s">
        <v>2827</v>
      </c>
      <c r="F37" s="22" t="s">
        <v>2828</v>
      </c>
    </row>
    <row r="38" ht="15.75" customHeight="1">
      <c r="B38" s="22" t="s">
        <v>2829</v>
      </c>
      <c r="D38" s="22" t="s">
        <v>2830</v>
      </c>
      <c r="F38" s="22" t="s">
        <v>2831</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B1:H1"/>
    <mergeCell ref="B3:H3"/>
    <mergeCell ref="B5:C5"/>
    <mergeCell ref="F5:H5"/>
    <mergeCell ref="B6:C6"/>
    <mergeCell ref="F6:H6"/>
    <mergeCell ref="F7:H7"/>
    <mergeCell ref="D18:E18"/>
    <mergeCell ref="F18:H18"/>
    <mergeCell ref="D19:E19"/>
    <mergeCell ref="F19:H19"/>
    <mergeCell ref="F20:H20"/>
    <mergeCell ref="F21:H21"/>
    <mergeCell ref="F22:H22"/>
    <mergeCell ref="F8:H8"/>
    <mergeCell ref="B10:H10"/>
    <mergeCell ref="F12:H12"/>
    <mergeCell ref="F13:H13"/>
    <mergeCell ref="F14:H14"/>
    <mergeCell ref="F15:H15"/>
    <mergeCell ref="B17:H17"/>
    <mergeCell ref="B19:C19"/>
    <mergeCell ref="B20:C20"/>
    <mergeCell ref="D20:E20"/>
    <mergeCell ref="B21:C21"/>
    <mergeCell ref="D21:E21"/>
    <mergeCell ref="B22:C22"/>
    <mergeCell ref="B7:C7"/>
    <mergeCell ref="B8:C8"/>
    <mergeCell ref="B12:C12"/>
    <mergeCell ref="B13:C13"/>
    <mergeCell ref="B14:C14"/>
    <mergeCell ref="B15:C15"/>
    <mergeCell ref="B18:C18"/>
  </mergeCell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0"/>
    <col customWidth="1" min="2" max="2" width="22.0"/>
    <col customWidth="1" min="3" max="4" width="10.0"/>
    <col customWidth="1" min="5" max="16" width="8.0"/>
  </cols>
  <sheetData>
    <row r="1" ht="19.5" customHeight="1">
      <c r="B1" s="1125" t="s">
        <v>2832</v>
      </c>
      <c r="C1" s="2"/>
      <c r="D1" s="2"/>
      <c r="E1" s="2"/>
      <c r="F1" s="2"/>
      <c r="G1" s="2"/>
      <c r="H1" s="2"/>
    </row>
    <row r="2" ht="19.5" customHeight="1"/>
    <row r="3" ht="19.5" customHeight="1">
      <c r="B3" s="1055" t="s">
        <v>2833</v>
      </c>
      <c r="C3" s="2"/>
      <c r="D3" s="2"/>
      <c r="E3" s="2"/>
      <c r="F3" s="2"/>
      <c r="G3" s="2"/>
      <c r="H3" s="2"/>
    </row>
    <row r="4" ht="19.5" customHeight="1">
      <c r="B4" s="30" t="s">
        <v>1206</v>
      </c>
      <c r="C4" s="30" t="s">
        <v>250</v>
      </c>
      <c r="D4" s="30" t="s">
        <v>1324</v>
      </c>
      <c r="E4" s="30" t="s">
        <v>2834</v>
      </c>
      <c r="F4" s="30" t="s">
        <v>2835</v>
      </c>
      <c r="G4" s="30"/>
      <c r="H4" s="30" t="s">
        <v>588</v>
      </c>
    </row>
    <row r="5" ht="19.5" customHeight="1">
      <c r="B5" s="1062" t="s">
        <v>2163</v>
      </c>
      <c r="C5" s="1062" t="s">
        <v>19</v>
      </c>
      <c r="D5" s="1062" t="s">
        <v>455</v>
      </c>
      <c r="E5" s="1062" t="s">
        <v>2836</v>
      </c>
      <c r="F5" s="1071">
        <f>9*4.4</f>
        <v>39.6</v>
      </c>
      <c r="G5" s="2"/>
      <c r="H5" s="1062" t="s">
        <v>2837</v>
      </c>
    </row>
    <row r="6" ht="19.5" customHeight="1">
      <c r="B6" s="1060" t="s">
        <v>548</v>
      </c>
      <c r="C6" s="1060">
        <v>64.3053</v>
      </c>
      <c r="D6" s="1060" t="s">
        <v>2838</v>
      </c>
      <c r="E6" s="1060" t="s">
        <v>2839</v>
      </c>
      <c r="F6" s="1073">
        <f>64.31*2.9*CONFIG!B3</f>
        <v>252.8739941</v>
      </c>
      <c r="G6" s="2"/>
      <c r="H6" s="1060" t="s">
        <v>2840</v>
      </c>
    </row>
    <row r="7" ht="19.5" customHeight="1">
      <c r="B7" s="1062" t="s">
        <v>2218</v>
      </c>
      <c r="C7" s="1062" t="s">
        <v>25</v>
      </c>
      <c r="D7" s="1062" t="s">
        <v>433</v>
      </c>
      <c r="E7" s="1062" t="s">
        <v>2841</v>
      </c>
      <c r="F7" s="1071">
        <f>1*4.6*CONFIG!B3</f>
        <v>6.23714</v>
      </c>
      <c r="G7" s="2"/>
      <c r="H7" s="1062" t="s">
        <v>2842</v>
      </c>
    </row>
    <row r="8" ht="19.5" customHeight="1">
      <c r="B8" s="1060" t="s">
        <v>1977</v>
      </c>
      <c r="C8" s="1060" t="s">
        <v>2843</v>
      </c>
      <c r="D8" s="1060" t="s">
        <v>2844</v>
      </c>
      <c r="E8" s="1060" t="s">
        <v>2845</v>
      </c>
      <c r="F8" s="1073">
        <f>102*4.08</f>
        <v>416.16</v>
      </c>
      <c r="G8" s="2"/>
      <c r="H8" s="1060" t="s">
        <v>2846</v>
      </c>
    </row>
    <row r="9" ht="19.5" customHeight="1">
      <c r="B9" s="1062" t="s">
        <v>2198</v>
      </c>
      <c r="C9" s="1062" t="s">
        <v>22</v>
      </c>
      <c r="D9" s="1062" t="s">
        <v>2847</v>
      </c>
      <c r="E9" s="1062" t="s">
        <v>2848</v>
      </c>
      <c r="F9" s="1071">
        <f>63*1.85</f>
        <v>116.55</v>
      </c>
      <c r="G9" s="2"/>
      <c r="H9" s="1062" t="s">
        <v>2849</v>
      </c>
    </row>
    <row r="10" ht="19.5" customHeight="1">
      <c r="A10" s="1126" t="s">
        <v>1233</v>
      </c>
      <c r="B10" s="1060" t="s">
        <v>1233</v>
      </c>
      <c r="C10" s="1060">
        <v>0.0</v>
      </c>
      <c r="D10" s="1060" t="s">
        <v>2603</v>
      </c>
      <c r="E10" s="1060">
        <v>0.0</v>
      </c>
      <c r="F10" s="1073">
        <v>0.0</v>
      </c>
      <c r="G10" s="2"/>
      <c r="H10" s="1060" t="s">
        <v>2849</v>
      </c>
    </row>
    <row r="11" ht="19.5" customHeight="1">
      <c r="B11" s="1062" t="s">
        <v>1289</v>
      </c>
      <c r="C11" s="1062" t="s">
        <v>19</v>
      </c>
      <c r="D11" s="1062" t="s">
        <v>452</v>
      </c>
      <c r="E11" s="1062" t="s">
        <v>2850</v>
      </c>
      <c r="F11" s="1071">
        <f>8*1.6</f>
        <v>12.8</v>
      </c>
      <c r="G11" s="2"/>
      <c r="H11" s="1062" t="s">
        <v>2851</v>
      </c>
    </row>
    <row r="12" ht="19.5" customHeight="1">
      <c r="B12" s="1060" t="s">
        <v>2196</v>
      </c>
      <c r="C12" s="1060" t="s">
        <v>22</v>
      </c>
      <c r="D12" s="1060" t="s">
        <v>2852</v>
      </c>
      <c r="E12" s="1060" t="s">
        <v>2853</v>
      </c>
      <c r="F12" s="1073">
        <f>26*1.2</f>
        <v>31.2</v>
      </c>
      <c r="G12" s="2"/>
      <c r="H12" s="1060" t="s">
        <v>2854</v>
      </c>
    </row>
    <row r="13" ht="19.5" customHeight="1">
      <c r="B13" s="1119" t="s">
        <v>2855</v>
      </c>
      <c r="C13" s="2"/>
      <c r="D13" s="2"/>
      <c r="E13" s="2"/>
      <c r="F13" s="1055">
        <f>SUM(F5:F12)</f>
        <v>875.4211341</v>
      </c>
      <c r="G13" s="2"/>
      <c r="H13" s="248" t="s">
        <v>2856</v>
      </c>
    </row>
    <row r="14" ht="19.5" customHeight="1">
      <c r="B14" s="1085" t="s">
        <v>2857</v>
      </c>
      <c r="C14" s="2"/>
      <c r="D14" s="2"/>
      <c r="E14" s="2"/>
      <c r="F14" s="2"/>
      <c r="G14" s="2"/>
      <c r="H14" s="2"/>
    </row>
    <row r="15" ht="19.5" customHeight="1">
      <c r="B15" s="1127" t="s">
        <v>1206</v>
      </c>
      <c r="C15" s="2"/>
      <c r="D15" s="2"/>
      <c r="E15" s="2"/>
      <c r="F15" s="2"/>
      <c r="G15" s="2"/>
      <c r="H15" s="2"/>
    </row>
    <row r="16" ht="19.5" customHeight="1">
      <c r="B16" s="1128" t="s">
        <v>2163</v>
      </c>
      <c r="C16" s="1129" t="s">
        <v>19</v>
      </c>
      <c r="D16" s="1129" t="s">
        <v>2851</v>
      </c>
      <c r="E16" s="1129" t="s">
        <v>2858</v>
      </c>
      <c r="F16" s="1129" t="s">
        <v>2859</v>
      </c>
      <c r="G16" s="1129"/>
      <c r="H16" s="1129" t="s">
        <v>2860</v>
      </c>
    </row>
    <row r="17" ht="19.5" customHeight="1">
      <c r="B17" s="1130" t="s">
        <v>548</v>
      </c>
      <c r="C17" s="1131">
        <v>64.3053</v>
      </c>
      <c r="D17" s="1131" t="s">
        <v>2851</v>
      </c>
      <c r="E17" s="1131" t="s">
        <v>2858</v>
      </c>
      <c r="F17" s="1131" t="s">
        <v>2861</v>
      </c>
      <c r="G17" s="1131"/>
      <c r="H17" s="1131" t="s">
        <v>2862</v>
      </c>
    </row>
    <row r="18" ht="19.5" customHeight="1">
      <c r="B18" s="1128" t="s">
        <v>1977</v>
      </c>
      <c r="C18" s="1129" t="s">
        <v>2843</v>
      </c>
      <c r="D18" s="1129" t="s">
        <v>2851</v>
      </c>
      <c r="E18" s="1129" t="s">
        <v>2863</v>
      </c>
      <c r="F18" s="1129" t="s">
        <v>2864</v>
      </c>
      <c r="G18" s="1129"/>
      <c r="H18" s="1129" t="s">
        <v>2865</v>
      </c>
    </row>
    <row r="19" ht="19.5" customHeight="1">
      <c r="B19" s="1130" t="s">
        <v>2866</v>
      </c>
      <c r="C19" s="1131" t="s">
        <v>22</v>
      </c>
      <c r="D19" s="1131" t="s">
        <v>1810</v>
      </c>
      <c r="E19" s="1131" t="s">
        <v>2867</v>
      </c>
      <c r="F19" s="1131" t="s">
        <v>2868</v>
      </c>
      <c r="G19" s="1131"/>
      <c r="H19" s="1131" t="s">
        <v>2869</v>
      </c>
    </row>
    <row r="20" ht="19.5" customHeight="1">
      <c r="A20" s="1126" t="s">
        <v>1233</v>
      </c>
      <c r="B20" s="1128" t="s">
        <v>2870</v>
      </c>
      <c r="C20" s="1129">
        <v>0.0</v>
      </c>
      <c r="D20" s="1129" t="s">
        <v>2603</v>
      </c>
      <c r="E20" s="1129">
        <v>0.0</v>
      </c>
      <c r="F20" s="1129" t="s">
        <v>2871</v>
      </c>
      <c r="G20" s="1129"/>
      <c r="H20" s="1129" t="s">
        <v>2872</v>
      </c>
    </row>
    <row r="21" ht="19.5" customHeight="1"/>
    <row r="22" ht="19.5" customHeight="1">
      <c r="B22" s="1132" t="s">
        <v>2873</v>
      </c>
    </row>
    <row r="23" ht="19.5" customHeight="1">
      <c r="B23" s="854" t="s">
        <v>1205</v>
      </c>
      <c r="C23" s="854" t="s">
        <v>1206</v>
      </c>
      <c r="D23" s="854" t="s">
        <v>250</v>
      </c>
      <c r="E23" s="854" t="s">
        <v>1805</v>
      </c>
      <c r="F23" s="854" t="s">
        <v>2874</v>
      </c>
      <c r="G23" s="854" t="s">
        <v>431</v>
      </c>
      <c r="H23" s="854" t="s">
        <v>588</v>
      </c>
    </row>
    <row r="24" ht="19.5" customHeight="1">
      <c r="B24" s="1093"/>
      <c r="C24" s="1093"/>
      <c r="D24" s="1093"/>
      <c r="E24" s="1093"/>
      <c r="F24" s="1093"/>
      <c r="G24" s="1093"/>
      <c r="H24" s="1093"/>
    </row>
    <row r="25" ht="19.5" customHeight="1">
      <c r="B25" s="1103"/>
      <c r="C25" s="1103"/>
      <c r="D25" s="1103"/>
      <c r="E25" s="1103"/>
      <c r="F25" s="1103"/>
      <c r="G25" s="1103"/>
      <c r="H25" s="1103"/>
    </row>
    <row r="26" ht="19.5" customHeight="1">
      <c r="B26" s="1093"/>
      <c r="C26" s="1093"/>
      <c r="D26" s="1093"/>
      <c r="E26" s="1093"/>
      <c r="F26" s="1093"/>
      <c r="G26" s="1093"/>
      <c r="H26" s="1093"/>
    </row>
    <row r="27" ht="19.5" customHeight="1">
      <c r="B27" s="1103"/>
      <c r="C27" s="1103"/>
      <c r="D27" s="1103"/>
      <c r="E27" s="1103"/>
      <c r="F27" s="1103"/>
      <c r="G27" s="1103"/>
      <c r="H27" s="1103"/>
    </row>
    <row r="28" ht="19.5" customHeight="1">
      <c r="B28" s="1093"/>
      <c r="C28" s="1093"/>
      <c r="D28" s="1093"/>
      <c r="E28" s="1093"/>
      <c r="F28" s="1093"/>
      <c r="G28" s="1093"/>
      <c r="H28" s="1093"/>
    </row>
    <row r="29" ht="19.5" customHeight="1">
      <c r="B29" s="1103"/>
      <c r="C29" s="1103"/>
      <c r="D29" s="1103"/>
      <c r="E29" s="1103"/>
      <c r="F29" s="1103"/>
      <c r="G29" s="1103"/>
      <c r="H29" s="1103"/>
    </row>
    <row r="30" ht="19.5" customHeight="1">
      <c r="B30" s="1093"/>
      <c r="C30" s="1093"/>
      <c r="D30" s="1093"/>
      <c r="E30" s="1093"/>
      <c r="F30" s="1093"/>
      <c r="G30" s="1093"/>
      <c r="H30" s="1093"/>
    </row>
    <row r="31" ht="19.5" customHeight="1">
      <c r="B31" s="1103"/>
      <c r="C31" s="1103"/>
      <c r="D31" s="1103"/>
      <c r="E31" s="1103"/>
      <c r="F31" s="1103"/>
      <c r="G31" s="1103"/>
      <c r="H31" s="1103"/>
    </row>
    <row r="32" ht="19.5" customHeight="1">
      <c r="B32" s="1096"/>
      <c r="C32" s="2"/>
      <c r="D32" s="2"/>
      <c r="E32" s="1096"/>
      <c r="F32" s="2"/>
      <c r="G32" s="1093"/>
      <c r="H32" s="1093"/>
    </row>
    <row r="33" ht="19.5" customHeight="1">
      <c r="B33" s="1103"/>
      <c r="C33" s="1103"/>
      <c r="D33" s="1103"/>
      <c r="E33" s="1103"/>
      <c r="F33" s="1103"/>
      <c r="G33" s="1103"/>
      <c r="H33" s="1103"/>
    </row>
    <row r="34" ht="19.5" customHeight="1">
      <c r="B34" s="1093"/>
      <c r="C34" s="1093"/>
      <c r="D34" s="1093"/>
      <c r="E34" s="1093"/>
      <c r="F34" s="1093"/>
      <c r="G34" s="1093"/>
      <c r="H34" s="1093"/>
    </row>
    <row r="35" ht="19.5" customHeight="1">
      <c r="B35" s="1103"/>
      <c r="C35" s="1103"/>
      <c r="D35" s="1103"/>
      <c r="E35" s="1103"/>
      <c r="F35" s="1103"/>
      <c r="G35" s="1103"/>
      <c r="H35" s="1103"/>
    </row>
    <row r="36" ht="19.5" customHeight="1">
      <c r="B36" s="1093"/>
      <c r="C36" s="1093"/>
      <c r="D36" s="1093"/>
      <c r="E36" s="1093"/>
      <c r="F36" s="1093"/>
      <c r="G36" s="1093"/>
      <c r="H36" s="1093"/>
    </row>
    <row r="37" ht="19.5" customHeight="1">
      <c r="B37" s="1103"/>
      <c r="C37" s="1103"/>
      <c r="D37" s="1103"/>
      <c r="E37" s="1103"/>
      <c r="F37" s="1103"/>
      <c r="G37" s="1103"/>
      <c r="H37" s="1103"/>
    </row>
    <row r="38" ht="19.5" customHeight="1">
      <c r="B38" s="1093"/>
      <c r="C38" s="1093"/>
      <c r="D38" s="1093"/>
      <c r="E38" s="1093"/>
      <c r="F38" s="1093"/>
      <c r="G38" s="1093"/>
      <c r="H38" s="1093"/>
    </row>
    <row r="39" ht="19.5" customHeight="1">
      <c r="B39" s="248" t="s">
        <v>2875</v>
      </c>
      <c r="E39" s="248">
        <f>SUMIF(C17:C31,"&lt;&gt;",E17:E31)</f>
        <v>0</v>
      </c>
    </row>
    <row r="40" ht="15.75" customHeight="1"/>
    <row r="41" ht="15.75" customHeight="1"/>
    <row r="42" ht="21.75" customHeight="1">
      <c r="B42" s="403" t="s">
        <v>2876</v>
      </c>
      <c r="C42" s="404"/>
      <c r="D42" s="404"/>
      <c r="E42" s="404"/>
      <c r="F42" s="404"/>
      <c r="G42" s="404"/>
      <c r="H42" s="404"/>
      <c r="I42" s="404"/>
      <c r="J42" s="404"/>
      <c r="K42" s="404"/>
    </row>
    <row r="43" ht="15.75" customHeight="1">
      <c r="B43" s="249" t="s">
        <v>2877</v>
      </c>
      <c r="C43" s="254">
        <f>CONFIG!B10*2000/3500</f>
        <v>2285.714286</v>
      </c>
      <c r="D43" s="251" t="s">
        <v>2878</v>
      </c>
    </row>
    <row r="44" ht="15.75" customHeight="1">
      <c r="B44" s="249" t="s">
        <v>2879</v>
      </c>
      <c r="C44" s="254">
        <f>C43*12</f>
        <v>27428.57143</v>
      </c>
      <c r="D44" s="251" t="s">
        <v>2880</v>
      </c>
    </row>
    <row r="45" ht="15.75" customHeight="1">
      <c r="B45" s="249" t="s">
        <v>1073</v>
      </c>
      <c r="C45" s="255">
        <f>CONFIG!B11</f>
        <v>0.5298</v>
      </c>
      <c r="D45" s="251" t="s">
        <v>2881</v>
      </c>
    </row>
    <row r="46" ht="15.75" customHeight="1">
      <c r="B46" s="249" t="s">
        <v>2882</v>
      </c>
      <c r="C46" s="254">
        <f>C44*C45</f>
        <v>14531.65714</v>
      </c>
      <c r="D46" s="251" t="s">
        <v>2883</v>
      </c>
    </row>
    <row r="47" ht="15.75" customHeight="1">
      <c r="B47" s="249" t="s">
        <v>2884</v>
      </c>
      <c r="C47" s="254">
        <f>C46/12</f>
        <v>1210.971429</v>
      </c>
      <c r="D47" s="251" t="s">
        <v>2885</v>
      </c>
    </row>
    <row r="48" ht="15.75" customHeight="1">
      <c r="B48" s="249" t="s">
        <v>2886</v>
      </c>
      <c r="C48" s="1133" t="s">
        <v>2887</v>
      </c>
      <c r="D48" s="251" t="s">
        <v>2888</v>
      </c>
    </row>
    <row r="49" ht="15.75" customHeight="1">
      <c r="B49" s="249" t="s">
        <v>2889</v>
      </c>
      <c r="C49" s="254">
        <f>C46*(1.08^20-1)/0.08</f>
        <v>664997.1754</v>
      </c>
      <c r="D49" s="251" t="s">
        <v>2890</v>
      </c>
    </row>
    <row r="50" ht="15.75" customHeight="1">
      <c r="B50" s="249" t="s">
        <v>2891</v>
      </c>
      <c r="C50" s="254">
        <f>C44-C46</f>
        <v>12896.91429</v>
      </c>
      <c r="D50" s="251" t="s">
        <v>2892</v>
      </c>
    </row>
    <row r="51" ht="15.75" customHeight="1"/>
    <row r="52" ht="21.75" customHeight="1">
      <c r="B52" s="1134" t="s">
        <v>2893</v>
      </c>
      <c r="C52" s="1135"/>
      <c r="D52" s="1135"/>
      <c r="E52" s="1135"/>
      <c r="F52" s="1135"/>
      <c r="G52" s="1135"/>
      <c r="H52" s="1135"/>
      <c r="I52" s="1135"/>
      <c r="J52" s="1135"/>
      <c r="K52" s="1135"/>
    </row>
    <row r="53" ht="15.75" customHeight="1">
      <c r="B53" s="1136" t="s">
        <v>2894</v>
      </c>
      <c r="C53" s="1136" t="s">
        <v>250</v>
      </c>
      <c r="D53" s="1136" t="s">
        <v>2895</v>
      </c>
      <c r="E53" s="1136" t="s">
        <v>2896</v>
      </c>
      <c r="F53" s="1136" t="s">
        <v>2897</v>
      </c>
      <c r="G53" s="1136" t="s">
        <v>2898</v>
      </c>
      <c r="H53" s="1136" t="s">
        <v>2899</v>
      </c>
      <c r="I53" s="1136" t="s">
        <v>2900</v>
      </c>
      <c r="J53" s="1136" t="s">
        <v>2901</v>
      </c>
      <c r="K53" s="1136" t="s">
        <v>2902</v>
      </c>
      <c r="L53" s="1136" t="s">
        <v>2903</v>
      </c>
      <c r="M53" s="1136" t="s">
        <v>2904</v>
      </c>
      <c r="N53" s="1136" t="s">
        <v>2905</v>
      </c>
      <c r="O53" s="1136" t="s">
        <v>2906</v>
      </c>
      <c r="P53" s="1136" t="s">
        <v>2907</v>
      </c>
    </row>
    <row r="54" ht="15.75" customHeight="1">
      <c r="B54" s="1137" t="s">
        <v>2163</v>
      </c>
      <c r="C54" s="1138" t="s">
        <v>19</v>
      </c>
      <c r="D54" s="402" t="s">
        <v>593</v>
      </c>
      <c r="E54" s="402" t="s">
        <v>593</v>
      </c>
      <c r="F54" s="1139">
        <f>IFERROR((9*4.4)/4,0)</f>
        <v>9.9</v>
      </c>
      <c r="G54" s="402" t="s">
        <v>593</v>
      </c>
      <c r="H54" s="402" t="s">
        <v>593</v>
      </c>
      <c r="I54" s="1139">
        <f>IFERROR((9*4.4)/4,0)</f>
        <v>9.9</v>
      </c>
      <c r="J54" s="402" t="s">
        <v>593</v>
      </c>
      <c r="K54" s="402" t="s">
        <v>593</v>
      </c>
      <c r="L54" s="1139">
        <f>IFERROR((9*4.4)/4,0)</f>
        <v>9.9</v>
      </c>
      <c r="M54" s="402" t="s">
        <v>593</v>
      </c>
      <c r="N54" s="402" t="s">
        <v>593</v>
      </c>
      <c r="O54" s="1139">
        <f>IFERROR((9*4.4)/4,0)</f>
        <v>9.9</v>
      </c>
      <c r="P54" s="254">
        <f t="shared" ref="P54:P63" si="1">IFERROR(SUM(D54:O54),0)</f>
        <v>39.6</v>
      </c>
    </row>
    <row r="55" ht="15.75" customHeight="1">
      <c r="B55" s="1137" t="s">
        <v>548</v>
      </c>
      <c r="C55" s="1138" t="s">
        <v>25</v>
      </c>
      <c r="D55" s="402" t="s">
        <v>593</v>
      </c>
      <c r="E55" s="402" t="s">
        <v>593</v>
      </c>
      <c r="F55" s="1139">
        <f>IFERROR((64.31*2.9*CONFIG!B3)/4,0)</f>
        <v>63.21849853</v>
      </c>
      <c r="G55" s="402" t="s">
        <v>593</v>
      </c>
      <c r="H55" s="402" t="s">
        <v>593</v>
      </c>
      <c r="I55" s="1139">
        <f>IFERROR((64.31*2.9*CONFIG!B3)/4,0)</f>
        <v>63.21849853</v>
      </c>
      <c r="J55" s="402" t="s">
        <v>593</v>
      </c>
      <c r="K55" s="402" t="s">
        <v>593</v>
      </c>
      <c r="L55" s="1139">
        <f>IFERROR((64.31*2.9*CONFIG!B3)/4,0)</f>
        <v>63.21849853</v>
      </c>
      <c r="M55" s="402" t="s">
        <v>593</v>
      </c>
      <c r="N55" s="402" t="s">
        <v>593</v>
      </c>
      <c r="O55" s="1139">
        <f>IFERROR((64.31*2.9*CONFIG!B3)/4,0)</f>
        <v>63.21849853</v>
      </c>
      <c r="P55" s="254">
        <f t="shared" si="1"/>
        <v>252.8739941</v>
      </c>
    </row>
    <row r="56" ht="15.75" customHeight="1">
      <c r="B56" s="1137" t="s">
        <v>2218</v>
      </c>
      <c r="C56" s="1138" t="s">
        <v>25</v>
      </c>
      <c r="D56" s="1139">
        <f>IFERROR((1*4.6*CONFIG!B3)/12,0)</f>
        <v>0.5197616667</v>
      </c>
      <c r="E56" s="1139">
        <f>IFERROR((1*4.6*CONFIG!B3)/12,0)</f>
        <v>0.5197616667</v>
      </c>
      <c r="F56" s="1139">
        <f>IFERROR((1*4.6*CONFIG!B3)/12,0)</f>
        <v>0.5197616667</v>
      </c>
      <c r="G56" s="1139">
        <f>IFERROR((1*4.6*CONFIG!B3)/12,0)</f>
        <v>0.5197616667</v>
      </c>
      <c r="H56" s="1139">
        <f>IFERROR((1*4.6*CONFIG!B3)/12,0)</f>
        <v>0.5197616667</v>
      </c>
      <c r="I56" s="1139">
        <f>IFERROR((1*4.6*CONFIG!B3)/12,0)</f>
        <v>0.5197616667</v>
      </c>
      <c r="J56" s="1139">
        <f>IFERROR((1*4.6*CONFIG!B3)/12,0)</f>
        <v>0.5197616667</v>
      </c>
      <c r="K56" s="1139">
        <f>IFERROR((1*4.6*CONFIG!B3)/12,0)</f>
        <v>0.5197616667</v>
      </c>
      <c r="L56" s="1139">
        <f>IFERROR((1*4.6*CONFIG!B3)/12,0)</f>
        <v>0.5197616667</v>
      </c>
      <c r="M56" s="1139">
        <f>IFERROR((1*4.6*CONFIG!B3)/12,0)</f>
        <v>0.5197616667</v>
      </c>
      <c r="N56" s="1139">
        <f>IFERROR((1*4.6*CONFIG!B3)/12,0)</f>
        <v>0.5197616667</v>
      </c>
      <c r="O56" s="1139">
        <f>IFERROR((1*4.6*CONFIG!B3)/12,0)</f>
        <v>0.5197616667</v>
      </c>
      <c r="P56" s="254">
        <f t="shared" si="1"/>
        <v>6.23714</v>
      </c>
    </row>
    <row r="57" ht="15.75" customHeight="1">
      <c r="B57" s="1137" t="s">
        <v>1977</v>
      </c>
      <c r="C57" s="1138" t="s">
        <v>19</v>
      </c>
      <c r="D57" s="1139">
        <f t="shared" ref="D57:D58" si="2">IFERROR((87*4.08)/4,0)</f>
        <v>88.74</v>
      </c>
      <c r="E57" s="402" t="s">
        <v>593</v>
      </c>
      <c r="F57" s="402" t="s">
        <v>593</v>
      </c>
      <c r="G57" s="1139">
        <f t="shared" ref="G57:G58" si="3">IFERROR((87*4.08)/4,0)</f>
        <v>88.74</v>
      </c>
      <c r="H57" s="402" t="s">
        <v>593</v>
      </c>
      <c r="I57" s="402" t="s">
        <v>593</v>
      </c>
      <c r="J57" s="1139">
        <f t="shared" ref="J57:J58" si="4">IFERROR((87*4.08)/4,0)</f>
        <v>88.74</v>
      </c>
      <c r="K57" s="402" t="s">
        <v>593</v>
      </c>
      <c r="L57" s="402" t="s">
        <v>593</v>
      </c>
      <c r="M57" s="1139">
        <f t="shared" ref="M57:M58" si="5">IFERROR((87*4.08)/4,0)</f>
        <v>88.74</v>
      </c>
      <c r="N57" s="402" t="s">
        <v>593</v>
      </c>
      <c r="O57" s="402" t="s">
        <v>593</v>
      </c>
      <c r="P57" s="254">
        <f t="shared" si="1"/>
        <v>354.96</v>
      </c>
    </row>
    <row r="58" ht="15.75" customHeight="1">
      <c r="B58" s="1137" t="s">
        <v>1977</v>
      </c>
      <c r="C58" s="1138" t="s">
        <v>22</v>
      </c>
      <c r="D58" s="1139">
        <f t="shared" si="2"/>
        <v>88.74</v>
      </c>
      <c r="E58" s="402" t="s">
        <v>593</v>
      </c>
      <c r="F58" s="402" t="s">
        <v>593</v>
      </c>
      <c r="G58" s="1139">
        <f t="shared" si="3"/>
        <v>88.74</v>
      </c>
      <c r="H58" s="402" t="s">
        <v>593</v>
      </c>
      <c r="I58" s="402" t="s">
        <v>593</v>
      </c>
      <c r="J58" s="1139">
        <f t="shared" si="4"/>
        <v>88.74</v>
      </c>
      <c r="K58" s="402" t="s">
        <v>593</v>
      </c>
      <c r="L58" s="402" t="s">
        <v>593</v>
      </c>
      <c r="M58" s="1139">
        <f t="shared" si="5"/>
        <v>88.74</v>
      </c>
      <c r="N58" s="402" t="s">
        <v>593</v>
      </c>
      <c r="O58" s="402" t="s">
        <v>593</v>
      </c>
      <c r="P58" s="254">
        <f t="shared" si="1"/>
        <v>354.96</v>
      </c>
    </row>
    <row r="59" ht="15.75" customHeight="1">
      <c r="B59" s="1137" t="s">
        <v>2866</v>
      </c>
      <c r="C59" s="1138" t="s">
        <v>22</v>
      </c>
      <c r="D59" s="1139">
        <f t="shared" ref="D59:O59" si="6">IFERROR((63*1.85)/12,0)</f>
        <v>9.7125</v>
      </c>
      <c r="E59" s="1139">
        <f t="shared" si="6"/>
        <v>9.7125</v>
      </c>
      <c r="F59" s="1139">
        <f t="shared" si="6"/>
        <v>9.7125</v>
      </c>
      <c r="G59" s="1139">
        <f t="shared" si="6"/>
        <v>9.7125</v>
      </c>
      <c r="H59" s="1139">
        <f t="shared" si="6"/>
        <v>9.7125</v>
      </c>
      <c r="I59" s="1139">
        <f t="shared" si="6"/>
        <v>9.7125</v>
      </c>
      <c r="J59" s="1139">
        <f t="shared" si="6"/>
        <v>9.7125</v>
      </c>
      <c r="K59" s="1139">
        <f t="shared" si="6"/>
        <v>9.7125</v>
      </c>
      <c r="L59" s="1139">
        <f t="shared" si="6"/>
        <v>9.7125</v>
      </c>
      <c r="M59" s="1139">
        <f t="shared" si="6"/>
        <v>9.7125</v>
      </c>
      <c r="N59" s="1139">
        <f t="shared" si="6"/>
        <v>9.7125</v>
      </c>
      <c r="O59" s="1139">
        <f t="shared" si="6"/>
        <v>9.7125</v>
      </c>
      <c r="P59" s="254">
        <f t="shared" si="1"/>
        <v>116.55</v>
      </c>
    </row>
    <row r="60" ht="15.75" customHeight="1">
      <c r="B60" s="1137" t="s">
        <v>2870</v>
      </c>
      <c r="C60" s="1138" t="s">
        <v>22</v>
      </c>
      <c r="D60" s="1139">
        <f t="shared" ref="D60:O60" si="7">IFERROR((80*0.96)/12,0)</f>
        <v>6.4</v>
      </c>
      <c r="E60" s="1139">
        <f t="shared" si="7"/>
        <v>6.4</v>
      </c>
      <c r="F60" s="1139">
        <f t="shared" si="7"/>
        <v>6.4</v>
      </c>
      <c r="G60" s="1139">
        <f t="shared" si="7"/>
        <v>6.4</v>
      </c>
      <c r="H60" s="1139">
        <f t="shared" si="7"/>
        <v>6.4</v>
      </c>
      <c r="I60" s="1139">
        <f t="shared" si="7"/>
        <v>6.4</v>
      </c>
      <c r="J60" s="1139">
        <f t="shared" si="7"/>
        <v>6.4</v>
      </c>
      <c r="K60" s="1139">
        <f t="shared" si="7"/>
        <v>6.4</v>
      </c>
      <c r="L60" s="1139">
        <f t="shared" si="7"/>
        <v>6.4</v>
      </c>
      <c r="M60" s="1139">
        <f t="shared" si="7"/>
        <v>6.4</v>
      </c>
      <c r="N60" s="1139">
        <f t="shared" si="7"/>
        <v>6.4</v>
      </c>
      <c r="O60" s="1139">
        <f t="shared" si="7"/>
        <v>6.4</v>
      </c>
      <c r="P60" s="254">
        <f t="shared" si="1"/>
        <v>76.8</v>
      </c>
    </row>
    <row r="61" ht="15.75" customHeight="1">
      <c r="B61" s="1137" t="s">
        <v>1289</v>
      </c>
      <c r="C61" s="1138" t="s">
        <v>19</v>
      </c>
      <c r="D61" s="402" t="s">
        <v>593</v>
      </c>
      <c r="E61" s="402" t="s">
        <v>593</v>
      </c>
      <c r="F61" s="1139">
        <f>IFERROR((8*1.6)/4,0)</f>
        <v>3.2</v>
      </c>
      <c r="G61" s="402" t="s">
        <v>593</v>
      </c>
      <c r="H61" s="402" t="s">
        <v>593</v>
      </c>
      <c r="I61" s="1139">
        <f>IFERROR((8*1.6)/4,0)</f>
        <v>3.2</v>
      </c>
      <c r="J61" s="402" t="s">
        <v>593</v>
      </c>
      <c r="K61" s="402" t="s">
        <v>593</v>
      </c>
      <c r="L61" s="1139">
        <f>IFERROR((8*1.6)/4,0)</f>
        <v>3.2</v>
      </c>
      <c r="M61" s="402" t="s">
        <v>593</v>
      </c>
      <c r="N61" s="402" t="s">
        <v>593</v>
      </c>
      <c r="O61" s="1139">
        <f>IFERROR((8*1.6)/4,0)</f>
        <v>3.2</v>
      </c>
      <c r="P61" s="254">
        <f t="shared" si="1"/>
        <v>12.8</v>
      </c>
    </row>
    <row r="62" ht="15.75" customHeight="1">
      <c r="B62" s="1137" t="s">
        <v>2196</v>
      </c>
      <c r="C62" s="1138" t="s">
        <v>22</v>
      </c>
      <c r="D62" s="1139">
        <f t="shared" ref="D62:O62" si="8">IFERROR((26*1.2)/12,0)</f>
        <v>2.6</v>
      </c>
      <c r="E62" s="1139">
        <f t="shared" si="8"/>
        <v>2.6</v>
      </c>
      <c r="F62" s="1139">
        <f t="shared" si="8"/>
        <v>2.6</v>
      </c>
      <c r="G62" s="1139">
        <f t="shared" si="8"/>
        <v>2.6</v>
      </c>
      <c r="H62" s="1139">
        <f t="shared" si="8"/>
        <v>2.6</v>
      </c>
      <c r="I62" s="1139">
        <f t="shared" si="8"/>
        <v>2.6</v>
      </c>
      <c r="J62" s="1139">
        <f t="shared" si="8"/>
        <v>2.6</v>
      </c>
      <c r="K62" s="1139">
        <f t="shared" si="8"/>
        <v>2.6</v>
      </c>
      <c r="L62" s="1139">
        <f t="shared" si="8"/>
        <v>2.6</v>
      </c>
      <c r="M62" s="1139">
        <f t="shared" si="8"/>
        <v>2.6</v>
      </c>
      <c r="N62" s="1139">
        <f t="shared" si="8"/>
        <v>2.6</v>
      </c>
      <c r="O62" s="1139">
        <f t="shared" si="8"/>
        <v>2.6</v>
      </c>
      <c r="P62" s="254">
        <f t="shared" si="1"/>
        <v>31.2</v>
      </c>
    </row>
    <row r="63" ht="15.75" customHeight="1">
      <c r="B63" s="1137" t="s">
        <v>2196</v>
      </c>
      <c r="C63" s="1138" t="s">
        <v>19</v>
      </c>
      <c r="D63" s="1139">
        <f t="shared" ref="D63:O63" si="9">IFERROR((51*1.2)/12,0)</f>
        <v>5.1</v>
      </c>
      <c r="E63" s="1139">
        <f t="shared" si="9"/>
        <v>5.1</v>
      </c>
      <c r="F63" s="1139">
        <f t="shared" si="9"/>
        <v>5.1</v>
      </c>
      <c r="G63" s="1139">
        <f t="shared" si="9"/>
        <v>5.1</v>
      </c>
      <c r="H63" s="1139">
        <f t="shared" si="9"/>
        <v>5.1</v>
      </c>
      <c r="I63" s="1139">
        <f t="shared" si="9"/>
        <v>5.1</v>
      </c>
      <c r="J63" s="1139">
        <f t="shared" si="9"/>
        <v>5.1</v>
      </c>
      <c r="K63" s="1139">
        <f t="shared" si="9"/>
        <v>5.1</v>
      </c>
      <c r="L63" s="1139">
        <f t="shared" si="9"/>
        <v>5.1</v>
      </c>
      <c r="M63" s="1139">
        <f t="shared" si="9"/>
        <v>5.1</v>
      </c>
      <c r="N63" s="1139">
        <f t="shared" si="9"/>
        <v>5.1</v>
      </c>
      <c r="O63" s="1139">
        <f t="shared" si="9"/>
        <v>5.1</v>
      </c>
      <c r="P63" s="254">
        <f t="shared" si="1"/>
        <v>61.2</v>
      </c>
    </row>
    <row r="64" ht="15.75" customHeight="1">
      <c r="B64" s="277" t="s">
        <v>2908</v>
      </c>
      <c r="C64" s="1140"/>
      <c r="D64" s="1141">
        <f t="shared" ref="D64:O64" si="10">SUM(D54:D63)</f>
        <v>201.8122617</v>
      </c>
      <c r="E64" s="1141">
        <f t="shared" si="10"/>
        <v>24.33226167</v>
      </c>
      <c r="F64" s="1141">
        <f t="shared" si="10"/>
        <v>100.6507602</v>
      </c>
      <c r="G64" s="1141">
        <f t="shared" si="10"/>
        <v>201.8122617</v>
      </c>
      <c r="H64" s="1141">
        <f t="shared" si="10"/>
        <v>24.33226167</v>
      </c>
      <c r="I64" s="1141">
        <f t="shared" si="10"/>
        <v>100.6507602</v>
      </c>
      <c r="J64" s="1141">
        <f t="shared" si="10"/>
        <v>201.8122617</v>
      </c>
      <c r="K64" s="1141">
        <f t="shared" si="10"/>
        <v>24.33226167</v>
      </c>
      <c r="L64" s="1141">
        <f t="shared" si="10"/>
        <v>100.6507602</v>
      </c>
      <c r="M64" s="1141">
        <f t="shared" si="10"/>
        <v>201.8122617</v>
      </c>
      <c r="N64" s="1141">
        <f t="shared" si="10"/>
        <v>24.33226167</v>
      </c>
      <c r="O64" s="1141">
        <f t="shared" si="10"/>
        <v>100.6507602</v>
      </c>
      <c r="P64" s="1141">
        <f>SUM(D64:O64)</f>
        <v>1307.181134</v>
      </c>
    </row>
    <row r="65" ht="15.75" customHeight="1"/>
    <row r="66" ht="34.5" customHeight="1">
      <c r="B66" s="1142" t="s">
        <v>2909</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1:H1"/>
    <mergeCell ref="B3:H3"/>
    <mergeCell ref="F5:G5"/>
    <mergeCell ref="F6:G6"/>
    <mergeCell ref="F7:G7"/>
    <mergeCell ref="F8:G8"/>
    <mergeCell ref="F9:G9"/>
    <mergeCell ref="B32:D32"/>
    <mergeCell ref="E32:F32"/>
    <mergeCell ref="F10:G10"/>
    <mergeCell ref="F11:G11"/>
    <mergeCell ref="F12:G12"/>
    <mergeCell ref="B13:E13"/>
    <mergeCell ref="F13:G13"/>
    <mergeCell ref="B14:H14"/>
    <mergeCell ref="B15:H15"/>
  </mergeCell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0"/>
    <col customWidth="1" min="2" max="2" width="22.0"/>
    <col customWidth="1" min="3" max="3" width="14.0"/>
    <col customWidth="1" min="4" max="6" width="8.71"/>
    <col customWidth="1" min="7" max="7" width="14.0"/>
    <col customWidth="1" min="8" max="14" width="8.71"/>
  </cols>
  <sheetData>
    <row r="1" ht="19.5" customHeight="1">
      <c r="A1" s="1143" t="s">
        <v>2910</v>
      </c>
      <c r="I1" s="741"/>
    </row>
    <row r="2" ht="19.5" customHeight="1">
      <c r="A2" s="1144" t="s">
        <v>2911</v>
      </c>
      <c r="B2" s="739"/>
      <c r="C2" s="739"/>
      <c r="D2" s="739"/>
      <c r="E2" s="739"/>
      <c r="F2" s="739"/>
      <c r="G2" s="739"/>
      <c r="H2" s="739"/>
      <c r="I2" s="739"/>
      <c r="J2" s="739"/>
    </row>
    <row r="3" ht="19.5" customHeight="1">
      <c r="A3" s="742"/>
      <c r="B3" s="742"/>
      <c r="C3" s="742"/>
      <c r="D3" s="742"/>
      <c r="E3" s="742"/>
      <c r="F3" s="742"/>
      <c r="G3" s="742"/>
      <c r="H3" s="742"/>
      <c r="I3" s="742"/>
      <c r="J3" s="742"/>
      <c r="K3" s="742"/>
      <c r="L3" s="742"/>
    </row>
    <row r="4" ht="19.5" customHeight="1">
      <c r="A4" s="1145" t="s">
        <v>2912</v>
      </c>
      <c r="I4" s="741"/>
      <c r="J4" s="741"/>
      <c r="K4" s="741"/>
      <c r="L4" s="741"/>
      <c r="M4" s="741"/>
    </row>
    <row r="5" ht="19.5" customHeight="1">
      <c r="A5" s="1146"/>
      <c r="B5" s="1147" t="s">
        <v>1726</v>
      </c>
      <c r="C5" s="1147" t="s">
        <v>1675</v>
      </c>
      <c r="D5" s="1147" t="s">
        <v>2412</v>
      </c>
      <c r="E5" s="1147" t="s">
        <v>1728</v>
      </c>
      <c r="F5" s="1147" t="s">
        <v>2913</v>
      </c>
      <c r="G5" s="1147" t="s">
        <v>272</v>
      </c>
      <c r="H5" s="1147" t="s">
        <v>322</v>
      </c>
      <c r="I5" s="1146"/>
      <c r="J5" s="1146"/>
      <c r="K5" s="1146"/>
      <c r="L5" s="1146"/>
      <c r="M5" s="1146"/>
      <c r="N5" s="1146"/>
    </row>
    <row r="6" ht="19.5" customHeight="1">
      <c r="B6" s="833" t="s">
        <v>22</v>
      </c>
      <c r="C6" s="835">
        <f>'📈 PORTEFEUILLE'!L59</f>
        <v>14767.01792</v>
      </c>
      <c r="D6" s="835"/>
      <c r="E6" s="835">
        <f>CONFIG!B14</f>
        <v>40000</v>
      </c>
      <c r="F6" s="980">
        <f t="shared" ref="F6:F8" si="1">E6-C6</f>
        <v>25232.98208</v>
      </c>
      <c r="G6" s="980">
        <f t="shared" ref="G6:G8" si="2">IFERROR(C6/E6,0)</f>
        <v>0.369175448</v>
      </c>
      <c r="H6" s="1148" t="str">
        <f t="shared" ref="H6:H7" si="3">IF(C6/E6&gt;=1,"✅ ATTEINT",IF(C6/E6&gt;=0.8,"🟡 PRÈS","🔴 ACCÉLÉRER"))</f>
        <v>🔴 ACCÉLÉRER</v>
      </c>
    </row>
    <row r="7" ht="19.5" customHeight="1">
      <c r="B7" s="836" t="s">
        <v>1730</v>
      </c>
      <c r="C7" s="838">
        <f>'📈 PORTEFEUILLE'!L68</f>
        <v>2764.168264</v>
      </c>
      <c r="D7" s="838"/>
      <c r="E7" s="838">
        <f>CONFIG!B15</f>
        <v>60000</v>
      </c>
      <c r="F7" s="987">
        <f t="shared" si="1"/>
        <v>57235.83174</v>
      </c>
      <c r="G7" s="987">
        <f t="shared" si="2"/>
        <v>0.04606947107</v>
      </c>
      <c r="H7" s="1149" t="str">
        <f t="shared" si="3"/>
        <v>🔴 ACCÉLÉRER</v>
      </c>
    </row>
    <row r="8" ht="19.5" customHeight="1">
      <c r="B8" s="1150" t="s">
        <v>1731</v>
      </c>
      <c r="C8" s="1151">
        <f>C6+C7</f>
        <v>17531.18618</v>
      </c>
      <c r="D8" s="1151"/>
      <c r="E8" s="1151">
        <f>CONFIG!B16</f>
        <v>100000</v>
      </c>
      <c r="F8" s="1152">
        <f t="shared" si="1"/>
        <v>82468.81382</v>
      </c>
      <c r="G8" s="1152">
        <f t="shared" si="2"/>
        <v>0.1753118618</v>
      </c>
      <c r="H8" s="854" t="str">
        <f>IF(C8/E8&gt;=1,"✅ OBJECTIF ATTEINT!",IF(C8/E8&gt;=0.8,"🟡 PRÈS DU BUT","🔴 EN COURS"))</f>
        <v>🔴 EN COURS</v>
      </c>
    </row>
    <row r="9" ht="19.5" customHeight="1"/>
    <row r="10" ht="19.5" customHeight="1">
      <c r="A10" s="1153" t="s">
        <v>2914</v>
      </c>
      <c r="B10" s="2"/>
      <c r="C10" s="2"/>
      <c r="D10" s="2"/>
      <c r="E10" s="2"/>
      <c r="F10" s="2"/>
      <c r="G10" s="2"/>
      <c r="H10" s="2"/>
    </row>
    <row r="11" ht="19.5" customHeight="1">
      <c r="B11" s="836" t="s">
        <v>2915</v>
      </c>
      <c r="C11" s="1154" t="s">
        <v>2916</v>
      </c>
      <c r="D11" s="1154"/>
      <c r="E11" s="1154" t="s">
        <v>2917</v>
      </c>
      <c r="F11" s="992">
        <f>IFERROR(DATEVALUE(C11)-TODAY(),0)</f>
        <v>1539</v>
      </c>
      <c r="G11" s="1154" t="str">
        <f>IF(C11="","",TEXT(DATEVALUE(C11)-TODAY(),"0")&amp;" jours · "&amp;TEXT((DATEVALUE(C11)-TODAY())/30.4,"0.0")&amp;" mois")</f>
        <v>1539 jours · 50.6 mois</v>
      </c>
      <c r="H11" s="1154"/>
    </row>
    <row r="12" ht="19.5" customHeight="1">
      <c r="B12" s="833" t="s">
        <v>2918</v>
      </c>
      <c r="C12" s="835">
        <f>MAX(0,CONFIG!B16-C8)</f>
        <v>82468.81382</v>
      </c>
      <c r="D12" s="834"/>
      <c r="E12" s="834"/>
      <c r="F12" s="834"/>
      <c r="G12" s="834"/>
      <c r="H12" s="834"/>
    </row>
    <row r="13" ht="19.5" customHeight="1">
      <c r="B13" s="836" t="s">
        <v>2919</v>
      </c>
      <c r="C13" s="838">
        <f>IFERROR(MAX(0,CONFIG!B16-C8)/MAX(1,(DATEVALUE(C11)-TODAY())/30.4),0)</f>
        <v>1629.013606</v>
      </c>
      <c r="D13" s="1154"/>
      <c r="E13" s="1154"/>
      <c r="F13" s="1154"/>
      <c r="G13" s="1154"/>
      <c r="H13" s="1154"/>
    </row>
    <row r="14" ht="19.5" customHeight="1"/>
    <row r="15" ht="19.5" customHeight="1">
      <c r="A15" s="1153" t="s">
        <v>2920</v>
      </c>
      <c r="B15" s="2"/>
      <c r="C15" s="2"/>
      <c r="D15" s="2"/>
      <c r="E15" s="2"/>
      <c r="F15" s="2"/>
      <c r="G15" s="2"/>
      <c r="H15" s="2"/>
    </row>
    <row r="16" ht="19.5" customHeight="1">
      <c r="B16" s="833" t="s">
        <v>2921</v>
      </c>
      <c r="C16" s="835">
        <v>400000.0</v>
      </c>
      <c r="D16" s="834"/>
      <c r="E16" s="834"/>
      <c r="F16" s="834"/>
      <c r="G16" s="834"/>
      <c r="H16" s="834"/>
    </row>
    <row r="17" ht="19.5" customHeight="1">
      <c r="B17" s="836" t="s">
        <v>2922</v>
      </c>
      <c r="C17" s="838">
        <v>100000.0</v>
      </c>
      <c r="D17" s="1154"/>
      <c r="E17" s="1154"/>
      <c r="F17" s="1154"/>
      <c r="G17" s="1154"/>
      <c r="H17" s="1154"/>
    </row>
    <row r="18" ht="19.5" customHeight="1">
      <c r="B18" s="833" t="s">
        <v>2923</v>
      </c>
      <c r="C18" s="981">
        <v>0.045</v>
      </c>
      <c r="D18" s="834"/>
      <c r="E18" s="834"/>
      <c r="F18" s="834"/>
      <c r="G18" s="834"/>
      <c r="H18" s="834"/>
    </row>
    <row r="19" ht="19.5" customHeight="1">
      <c r="B19" s="836" t="s">
        <v>2924</v>
      </c>
      <c r="C19" s="992">
        <v>25.0</v>
      </c>
      <c r="D19" s="1154"/>
      <c r="E19" s="1154"/>
      <c r="F19" s="1154"/>
      <c r="G19" s="1154"/>
      <c r="H19" s="1154"/>
    </row>
    <row r="20" ht="19.5" customHeight="1">
      <c r="B20" s="833" t="s">
        <v>2925</v>
      </c>
      <c r="C20" s="834" t="s">
        <v>2926</v>
      </c>
      <c r="D20" s="834"/>
      <c r="E20" s="834"/>
      <c r="F20" s="834"/>
      <c r="G20" s="834"/>
      <c r="H20" s="834"/>
    </row>
    <row r="21" ht="19.5" customHeight="1">
      <c r="B21" s="836" t="s">
        <v>2927</v>
      </c>
      <c r="C21" s="838">
        <f>C16-C17</f>
        <v>300000</v>
      </c>
      <c r="D21" s="1154"/>
      <c r="E21" s="1154"/>
      <c r="F21" s="1154"/>
      <c r="G21" s="1154"/>
      <c r="H21" s="1154"/>
    </row>
    <row r="22" ht="19.5" customHeight="1">
      <c r="B22" s="833" t="s">
        <v>2928</v>
      </c>
      <c r="C22" s="835">
        <f>IFERROR(C21*(C18/12)*(1+C18/12)^(C19*12)/((1+C18/12)^(C19*12)-1),0)</f>
        <v>1667.497434</v>
      </c>
      <c r="D22" s="834"/>
      <c r="E22" s="834"/>
      <c r="F22" s="834"/>
      <c r="G22" s="834"/>
      <c r="H22" s="834"/>
    </row>
    <row r="23" ht="19.5" customHeight="1">
      <c r="B23" s="836" t="s">
        <v>2929</v>
      </c>
      <c r="C23" s="838">
        <f>IFERROR(CONFIG!B15/15,0)</f>
        <v>4000</v>
      </c>
      <c r="D23" s="1154"/>
      <c r="E23" s="1154"/>
      <c r="F23" s="1154"/>
      <c r="G23" s="1154"/>
      <c r="H23" s="1154"/>
    </row>
    <row r="24" ht="19.5" customHeight="1">
      <c r="B24" s="833" t="s">
        <v>2930</v>
      </c>
      <c r="C24" s="835">
        <f>IFERROR(C23/12,0)</f>
        <v>333.3333333</v>
      </c>
      <c r="D24" s="834"/>
      <c r="E24" s="834"/>
      <c r="F24" s="834"/>
      <c r="G24" s="834"/>
      <c r="H24" s="834"/>
    </row>
    <row r="25" ht="19.5" customHeight="1">
      <c r="B25" s="836" t="s">
        <v>2931</v>
      </c>
      <c r="C25" s="838">
        <f>C22+C24</f>
        <v>2000.830767</v>
      </c>
      <c r="D25" s="1154"/>
      <c r="E25" s="1154"/>
      <c r="F25" s="1154"/>
      <c r="G25" s="1154"/>
      <c r="H25" s="1154"/>
    </row>
    <row r="26" ht="19.5" customHeight="1"/>
    <row r="27" ht="19.5" customHeight="1">
      <c r="A27" s="1153" t="s">
        <v>2932</v>
      </c>
      <c r="B27" s="2"/>
      <c r="C27" s="2"/>
      <c r="D27" s="2"/>
      <c r="E27" s="2"/>
      <c r="F27" s="2"/>
      <c r="G27" s="2"/>
      <c r="H27" s="2"/>
    </row>
    <row r="28" ht="19.5" customHeight="1">
      <c r="B28" s="833" t="s">
        <v>2790</v>
      </c>
      <c r="C28" s="834" t="s">
        <v>2933</v>
      </c>
      <c r="D28" s="834" t="s">
        <v>2934</v>
      </c>
      <c r="E28" s="834" t="s">
        <v>2935</v>
      </c>
      <c r="F28" s="834" t="s">
        <v>2936</v>
      </c>
      <c r="G28" s="834"/>
      <c r="H28" s="834"/>
    </row>
    <row r="29" ht="19.5" customHeight="1">
      <c r="B29" s="836" t="s">
        <v>2937</v>
      </c>
      <c r="C29" s="838">
        <f>IFERROR((C16-C17)*(0.035/12)*(1+0.035/12)^(C19*12)/((1+0.035/12)^(C19*12)-1),0)</f>
        <v>1501.870711</v>
      </c>
      <c r="D29" s="838">
        <f>IFERROR((C16-C17)*(0.035/12)*(1+0.035/12)^(C19*12)/((1+0.035/12)^(C19*12)-1)*12,0)</f>
        <v>18022.44853</v>
      </c>
      <c r="E29" s="838">
        <f>IFERROR((C16-C17)*(0.035/12)*(1+0.035/12)^(C19*12)/((1+0.035/12)^(C19*12)-1)*12*C19,0)</f>
        <v>450561.2132</v>
      </c>
      <c r="F29" s="838">
        <f>IFERROR((C16-C17)*(0.035/12)*(1+0.035/12)^(C19*12)/((1+0.035/12)^(C19*12)-1)*12*C19-(C16-C17),0)</f>
        <v>150561.2132</v>
      </c>
      <c r="G29" s="1154"/>
      <c r="H29" s="1154"/>
    </row>
    <row r="30" ht="19.5" customHeight="1">
      <c r="B30" s="833" t="s">
        <v>2938</v>
      </c>
      <c r="C30" s="835">
        <f>IFERROR((C16-C17)*(0.04/12)*(1+0.04/12)^(C19*12)/((1+0.04/12)^(C19*12)-1),0)</f>
        <v>1583.510521</v>
      </c>
      <c r="D30" s="835">
        <f>IFERROR((C16-C17)*(0.04/12)*(1+0.04/12)^(C19*12)/((1+0.04/12)^(C19*12)-1)*12,0)</f>
        <v>19002.12625</v>
      </c>
      <c r="E30" s="835">
        <f>IFERROR((C16-C17)*(0.04/12)*(1+0.04/12)^(C19*12)/((1+0.04/12)^(C19*12)-1)*12*C19,0)</f>
        <v>475053.1563</v>
      </c>
      <c r="F30" s="835">
        <f>IFERROR((C16-C17)*(0.04/12)*(1+0.04/12)^(C19*12)/((1+0.04/12)^(C19*12)-1)*12*C19-(C16-C17),0)</f>
        <v>175053.1563</v>
      </c>
      <c r="G30" s="834"/>
      <c r="H30" s="834"/>
    </row>
    <row r="31" ht="19.5" customHeight="1">
      <c r="B31" s="836" t="s">
        <v>2939</v>
      </c>
      <c r="C31" s="838">
        <f>IFERROR((C16-C17)*(0.045/12)*(1+0.045/12)^(C19*12)/((1+0.045/12)^(C19*12)-1),0)</f>
        <v>1667.497434</v>
      </c>
      <c r="D31" s="838">
        <f>IFERROR((C16-C17)*(0.045/12)*(1+0.045/12)^(C19*12)/((1+0.045/12)^(C19*12)-1)*12,0)</f>
        <v>20009.96921</v>
      </c>
      <c r="E31" s="838">
        <f>IFERROR((C16-C17)*(0.045/12)*(1+0.045/12)^(C19*12)/((1+0.045/12)^(C19*12)-1)*12*C19,0)</f>
        <v>500249.2302</v>
      </c>
      <c r="F31" s="838">
        <f>IFERROR((C16-C17)*(0.045/12)*(1+0.045/12)^(C19*12)/((1+0.045/12)^(C19*12)-1)*12*C19-(C16-C17),0)</f>
        <v>200249.2302</v>
      </c>
      <c r="G31" s="1154"/>
      <c r="H31" s="1154"/>
    </row>
    <row r="32" ht="19.5" customHeight="1">
      <c r="B32" s="833" t="s">
        <v>2940</v>
      </c>
      <c r="C32" s="835">
        <f>IFERROR((C16-C17)*(0.05/12)*(1+0.05/12)^(C19*12)/((1+0.05/12)^(C19*12)-1),0)</f>
        <v>1753.770125</v>
      </c>
      <c r="D32" s="835">
        <f>IFERROR((C16-C17)*(0.05/12)*(1+0.05/12)^(C19*12)/((1+0.05/12)^(C19*12)-1)*12,0)</f>
        <v>21045.24149</v>
      </c>
      <c r="E32" s="835">
        <f>IFERROR((C16-C17)*(0.05/12)*(1+0.05/12)^(C19*12)/((1+0.05/12)^(C19*12)-1)*12*C19,0)</f>
        <v>526131.0374</v>
      </c>
      <c r="F32" s="835">
        <f>IFERROR((C16-C17)*(0.05/12)*(1+0.05/12)^(C19*12)/((1+0.05/12)^(C19*12)-1)*12*C19-(C16-C17),0)</f>
        <v>226131.0374</v>
      </c>
      <c r="G32" s="834"/>
      <c r="H32" s="834"/>
    </row>
    <row r="33" ht="19.5" customHeight="1">
      <c r="B33" s="836" t="s">
        <v>2941</v>
      </c>
      <c r="C33" s="838">
        <f>IFERROR((C16-C17)*(0.055/12)*(1+0.055/12)^(C19*12)/((1+0.055/12)^(C19*12)-1),0)</f>
        <v>1842.262477</v>
      </c>
      <c r="D33" s="838">
        <f>IFERROR((C16-C17)*(0.055/12)*(1+0.055/12)^(C19*12)/((1+0.055/12)^(C19*12)-1)*12,0)</f>
        <v>22107.14972</v>
      </c>
      <c r="E33" s="838">
        <f>IFERROR((C16-C17)*(0.055/12)*(1+0.055/12)^(C19*12)/((1+0.055/12)^(C19*12)-1)*12*C19,0)</f>
        <v>552678.7431</v>
      </c>
      <c r="F33" s="838">
        <f>IFERROR((C16-C17)*(0.055/12)*(1+0.055/12)^(C19*12)/((1+0.055/12)^(C19*12)-1)*12*C19-(C16-C17),0)</f>
        <v>252678.7431</v>
      </c>
      <c r="G33" s="1154"/>
      <c r="H33" s="1154"/>
    </row>
    <row r="34" ht="19.5" customHeight="1">
      <c r="B34" s="833" t="s">
        <v>2942</v>
      </c>
      <c r="C34" s="835">
        <f>IFERROR((C16-C17)*(0.06/12)*(1+0.06/12)^(C19*12)/((1+0.06/12)^(C19*12)-1),0)</f>
        <v>1932.904204</v>
      </c>
      <c r="D34" s="835">
        <f>IFERROR((C16-C17)*(0.06/12)*(1+0.06/12)^(C19*12)/((1+0.06/12)^(C19*12)-1)*12,0)</f>
        <v>23194.85045</v>
      </c>
      <c r="E34" s="835">
        <f>IFERROR((C16-C17)*(0.06/12)*(1+0.06/12)^(C19*12)/((1+0.06/12)^(C19*12)-1)*12*C19,0)</f>
        <v>579871.2613</v>
      </c>
      <c r="F34" s="835">
        <f>IFERROR((C16-C17)*(0.06/12)*(1+0.06/12)^(C19*12)/((1+0.06/12)^(C19*12)-1)*12*C19-(C16-C17),0)</f>
        <v>279871.2613</v>
      </c>
      <c r="G34" s="834"/>
      <c r="H34" s="834"/>
    </row>
    <row r="35" ht="19.5" customHeight="1"/>
    <row r="36" ht="19.5" customHeight="1">
      <c r="A36" s="1085" t="s">
        <v>2943</v>
      </c>
      <c r="B36" s="2"/>
      <c r="C36" s="2"/>
      <c r="D36" s="2"/>
      <c r="E36" s="2"/>
      <c r="F36" s="2"/>
      <c r="G36" s="2"/>
      <c r="H36" s="2"/>
    </row>
    <row r="37" ht="19.5" customHeight="1">
      <c r="A37" s="1155" t="s">
        <v>2944</v>
      </c>
      <c r="C37" s="1156" t="s">
        <v>2945</v>
      </c>
      <c r="F37" s="1128" t="s">
        <v>593</v>
      </c>
      <c r="H37" s="1157" t="s">
        <v>593</v>
      </c>
    </row>
    <row r="38" ht="19.5" customHeight="1">
      <c r="A38" s="1155" t="s">
        <v>2946</v>
      </c>
      <c r="C38" s="1156" t="s">
        <v>2947</v>
      </c>
      <c r="F38" s="1128" t="s">
        <v>593</v>
      </c>
      <c r="H38" s="1157" t="s">
        <v>593</v>
      </c>
    </row>
    <row r="39" ht="19.5" customHeight="1">
      <c r="A39" s="1155" t="s">
        <v>2948</v>
      </c>
      <c r="C39" s="1156" t="s">
        <v>2949</v>
      </c>
      <c r="F39" s="1128" t="s">
        <v>593</v>
      </c>
      <c r="H39" s="1157" t="s">
        <v>593</v>
      </c>
    </row>
    <row r="40" ht="19.5" customHeight="1">
      <c r="A40" s="1158" t="s">
        <v>2950</v>
      </c>
      <c r="C40" s="1159" t="s">
        <v>2951</v>
      </c>
      <c r="F40" s="1160" t="s">
        <v>2952</v>
      </c>
      <c r="H40" s="1161" t="s">
        <v>2953</v>
      </c>
    </row>
    <row r="41" ht="19.5" customHeight="1">
      <c r="A41" s="1158" t="s">
        <v>2954</v>
      </c>
      <c r="C41" s="1159" t="s">
        <v>2955</v>
      </c>
      <c r="F41" s="1160" t="s">
        <v>2956</v>
      </c>
      <c r="H41" s="1161"/>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H1"/>
    <mergeCell ref="A4:H4"/>
    <mergeCell ref="A10:H10"/>
    <mergeCell ref="A15:H15"/>
    <mergeCell ref="A27:H27"/>
    <mergeCell ref="A36:H36"/>
  </mergeCell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72C4"/>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2.0"/>
    <col customWidth="1" min="2" max="2" width="10.0"/>
    <col customWidth="1" min="3" max="10" width="6.0"/>
    <col customWidth="1" min="11" max="15" width="14.0"/>
  </cols>
  <sheetData>
    <row r="1" ht="30.0" customHeight="1">
      <c r="A1" s="1162" t="s">
        <v>2957</v>
      </c>
      <c r="B1" s="2"/>
      <c r="C1" s="2"/>
      <c r="D1" s="2"/>
      <c r="E1" s="2"/>
      <c r="F1" s="2"/>
      <c r="G1" s="2"/>
      <c r="H1" s="2"/>
      <c r="I1" s="2"/>
      <c r="J1" s="2"/>
    </row>
    <row r="2" ht="14.25" customHeight="1">
      <c r="A2" s="1163" t="s">
        <v>2958</v>
      </c>
      <c r="B2" s="2"/>
      <c r="C2" s="2"/>
      <c r="D2" s="2"/>
      <c r="E2" s="2"/>
      <c r="F2" s="2"/>
    </row>
    <row r="3" ht="13.5" customHeight="1"/>
    <row r="4" ht="19.5" customHeight="1">
      <c r="A4" s="1164" t="s">
        <v>2959</v>
      </c>
    </row>
    <row r="5" ht="18.0" customHeight="1">
      <c r="A5" s="1165" t="s">
        <v>2960</v>
      </c>
      <c r="B5" s="1165" t="s">
        <v>2961</v>
      </c>
      <c r="C5" s="1165" t="s">
        <v>2962</v>
      </c>
      <c r="D5" s="1165" t="s">
        <v>2963</v>
      </c>
    </row>
    <row r="6" ht="18.0" customHeight="1">
      <c r="A6" s="1166" t="s">
        <v>1056</v>
      </c>
      <c r="B6" s="1167">
        <v>34.0</v>
      </c>
      <c r="C6" s="1168" t="str">
        <f>CONFIG!B4</f>
        <v/>
      </c>
      <c r="D6" s="1169" t="s">
        <v>1058</v>
      </c>
    </row>
    <row r="7" ht="18.0" customHeight="1">
      <c r="A7" s="1170" t="s">
        <v>2964</v>
      </c>
      <c r="B7" s="1171">
        <v>85681.0</v>
      </c>
      <c r="C7" s="1172" t="s">
        <v>2965</v>
      </c>
      <c r="D7" s="1173" t="s">
        <v>1061</v>
      </c>
    </row>
    <row r="8" ht="18.0" customHeight="1">
      <c r="A8" s="1166" t="s">
        <v>2966</v>
      </c>
      <c r="B8" s="1174">
        <f>CONFIG!B10</f>
        <v>4000</v>
      </c>
      <c r="C8" s="1168" t="s">
        <v>2967</v>
      </c>
      <c r="D8" s="1169" t="s">
        <v>1064</v>
      </c>
    </row>
    <row r="9" ht="18.0" customHeight="1">
      <c r="A9" s="1170" t="s">
        <v>2968</v>
      </c>
      <c r="B9" s="1175">
        <v>0.06</v>
      </c>
      <c r="D9" s="1173" t="s">
        <v>2969</v>
      </c>
    </row>
    <row r="10" ht="18.0" customHeight="1">
      <c r="A10" s="1166" t="s">
        <v>2970</v>
      </c>
      <c r="B10" s="1176">
        <v>0.08</v>
      </c>
      <c r="D10" s="1169" t="s">
        <v>2971</v>
      </c>
    </row>
    <row r="11" ht="18.0" customHeight="1">
      <c r="A11" s="1170" t="s">
        <v>2972</v>
      </c>
      <c r="B11" s="1175">
        <v>0.1</v>
      </c>
      <c r="D11" s="1173" t="s">
        <v>2973</v>
      </c>
    </row>
    <row r="12" ht="18.0" customHeight="1">
      <c r="A12" s="1166" t="s">
        <v>2974</v>
      </c>
      <c r="B12" s="1174">
        <v>2100000.0</v>
      </c>
      <c r="D12" s="1169" t="s">
        <v>2975</v>
      </c>
    </row>
    <row r="13" ht="18.0" customHeight="1">
      <c r="A13" s="1170" t="s">
        <v>2976</v>
      </c>
      <c r="B13" s="1177">
        <v>55.0</v>
      </c>
      <c r="C13" s="22" t="s">
        <v>2977</v>
      </c>
      <c r="D13" s="1173" t="s">
        <v>2977</v>
      </c>
    </row>
    <row r="14" ht="18.0" customHeight="1">
      <c r="A14" s="1166" t="s">
        <v>2978</v>
      </c>
      <c r="B14" s="1174">
        <v>1200.0</v>
      </c>
      <c r="C14" s="1178">
        <f>CONFIG!B25</f>
        <v>0</v>
      </c>
      <c r="D14" s="1169" t="s">
        <v>2979</v>
      </c>
    </row>
    <row r="15" ht="18.0" customHeight="1"/>
    <row r="16" ht="18.0" customHeight="1">
      <c r="A16" s="1179" t="s">
        <v>2980</v>
      </c>
      <c r="B16" s="2"/>
      <c r="C16" s="2"/>
      <c r="D16" s="2"/>
      <c r="E16" s="2"/>
      <c r="F16" s="2"/>
    </row>
    <row r="17" ht="18.0" customHeight="1">
      <c r="A17" s="1180" t="s">
        <v>2981</v>
      </c>
      <c r="B17" s="2"/>
      <c r="C17" s="2"/>
      <c r="D17" s="2"/>
      <c r="E17" s="2"/>
      <c r="F17" s="2"/>
      <c r="G17" s="2"/>
      <c r="H17" s="2"/>
      <c r="I17" s="2"/>
      <c r="J17" s="2"/>
    </row>
    <row r="18" ht="18.0" customHeight="1">
      <c r="A18" s="1181" t="s">
        <v>2982</v>
      </c>
      <c r="B18" s="1182">
        <v>34.0</v>
      </c>
      <c r="C18" s="1183">
        <f>B7*(1+B9)+B8*12*(((1+B9)-1)/B9)</f>
        <v>138821.86</v>
      </c>
      <c r="D18" s="1183">
        <f>B7*(1+B10)+B8*12*(((1+B10)-1)/B10)</f>
        <v>140535.48</v>
      </c>
      <c r="E18" s="1183">
        <f>B7*(1+B11)+B8*12*(((1+B11)-1)/B11)</f>
        <v>142249.1</v>
      </c>
      <c r="F18" s="1183">
        <f t="shared" ref="F18:F34" si="1">$B$12</f>
        <v>2100000</v>
      </c>
    </row>
    <row r="19" ht="18.0" customHeight="1">
      <c r="A19" s="1184" t="s">
        <v>2983</v>
      </c>
      <c r="B19" s="1185">
        <v>35.0</v>
      </c>
      <c r="C19" s="1186">
        <f t="shared" ref="C19:C39" si="2">C18*(1+$B$9)+$B$8*12*(((1+$B$9)-1)/$B$9)</f>
        <v>195151.1716</v>
      </c>
      <c r="D19" s="1186">
        <f t="shared" ref="D19:D39" si="3">D18*(1+$B$10)+$B$8*12*(((1+$B$10)-1)/$B$10)</f>
        <v>199778.3184</v>
      </c>
      <c r="E19" s="1186">
        <f t="shared" ref="E19:E39" si="4">E18*(1+$B$11)+$B$8*12*(((1+$B$11)-1)/$B$11)</f>
        <v>204474.01</v>
      </c>
      <c r="F19" s="1186">
        <f t="shared" si="1"/>
        <v>2100000</v>
      </c>
    </row>
    <row r="20" ht="18.0" customHeight="1">
      <c r="A20" s="1181" t="s">
        <v>2984</v>
      </c>
      <c r="B20" s="1182">
        <v>36.0</v>
      </c>
      <c r="C20" s="1183">
        <f t="shared" si="2"/>
        <v>254860.2419</v>
      </c>
      <c r="D20" s="1183">
        <f t="shared" si="3"/>
        <v>263760.5839</v>
      </c>
      <c r="E20" s="1183">
        <f t="shared" si="4"/>
        <v>272921.411</v>
      </c>
      <c r="F20" s="1183">
        <f t="shared" si="1"/>
        <v>2100000</v>
      </c>
    </row>
    <row r="21" ht="18.0" customHeight="1">
      <c r="A21" s="1184" t="s">
        <v>2985</v>
      </c>
      <c r="B21" s="1185">
        <v>37.0</v>
      </c>
      <c r="C21" s="1186">
        <f t="shared" si="2"/>
        <v>318151.8564</v>
      </c>
      <c r="D21" s="1186">
        <f t="shared" si="3"/>
        <v>332861.4306</v>
      </c>
      <c r="E21" s="1186">
        <f t="shared" si="4"/>
        <v>348213.5521</v>
      </c>
      <c r="F21" s="1186">
        <f t="shared" si="1"/>
        <v>2100000</v>
      </c>
    </row>
    <row r="22" ht="18.0" customHeight="1">
      <c r="A22" s="1181" t="s">
        <v>2827</v>
      </c>
      <c r="B22" s="1182">
        <v>38.0</v>
      </c>
      <c r="C22" s="1183">
        <f t="shared" si="2"/>
        <v>385240.9678</v>
      </c>
      <c r="D22" s="1183">
        <f t="shared" si="3"/>
        <v>407490.345</v>
      </c>
      <c r="E22" s="1183">
        <f t="shared" si="4"/>
        <v>431034.9073</v>
      </c>
      <c r="F22" s="1183">
        <f t="shared" si="1"/>
        <v>2100000</v>
      </c>
    </row>
    <row r="23" ht="18.0" customHeight="1">
      <c r="A23" s="1184" t="s">
        <v>2986</v>
      </c>
      <c r="B23" s="1185">
        <v>39.0</v>
      </c>
      <c r="C23" s="1186">
        <f t="shared" si="2"/>
        <v>456355.4259</v>
      </c>
      <c r="D23" s="1186">
        <f t="shared" si="3"/>
        <v>488089.5726</v>
      </c>
      <c r="E23" s="1186">
        <f t="shared" si="4"/>
        <v>522138.398</v>
      </c>
      <c r="F23" s="1186">
        <f t="shared" si="1"/>
        <v>2100000</v>
      </c>
    </row>
    <row r="24" ht="18.0" customHeight="1">
      <c r="A24" s="1181" t="s">
        <v>2987</v>
      </c>
      <c r="B24" s="1182">
        <v>40.0</v>
      </c>
      <c r="C24" s="1183">
        <f t="shared" si="2"/>
        <v>531736.7514</v>
      </c>
      <c r="D24" s="1183">
        <f t="shared" si="3"/>
        <v>575136.7384</v>
      </c>
      <c r="E24" s="1183">
        <f t="shared" si="4"/>
        <v>622352.2378</v>
      </c>
      <c r="F24" s="1183">
        <f t="shared" si="1"/>
        <v>2100000</v>
      </c>
    </row>
    <row r="25" ht="18.0" customHeight="1">
      <c r="A25" s="1184" t="s">
        <v>2988</v>
      </c>
      <c r="B25" s="1185">
        <v>41.0</v>
      </c>
      <c r="C25" s="1186">
        <f t="shared" si="2"/>
        <v>611640.9565</v>
      </c>
      <c r="D25" s="1186">
        <f t="shared" si="3"/>
        <v>669147.6775</v>
      </c>
      <c r="E25" s="1186">
        <f t="shared" si="4"/>
        <v>732587.4616</v>
      </c>
      <c r="F25" s="1186">
        <f t="shared" si="1"/>
        <v>2100000</v>
      </c>
    </row>
    <row r="26" ht="18.0" customHeight="1">
      <c r="A26" s="1181" t="s">
        <v>2989</v>
      </c>
      <c r="B26" s="1182">
        <v>42.0</v>
      </c>
      <c r="C26" s="1183">
        <f t="shared" si="2"/>
        <v>696339.4139</v>
      </c>
      <c r="D26" s="1183">
        <f t="shared" si="3"/>
        <v>770679.4917</v>
      </c>
      <c r="E26" s="1183">
        <f t="shared" si="4"/>
        <v>853846.2078</v>
      </c>
      <c r="F26" s="1183">
        <f t="shared" si="1"/>
        <v>2100000</v>
      </c>
    </row>
    <row r="27" ht="18.0" customHeight="1">
      <c r="A27" s="1184" t="s">
        <v>2990</v>
      </c>
      <c r="B27" s="1185">
        <v>43.0</v>
      </c>
      <c r="C27" s="1186">
        <f t="shared" si="2"/>
        <v>786119.7787</v>
      </c>
      <c r="D27" s="1186">
        <f t="shared" si="3"/>
        <v>880333.8511</v>
      </c>
      <c r="E27" s="1186">
        <f t="shared" si="4"/>
        <v>987230.8286</v>
      </c>
      <c r="F27" s="1186">
        <f t="shared" si="1"/>
        <v>2100000</v>
      </c>
    </row>
    <row r="28" ht="18.0" customHeight="1">
      <c r="A28" s="1181" t="s">
        <v>2991</v>
      </c>
      <c r="B28" s="1182">
        <v>44.0</v>
      </c>
      <c r="C28" s="1183">
        <f t="shared" si="2"/>
        <v>881286.9654</v>
      </c>
      <c r="D28" s="1183">
        <f t="shared" si="3"/>
        <v>998760.5591</v>
      </c>
      <c r="E28" s="1183">
        <f t="shared" si="4"/>
        <v>1133953.911</v>
      </c>
      <c r="F28" s="1183">
        <f t="shared" si="1"/>
        <v>2100000</v>
      </c>
    </row>
    <row r="29" ht="18.0" customHeight="1">
      <c r="A29" s="1184" t="s">
        <v>2992</v>
      </c>
      <c r="B29" s="1185">
        <v>45.0</v>
      </c>
      <c r="C29" s="1186">
        <f t="shared" si="2"/>
        <v>982164.1834</v>
      </c>
      <c r="D29" s="1186">
        <f t="shared" si="3"/>
        <v>1126661.404</v>
      </c>
      <c r="E29" s="1186">
        <f t="shared" si="4"/>
        <v>1295349.303</v>
      </c>
      <c r="F29" s="1186">
        <f t="shared" si="1"/>
        <v>2100000</v>
      </c>
    </row>
    <row r="30" ht="18.0" customHeight="1">
      <c r="A30" s="1181" t="s">
        <v>2993</v>
      </c>
      <c r="B30" s="1182">
        <v>46.0</v>
      </c>
      <c r="C30" s="1183">
        <f t="shared" si="2"/>
        <v>1089094.034</v>
      </c>
      <c r="D30" s="1183">
        <f t="shared" si="3"/>
        <v>1264794.316</v>
      </c>
      <c r="E30" s="1183">
        <f t="shared" si="4"/>
        <v>1472884.233</v>
      </c>
      <c r="F30" s="1183">
        <f t="shared" si="1"/>
        <v>2100000</v>
      </c>
    </row>
    <row r="31" ht="18.0" customHeight="1">
      <c r="A31" s="1184">
        <v>2039.0</v>
      </c>
      <c r="B31" s="1185">
        <v>47.0</v>
      </c>
      <c r="C31" s="1186">
        <f t="shared" si="2"/>
        <v>1202439.676</v>
      </c>
      <c r="D31" s="1186">
        <f t="shared" si="3"/>
        <v>1413977.861</v>
      </c>
      <c r="E31" s="1186">
        <f t="shared" si="4"/>
        <v>1668172.656</v>
      </c>
      <c r="F31" s="1186">
        <f t="shared" si="1"/>
        <v>2100000</v>
      </c>
    </row>
    <row r="32" ht="18.0" customHeight="1">
      <c r="A32" s="1181">
        <v>2040.0</v>
      </c>
      <c r="B32" s="1182">
        <v>48.0</v>
      </c>
      <c r="C32" s="1183">
        <f t="shared" si="2"/>
        <v>1322586.057</v>
      </c>
      <c r="D32" s="1183">
        <f t="shared" si="3"/>
        <v>1575096.09</v>
      </c>
      <c r="E32" s="1183">
        <f t="shared" si="4"/>
        <v>1882989.922</v>
      </c>
      <c r="F32" s="1183">
        <f t="shared" si="1"/>
        <v>2100000</v>
      </c>
    </row>
    <row r="33" ht="18.0" customHeight="1">
      <c r="A33" s="1184">
        <v>2041.0</v>
      </c>
      <c r="B33" s="1185">
        <v>49.0</v>
      </c>
      <c r="C33" s="1186">
        <f t="shared" si="2"/>
        <v>1449941.22</v>
      </c>
      <c r="D33" s="1186">
        <f t="shared" si="3"/>
        <v>1749103.778</v>
      </c>
      <c r="E33" s="1186">
        <f t="shared" si="4"/>
        <v>2119288.914</v>
      </c>
      <c r="F33" s="1186">
        <f t="shared" si="1"/>
        <v>2100000</v>
      </c>
    </row>
    <row r="34" ht="18.0" customHeight="1">
      <c r="A34" s="1166">
        <v>2042.0</v>
      </c>
      <c r="B34" s="1187">
        <v>50.0</v>
      </c>
      <c r="C34" s="1188">
        <f t="shared" si="2"/>
        <v>1584937.694</v>
      </c>
      <c r="D34" s="1189">
        <f t="shared" si="3"/>
        <v>1937032.08</v>
      </c>
      <c r="E34" s="1188">
        <f t="shared" si="4"/>
        <v>2379217.805</v>
      </c>
      <c r="F34" s="1188">
        <f t="shared" si="1"/>
        <v>2100000</v>
      </c>
    </row>
    <row r="35" ht="18.0" customHeight="1">
      <c r="A35" s="22">
        <v>2043.0</v>
      </c>
      <c r="B35" s="22">
        <v>51.0</v>
      </c>
      <c r="C35" s="22">
        <f t="shared" si="2"/>
        <v>1728033.955</v>
      </c>
      <c r="D35" s="22">
        <f t="shared" si="3"/>
        <v>2139994.646</v>
      </c>
      <c r="E35" s="22">
        <f t="shared" si="4"/>
        <v>2665139.586</v>
      </c>
    </row>
    <row r="36" ht="18.0" customHeight="1">
      <c r="A36" s="840">
        <v>2044.0</v>
      </c>
      <c r="B36" s="22">
        <v>52.0</v>
      </c>
      <c r="C36" s="22">
        <f t="shared" si="2"/>
        <v>1879715.993</v>
      </c>
      <c r="D36" s="22">
        <f t="shared" si="3"/>
        <v>2359194.218</v>
      </c>
      <c r="E36" s="22">
        <f t="shared" si="4"/>
        <v>2979653.544</v>
      </c>
      <c r="K36" s="1190"/>
      <c r="L36" s="1190"/>
      <c r="M36" s="1191"/>
    </row>
    <row r="37" ht="18.0" customHeight="1">
      <c r="A37" s="1192">
        <v>2045.0</v>
      </c>
      <c r="B37" s="1181">
        <v>53.0</v>
      </c>
      <c r="C37" s="1193">
        <f t="shared" si="2"/>
        <v>2040498.952</v>
      </c>
      <c r="D37" s="1193">
        <f t="shared" si="3"/>
        <v>2595929.755</v>
      </c>
      <c r="E37" s="1193">
        <f t="shared" si="4"/>
        <v>3325618.899</v>
      </c>
      <c r="F37" s="1193"/>
      <c r="G37" s="1193"/>
      <c r="H37" s="1193"/>
      <c r="I37" s="1193"/>
      <c r="J37" s="1193"/>
      <c r="K37" s="1193"/>
      <c r="L37" s="1193"/>
      <c r="M37" s="739"/>
      <c r="N37" s="739"/>
    </row>
    <row r="38" ht="18.0" customHeight="1">
      <c r="A38" s="1194">
        <v>2046.0</v>
      </c>
      <c r="B38" s="1195">
        <v>54.0</v>
      </c>
      <c r="C38" s="1194">
        <f t="shared" si="2"/>
        <v>2210928.889</v>
      </c>
      <c r="D38" s="1194">
        <f t="shared" si="3"/>
        <v>2851604.136</v>
      </c>
      <c r="E38" s="1194">
        <f t="shared" si="4"/>
        <v>3706180.789</v>
      </c>
      <c r="F38" s="1194"/>
      <c r="G38" s="1194"/>
      <c r="H38" s="1194"/>
      <c r="I38" s="1194"/>
      <c r="J38" s="1194"/>
      <c r="K38" s="1194"/>
      <c r="L38" s="1194"/>
      <c r="M38" s="742"/>
      <c r="N38" s="742"/>
      <c r="O38" s="742"/>
    </row>
    <row r="39" ht="18.0" customHeight="1">
      <c r="A39" s="1196">
        <v>2047.0</v>
      </c>
      <c r="B39" s="1197">
        <v>55.0</v>
      </c>
      <c r="C39" s="1197">
        <f t="shared" si="2"/>
        <v>2391584.623</v>
      </c>
      <c r="D39" s="1197">
        <f t="shared" si="3"/>
        <v>3127732.467</v>
      </c>
      <c r="E39" s="1197">
        <f t="shared" si="4"/>
        <v>4124798.868</v>
      </c>
      <c r="K39" s="1193"/>
      <c r="L39" s="1193"/>
    </row>
    <row r="40" ht="18.0" customHeight="1">
      <c r="A40" s="1193"/>
      <c r="B40" s="1198" t="s">
        <v>1056</v>
      </c>
      <c r="C40" s="1154"/>
      <c r="D40" s="1199">
        <v>34.0</v>
      </c>
      <c r="E40" s="1154"/>
      <c r="F40" s="1154"/>
      <c r="G40" s="1154"/>
      <c r="H40" s="1193"/>
      <c r="I40" s="1193"/>
      <c r="J40" s="1193"/>
      <c r="K40" s="1193"/>
      <c r="L40" s="1193"/>
    </row>
    <row r="41" ht="18.0" customHeight="1">
      <c r="A41" s="1193"/>
      <c r="B41" s="1200" t="s">
        <v>2994</v>
      </c>
      <c r="C41" s="1001"/>
      <c r="D41" s="1201">
        <f>'📈 PORTEFEUILLE'!L67</f>
        <v>1.26</v>
      </c>
      <c r="E41" s="834"/>
      <c r="F41" s="834"/>
      <c r="G41" s="834"/>
      <c r="H41" s="1181"/>
      <c r="I41" s="1193"/>
      <c r="J41" s="1193"/>
      <c r="K41" s="1193"/>
      <c r="L41" s="1193"/>
    </row>
    <row r="42" ht="18.0" customHeight="1">
      <c r="A42" s="1193"/>
      <c r="B42" s="1198" t="s">
        <v>2995</v>
      </c>
      <c r="C42" s="987"/>
      <c r="D42" s="1202">
        <v>42000.0</v>
      </c>
      <c r="E42" s="1199" t="s">
        <v>2996</v>
      </c>
      <c r="F42" s="1154"/>
      <c r="G42" s="1154"/>
      <c r="H42" s="1181"/>
      <c r="I42" s="1193"/>
      <c r="J42" s="1193"/>
      <c r="K42" s="1193"/>
      <c r="L42" s="1193"/>
    </row>
    <row r="43" ht="18.0" customHeight="1">
      <c r="A43" s="1193"/>
      <c r="B43" s="1200" t="s">
        <v>2997</v>
      </c>
      <c r="C43" s="980"/>
      <c r="D43" s="1201">
        <v>60000.0</v>
      </c>
      <c r="E43" s="834"/>
      <c r="F43" s="834"/>
      <c r="G43" s="834"/>
      <c r="H43" s="1181"/>
      <c r="I43" s="1193"/>
      <c r="J43" s="1193"/>
      <c r="K43" s="1193"/>
      <c r="L43" s="1193"/>
    </row>
    <row r="44" ht="18.0" customHeight="1">
      <c r="A44" s="1193"/>
      <c r="B44" s="1198" t="s">
        <v>2998</v>
      </c>
      <c r="C44" s="838"/>
      <c r="D44" s="1202">
        <v>60000.0</v>
      </c>
      <c r="E44" s="1154"/>
      <c r="F44" s="1154"/>
      <c r="G44" s="1154"/>
      <c r="H44" s="1181"/>
      <c r="I44" s="1193"/>
      <c r="J44" s="1193"/>
      <c r="K44" s="1193"/>
      <c r="L44" s="1193"/>
    </row>
    <row r="45" ht="18.0" customHeight="1">
      <c r="A45" s="1193"/>
      <c r="B45" s="1200" t="s">
        <v>2999</v>
      </c>
      <c r="C45" s="835"/>
      <c r="D45" s="1203">
        <v>0.06</v>
      </c>
      <c r="E45" s="834"/>
      <c r="F45" s="834"/>
      <c r="G45" s="834"/>
      <c r="H45" s="1181"/>
      <c r="I45" s="1193"/>
      <c r="J45" s="1193"/>
      <c r="K45" s="1193"/>
      <c r="L45" s="1193"/>
    </row>
    <row r="46" ht="18.0" customHeight="1">
      <c r="A46" s="1193"/>
      <c r="B46" s="1198" t="s">
        <v>3000</v>
      </c>
      <c r="C46" s="838"/>
      <c r="D46" s="1204">
        <v>0.08</v>
      </c>
      <c r="E46" s="1154"/>
      <c r="F46" s="1154"/>
      <c r="G46" s="1154"/>
      <c r="H46" s="1193"/>
      <c r="I46" s="1193"/>
      <c r="J46" s="1193"/>
      <c r="K46" s="1193"/>
      <c r="L46" s="1193"/>
    </row>
    <row r="47" ht="18.0" customHeight="1">
      <c r="A47" s="1193"/>
      <c r="B47" s="1200" t="s">
        <v>3001</v>
      </c>
      <c r="C47" s="835"/>
      <c r="D47" s="1203">
        <v>0.1</v>
      </c>
      <c r="E47" s="834"/>
      <c r="F47" s="834"/>
      <c r="G47" s="834"/>
      <c r="H47" s="1193"/>
      <c r="I47" s="1193"/>
      <c r="J47" s="1193"/>
      <c r="K47" s="1193"/>
      <c r="L47" s="1193"/>
    </row>
    <row r="48" ht="18.0" customHeight="1">
      <c r="A48" s="1193"/>
      <c r="B48" s="1198" t="s">
        <v>3002</v>
      </c>
      <c r="C48" s="838"/>
      <c r="D48" s="1202">
        <v>2100000.0</v>
      </c>
      <c r="E48" s="1154"/>
      <c r="F48" s="1154"/>
      <c r="G48" s="1154"/>
      <c r="H48" s="1205"/>
      <c r="I48" s="1193"/>
      <c r="J48" s="1193"/>
      <c r="K48" s="1193"/>
      <c r="L48" s="1193"/>
    </row>
    <row r="49" ht="18.0" customHeight="1">
      <c r="A49" s="1193"/>
      <c r="B49" s="1200" t="s">
        <v>3003</v>
      </c>
      <c r="C49" s="834"/>
      <c r="D49" s="1201">
        <v>65.0</v>
      </c>
      <c r="E49" s="834"/>
      <c r="F49" s="835"/>
      <c r="G49" s="835"/>
      <c r="H49" s="1206"/>
      <c r="I49" s="1193"/>
      <c r="J49" s="1193"/>
      <c r="K49" s="1193"/>
      <c r="L49" s="1193"/>
    </row>
    <row r="50" ht="18.0" customHeight="1">
      <c r="A50" s="1193"/>
      <c r="B50" s="1198" t="s">
        <v>3004</v>
      </c>
      <c r="C50" s="1154"/>
      <c r="D50" s="1202">
        <f>IFERROR(D13*0.04,0)</f>
        <v>81.88</v>
      </c>
      <c r="E50" s="1154"/>
      <c r="F50" s="838"/>
      <c r="G50" s="838"/>
      <c r="H50" s="1206"/>
      <c r="I50" s="1193"/>
      <c r="J50" s="1193"/>
      <c r="K50" s="1193"/>
      <c r="L50" s="1193"/>
    </row>
    <row r="51" ht="18.0" customHeight="1">
      <c r="A51" s="1193"/>
      <c r="B51" s="1181"/>
      <c r="C51" s="1205"/>
      <c r="D51" s="1207"/>
      <c r="E51" s="1207"/>
      <c r="F51" s="1207"/>
      <c r="G51" s="1207"/>
      <c r="H51" s="1208"/>
      <c r="I51" s="1193"/>
      <c r="J51" s="1193"/>
      <c r="K51" s="1193"/>
      <c r="L51" s="1193"/>
    </row>
    <row r="52" ht="18.0" customHeight="1">
      <c r="A52" s="1209" t="s">
        <v>3005</v>
      </c>
      <c r="K52" s="1193"/>
      <c r="L52" s="1193"/>
    </row>
    <row r="53" ht="18.0" customHeight="1">
      <c r="A53" s="1193"/>
      <c r="B53" s="1200" t="s">
        <v>2981</v>
      </c>
      <c r="C53" s="1210" t="s">
        <v>3006</v>
      </c>
      <c r="D53" s="1201" t="s">
        <v>3007</v>
      </c>
      <c r="E53" s="1211" t="s">
        <v>3008</v>
      </c>
      <c r="F53" s="1211" t="s">
        <v>3009</v>
      </c>
      <c r="G53" s="1212" t="s">
        <v>3010</v>
      </c>
      <c r="H53" s="1213" t="s">
        <v>3011</v>
      </c>
      <c r="I53" s="1214" t="s">
        <v>3012</v>
      </c>
      <c r="J53" s="1215" t="s">
        <v>3013</v>
      </c>
      <c r="K53" s="1193"/>
      <c r="L53" s="1193"/>
    </row>
    <row r="54" ht="18.0" customHeight="1">
      <c r="A54" s="1193"/>
      <c r="B54" s="1198" t="s">
        <v>2982</v>
      </c>
      <c r="C54" s="1199">
        <v>34.0</v>
      </c>
      <c r="D54" s="1202">
        <f t="shared" ref="D54:D63" si="5">$B$8*12</f>
        <v>48000</v>
      </c>
      <c r="E54" s="1202">
        <f>($B$7+$B$8*12)*(1+$B$9)</f>
        <v>141701.86</v>
      </c>
      <c r="F54" s="1202">
        <f>($B$7+$B$8*12)*(1+$B$10)</f>
        <v>144375.48</v>
      </c>
      <c r="G54" s="1202">
        <f>($B$7+$B$8*12)*(1+$B$11)</f>
        <v>147049.1</v>
      </c>
      <c r="H54" s="1216" t="str">
        <f t="shared" ref="H54:H70" si="6">IF(F19&gt;=$B$12,"✅ ATTEINT","—")</f>
        <v>✅ ATTEINT</v>
      </c>
      <c r="I54" s="1217" t="s">
        <v>3014</v>
      </c>
      <c r="J54" s="1193"/>
      <c r="K54" s="1193"/>
      <c r="L54" s="1193"/>
    </row>
    <row r="55" ht="18.0" customHeight="1">
      <c r="A55" s="1193"/>
      <c r="B55" s="1200" t="s">
        <v>2983</v>
      </c>
      <c r="C55" s="1201">
        <v>35.0</v>
      </c>
      <c r="D55" s="1201">
        <f t="shared" si="5"/>
        <v>48000</v>
      </c>
      <c r="E55" s="1201">
        <f t="shared" ref="E55:E63" si="7">(E19+$B$8*12)*(1+$B$9)</f>
        <v>267622.4506</v>
      </c>
      <c r="F55" s="1201">
        <f t="shared" ref="F55:F63" si="8">(F19+$B$8*12)*(1+$B$10)</f>
        <v>2319840</v>
      </c>
      <c r="G55" s="1201">
        <f t="shared" ref="G55:G63" si="9">(G19+$B$8*12)*(1+$B$11)</f>
        <v>52800</v>
      </c>
      <c r="H55" s="1201" t="str">
        <f t="shared" si="6"/>
        <v>✅ ATTEINT</v>
      </c>
      <c r="I55" s="1201" t="s">
        <v>3014</v>
      </c>
      <c r="J55" s="835"/>
      <c r="K55" s="835"/>
      <c r="L55" s="1193"/>
    </row>
    <row r="56" ht="18.0" customHeight="1">
      <c r="A56" s="1193"/>
      <c r="B56" s="1198" t="s">
        <v>2984</v>
      </c>
      <c r="C56" s="1202">
        <v>36.0</v>
      </c>
      <c r="D56" s="1202">
        <f t="shared" si="5"/>
        <v>48000</v>
      </c>
      <c r="E56" s="1202">
        <f t="shared" si="7"/>
        <v>340176.6957</v>
      </c>
      <c r="F56" s="1202">
        <f t="shared" si="8"/>
        <v>2319840</v>
      </c>
      <c r="G56" s="1202">
        <f t="shared" si="9"/>
        <v>52800</v>
      </c>
      <c r="H56" s="1202" t="str">
        <f t="shared" si="6"/>
        <v>✅ ATTEINT</v>
      </c>
      <c r="I56" s="1202" t="s">
        <v>3014</v>
      </c>
      <c r="J56" s="838"/>
      <c r="K56" s="838"/>
      <c r="L56" s="1193"/>
    </row>
    <row r="57" ht="18.0" customHeight="1">
      <c r="A57" s="1193"/>
      <c r="B57" s="1200" t="s">
        <v>2985</v>
      </c>
      <c r="C57" s="1201">
        <v>37.0</v>
      </c>
      <c r="D57" s="1201">
        <f t="shared" si="5"/>
        <v>48000</v>
      </c>
      <c r="E57" s="1201">
        <f t="shared" si="7"/>
        <v>419986.3652</v>
      </c>
      <c r="F57" s="1201">
        <f t="shared" si="8"/>
        <v>2319840</v>
      </c>
      <c r="G57" s="1201">
        <f t="shared" si="9"/>
        <v>52800</v>
      </c>
      <c r="H57" s="1201" t="str">
        <f t="shared" si="6"/>
        <v>✅ ATTEINT</v>
      </c>
      <c r="I57" s="1201" t="s">
        <v>3015</v>
      </c>
      <c r="J57" s="835"/>
      <c r="K57" s="835"/>
      <c r="L57" s="1193"/>
    </row>
    <row r="58" ht="18.0" customHeight="1">
      <c r="A58" s="1193"/>
      <c r="B58" s="1198" t="s">
        <v>2827</v>
      </c>
      <c r="C58" s="1202">
        <v>38.0</v>
      </c>
      <c r="D58" s="1202">
        <f t="shared" si="5"/>
        <v>48000</v>
      </c>
      <c r="E58" s="1202">
        <f t="shared" si="7"/>
        <v>507777.0017</v>
      </c>
      <c r="F58" s="1202">
        <f t="shared" si="8"/>
        <v>2319840</v>
      </c>
      <c r="G58" s="1202">
        <f t="shared" si="9"/>
        <v>52800</v>
      </c>
      <c r="H58" s="1202" t="str">
        <f t="shared" si="6"/>
        <v>✅ ATTEINT</v>
      </c>
      <c r="I58" s="1202" t="s">
        <v>3015</v>
      </c>
      <c r="J58" s="838"/>
      <c r="K58" s="838"/>
      <c r="L58" s="1193"/>
    </row>
    <row r="59" ht="18.0" customHeight="1">
      <c r="A59" s="1193"/>
      <c r="B59" s="1200" t="s">
        <v>2986</v>
      </c>
      <c r="C59" s="1201">
        <v>39.0</v>
      </c>
      <c r="D59" s="1201">
        <f t="shared" si="5"/>
        <v>48000</v>
      </c>
      <c r="E59" s="1201">
        <f t="shared" si="7"/>
        <v>604346.7019</v>
      </c>
      <c r="F59" s="1201">
        <f t="shared" si="8"/>
        <v>2319840</v>
      </c>
      <c r="G59" s="1201">
        <f t="shared" si="9"/>
        <v>52800</v>
      </c>
      <c r="H59" s="1201" t="str">
        <f t="shared" si="6"/>
        <v>✅ ATTEINT</v>
      </c>
      <c r="I59" s="1201" t="s">
        <v>3015</v>
      </c>
      <c r="J59" s="835"/>
      <c r="K59" s="835"/>
      <c r="L59" s="1193"/>
    </row>
    <row r="60" ht="18.0" customHeight="1">
      <c r="A60" s="1193"/>
      <c r="B60" s="1198" t="s">
        <v>2987</v>
      </c>
      <c r="C60" s="1202">
        <v>40.0</v>
      </c>
      <c r="D60" s="1202">
        <f t="shared" si="5"/>
        <v>48000</v>
      </c>
      <c r="E60" s="1202">
        <f t="shared" si="7"/>
        <v>710573.3721</v>
      </c>
      <c r="F60" s="1202">
        <f t="shared" si="8"/>
        <v>2319840</v>
      </c>
      <c r="G60" s="1202">
        <f t="shared" si="9"/>
        <v>52800</v>
      </c>
      <c r="H60" s="1202" t="str">
        <f t="shared" si="6"/>
        <v>✅ ATTEINT</v>
      </c>
      <c r="I60" s="1202" t="s">
        <v>3015</v>
      </c>
      <c r="J60" s="838"/>
      <c r="K60" s="838"/>
      <c r="L60" s="1193"/>
    </row>
    <row r="61" ht="18.0" customHeight="1">
      <c r="A61" s="1193"/>
      <c r="B61" s="1200" t="s">
        <v>2988</v>
      </c>
      <c r="C61" s="1201">
        <v>41.0</v>
      </c>
      <c r="D61" s="1201">
        <f t="shared" si="5"/>
        <v>48000</v>
      </c>
      <c r="E61" s="1201">
        <f t="shared" si="7"/>
        <v>827422.7093</v>
      </c>
      <c r="F61" s="1201">
        <f t="shared" si="8"/>
        <v>2319840</v>
      </c>
      <c r="G61" s="1201">
        <f t="shared" si="9"/>
        <v>52800</v>
      </c>
      <c r="H61" s="1201" t="str">
        <f t="shared" si="6"/>
        <v>✅ ATTEINT</v>
      </c>
      <c r="I61" s="1201" t="s">
        <v>3015</v>
      </c>
      <c r="J61" s="835"/>
      <c r="K61" s="835"/>
      <c r="L61" s="1193"/>
    </row>
    <row r="62" ht="18.0" customHeight="1">
      <c r="A62" s="1193"/>
      <c r="B62" s="1198" t="s">
        <v>2989</v>
      </c>
      <c r="C62" s="1202">
        <v>42.0</v>
      </c>
      <c r="D62" s="1202">
        <f t="shared" si="5"/>
        <v>48000</v>
      </c>
      <c r="E62" s="1202">
        <f t="shared" si="7"/>
        <v>955956.9803</v>
      </c>
      <c r="F62" s="1202">
        <f t="shared" si="8"/>
        <v>2319840</v>
      </c>
      <c r="G62" s="1202">
        <f t="shared" si="9"/>
        <v>52800</v>
      </c>
      <c r="H62" s="1202" t="str">
        <f t="shared" si="6"/>
        <v>✅ ATTEINT</v>
      </c>
      <c r="I62" s="1202" t="s">
        <v>3015</v>
      </c>
      <c r="J62" s="838"/>
      <c r="K62" s="838"/>
      <c r="L62" s="1193"/>
    </row>
    <row r="63" ht="18.0" customHeight="1">
      <c r="A63" s="1193"/>
      <c r="B63" s="1200" t="s">
        <v>2990</v>
      </c>
      <c r="C63" s="1201">
        <v>43.0</v>
      </c>
      <c r="D63" s="1201">
        <f t="shared" si="5"/>
        <v>48000</v>
      </c>
      <c r="E63" s="1201">
        <f t="shared" si="7"/>
        <v>1097344.678</v>
      </c>
      <c r="F63" s="1201">
        <f t="shared" si="8"/>
        <v>2319840</v>
      </c>
      <c r="G63" s="1201">
        <f t="shared" si="9"/>
        <v>52800</v>
      </c>
      <c r="H63" s="1201" t="str">
        <f t="shared" si="6"/>
        <v>✅ ATTEINT</v>
      </c>
      <c r="I63" s="1201" t="s">
        <v>3015</v>
      </c>
      <c r="J63" s="835"/>
      <c r="K63" s="835"/>
      <c r="L63" s="1193"/>
    </row>
    <row r="64" ht="18.0" customHeight="1">
      <c r="A64" s="1193"/>
      <c r="B64" s="1198" t="s">
        <v>2991</v>
      </c>
      <c r="C64" s="1202">
        <v>44.0</v>
      </c>
      <c r="D64" s="1202">
        <f t="shared" ref="D64:D93" si="10">$B$7</f>
        <v>85681</v>
      </c>
      <c r="E64" s="1202">
        <f t="shared" ref="E64:E70" si="11">(E28+$B$7)*(1+$B$9)</f>
        <v>1292813.006</v>
      </c>
      <c r="F64" s="1202">
        <f t="shared" ref="F64:F70" si="12">(F28+$B$7)*(1+$B$10)</f>
        <v>2360535.48</v>
      </c>
      <c r="G64" s="1202">
        <f t="shared" ref="G64:G70" si="13">(G28+$B$7)*(1+$B$11)</f>
        <v>94249.1</v>
      </c>
      <c r="H64" s="1202" t="str">
        <f t="shared" si="6"/>
        <v>✅ ATTEINT</v>
      </c>
      <c r="I64" s="1202" t="s">
        <v>3016</v>
      </c>
      <c r="J64" s="838"/>
      <c r="K64" s="838"/>
      <c r="L64" s="1193"/>
    </row>
    <row r="65" ht="18.0" customHeight="1">
      <c r="A65" s="1193"/>
      <c r="B65" s="1200" t="s">
        <v>2992</v>
      </c>
      <c r="C65" s="1201">
        <v>45.0</v>
      </c>
      <c r="D65" s="1201">
        <f t="shared" si="10"/>
        <v>85681</v>
      </c>
      <c r="E65" s="1201">
        <f t="shared" si="11"/>
        <v>1463892.121</v>
      </c>
      <c r="F65" s="1201">
        <f t="shared" si="12"/>
        <v>2360535.48</v>
      </c>
      <c r="G65" s="1201">
        <f t="shared" si="13"/>
        <v>94249.1</v>
      </c>
      <c r="H65" s="1201" t="str">
        <f t="shared" si="6"/>
        <v>✅ ATTEINT</v>
      </c>
      <c r="I65" s="1201" t="s">
        <v>3016</v>
      </c>
      <c r="J65" s="835"/>
      <c r="K65" s="835"/>
      <c r="L65" s="1193"/>
    </row>
    <row r="66" ht="18.0" customHeight="1">
      <c r="A66" s="1193"/>
      <c r="B66" s="1198" t="s">
        <v>2993</v>
      </c>
      <c r="C66" s="1202">
        <v>46.0</v>
      </c>
      <c r="D66" s="1202">
        <f t="shared" si="10"/>
        <v>85681</v>
      </c>
      <c r="E66" s="1202">
        <f t="shared" si="11"/>
        <v>1652079.147</v>
      </c>
      <c r="F66" s="1202">
        <f t="shared" si="12"/>
        <v>2360535.48</v>
      </c>
      <c r="G66" s="1202">
        <f t="shared" si="13"/>
        <v>94249.1</v>
      </c>
      <c r="H66" s="1202" t="str">
        <f t="shared" si="6"/>
        <v>✅ ATTEINT</v>
      </c>
      <c r="I66" s="1202" t="s">
        <v>3016</v>
      </c>
      <c r="J66" s="838"/>
      <c r="K66" s="838"/>
      <c r="L66" s="1193"/>
    </row>
    <row r="67" ht="18.0" customHeight="1">
      <c r="A67" s="1193"/>
      <c r="B67" s="1200" t="s">
        <v>3017</v>
      </c>
      <c r="C67" s="1201">
        <v>47.0</v>
      </c>
      <c r="D67" s="1201">
        <f t="shared" si="10"/>
        <v>85681</v>
      </c>
      <c r="E67" s="1201">
        <f t="shared" si="11"/>
        <v>1859084.875</v>
      </c>
      <c r="F67" s="1201">
        <f t="shared" si="12"/>
        <v>2360535.48</v>
      </c>
      <c r="G67" s="1201">
        <f t="shared" si="13"/>
        <v>94249.1</v>
      </c>
      <c r="H67" s="1201" t="str">
        <f t="shared" si="6"/>
        <v>✅ ATTEINT</v>
      </c>
      <c r="I67" s="1201" t="s">
        <v>3016</v>
      </c>
      <c r="J67" s="835"/>
      <c r="K67" s="835"/>
      <c r="L67" s="1193"/>
    </row>
    <row r="68" ht="18.0" customHeight="1">
      <c r="A68" s="1193"/>
      <c r="B68" s="1198" t="s">
        <v>3018</v>
      </c>
      <c r="C68" s="1202">
        <v>48.0</v>
      </c>
      <c r="D68" s="1202">
        <f t="shared" si="10"/>
        <v>85681</v>
      </c>
      <c r="E68" s="1202">
        <f t="shared" si="11"/>
        <v>2086791.177</v>
      </c>
      <c r="F68" s="1202">
        <f t="shared" si="12"/>
        <v>2360535.48</v>
      </c>
      <c r="G68" s="1202">
        <f t="shared" si="13"/>
        <v>94249.1</v>
      </c>
      <c r="H68" s="1202" t="str">
        <f t="shared" si="6"/>
        <v>✅ ATTEINT</v>
      </c>
      <c r="I68" s="1202" t="s">
        <v>3016</v>
      </c>
      <c r="J68" s="838"/>
      <c r="K68" s="838"/>
      <c r="L68" s="1193"/>
    </row>
    <row r="69" ht="18.0" customHeight="1">
      <c r="A69" s="1193"/>
      <c r="B69" s="1200" t="s">
        <v>3019</v>
      </c>
      <c r="C69" s="1201">
        <v>49.0</v>
      </c>
      <c r="D69" s="1201">
        <f t="shared" si="10"/>
        <v>85681</v>
      </c>
      <c r="E69" s="1201">
        <f t="shared" si="11"/>
        <v>2337268.109</v>
      </c>
      <c r="F69" s="1201">
        <f t="shared" si="12"/>
        <v>2360535.48</v>
      </c>
      <c r="G69" s="1201">
        <f t="shared" si="13"/>
        <v>94249.1</v>
      </c>
      <c r="H69" s="1201" t="str">
        <f t="shared" si="6"/>
        <v>✅ ATTEINT</v>
      </c>
      <c r="I69" s="1201" t="s">
        <v>3016</v>
      </c>
      <c r="J69" s="835"/>
      <c r="K69" s="835"/>
      <c r="L69" s="1193"/>
    </row>
    <row r="70" ht="18.0" customHeight="1">
      <c r="A70" s="1193"/>
      <c r="B70" s="1198" t="s">
        <v>3020</v>
      </c>
      <c r="C70" s="1202">
        <v>50.0</v>
      </c>
      <c r="D70" s="1202">
        <f t="shared" si="10"/>
        <v>85681</v>
      </c>
      <c r="E70" s="1202">
        <f t="shared" si="11"/>
        <v>2612792.734</v>
      </c>
      <c r="F70" s="1202">
        <f t="shared" si="12"/>
        <v>2360535.48</v>
      </c>
      <c r="G70" s="1202">
        <f t="shared" si="13"/>
        <v>94249.1</v>
      </c>
      <c r="H70" s="1202" t="str">
        <f t="shared" si="6"/>
        <v>—</v>
      </c>
      <c r="I70" s="1202" t="s">
        <v>3016</v>
      </c>
      <c r="J70" s="838"/>
      <c r="K70" s="838"/>
      <c r="L70" s="1193"/>
    </row>
    <row r="71" ht="18.0" customHeight="1">
      <c r="A71" s="1193"/>
      <c r="B71" s="1200" t="s">
        <v>3021</v>
      </c>
      <c r="C71" s="1201">
        <v>51.0</v>
      </c>
      <c r="D71" s="1201">
        <f t="shared" si="10"/>
        <v>85681</v>
      </c>
      <c r="E71" s="1201">
        <f t="shared" ref="E71:E82" si="14">(E70+$D$42)*(1+$D$45)</f>
        <v>2814080.298</v>
      </c>
      <c r="F71" s="1201">
        <f t="shared" ref="F71:F82" si="15">(F70+$D$42)*(1+$D$46)</f>
        <v>2594738.318</v>
      </c>
      <c r="G71" s="1201">
        <f t="shared" ref="G71:G82" si="16">(G70+$D$42)*(1+$D$47)</f>
        <v>149874.01</v>
      </c>
      <c r="H71" s="1201" t="str">
        <f t="shared" ref="H71:H82" si="17">IF(F71&gt;=$D$48,"✅ ATTEINT","—")</f>
        <v>✅ ATTEINT</v>
      </c>
      <c r="I71" s="1201" t="s">
        <v>3016</v>
      </c>
      <c r="J71" s="835"/>
      <c r="K71" s="835"/>
      <c r="L71" s="1193"/>
    </row>
    <row r="72" ht="18.0" customHeight="1">
      <c r="A72" s="1193"/>
      <c r="B72" s="1198" t="s">
        <v>3022</v>
      </c>
      <c r="C72" s="1202">
        <v>52.0</v>
      </c>
      <c r="D72" s="1202">
        <f t="shared" si="10"/>
        <v>85681</v>
      </c>
      <c r="E72" s="1202">
        <f t="shared" si="14"/>
        <v>3027445.115</v>
      </c>
      <c r="F72" s="1202">
        <f t="shared" si="15"/>
        <v>2847677.384</v>
      </c>
      <c r="G72" s="1202">
        <f t="shared" si="16"/>
        <v>211061.411</v>
      </c>
      <c r="H72" s="1202" t="str">
        <f t="shared" si="17"/>
        <v>✅ ATTEINT</v>
      </c>
      <c r="I72" s="1202" t="s">
        <v>3016</v>
      </c>
      <c r="J72" s="838"/>
      <c r="K72" s="838"/>
      <c r="L72" s="1193"/>
    </row>
    <row r="73" ht="18.0" customHeight="1">
      <c r="A73" s="1193"/>
      <c r="B73" s="1200" t="s">
        <v>3023</v>
      </c>
      <c r="C73" s="1201">
        <v>53.0</v>
      </c>
      <c r="D73" s="1201">
        <f t="shared" si="10"/>
        <v>85681</v>
      </c>
      <c r="E73" s="1201">
        <f t="shared" si="14"/>
        <v>3253611.822</v>
      </c>
      <c r="F73" s="1201">
        <f t="shared" si="15"/>
        <v>3120851.575</v>
      </c>
      <c r="G73" s="1201">
        <f t="shared" si="16"/>
        <v>278367.5521</v>
      </c>
      <c r="H73" s="1201" t="str">
        <f t="shared" si="17"/>
        <v>✅ ATTEINT</v>
      </c>
      <c r="I73" s="1201" t="s">
        <v>3016</v>
      </c>
      <c r="J73" s="835"/>
      <c r="K73" s="835"/>
      <c r="L73" s="1193"/>
    </row>
    <row r="74" ht="18.0" customHeight="1">
      <c r="A74" s="1193"/>
      <c r="B74" s="1198" t="s">
        <v>3024</v>
      </c>
      <c r="C74" s="1202">
        <v>54.0</v>
      </c>
      <c r="D74" s="1202">
        <f t="shared" si="10"/>
        <v>85681</v>
      </c>
      <c r="E74" s="1202">
        <f t="shared" si="14"/>
        <v>3493348.532</v>
      </c>
      <c r="F74" s="1202">
        <f t="shared" si="15"/>
        <v>3415879.701</v>
      </c>
      <c r="G74" s="1202">
        <f t="shared" si="16"/>
        <v>352404.3073</v>
      </c>
      <c r="H74" s="1202" t="str">
        <f t="shared" si="17"/>
        <v>✅ ATTEINT</v>
      </c>
      <c r="I74" s="1202" t="s">
        <v>3016</v>
      </c>
      <c r="J74" s="838"/>
      <c r="K74" s="838"/>
      <c r="L74" s="1193"/>
    </row>
    <row r="75" ht="18.0" customHeight="1">
      <c r="A75" s="1193"/>
      <c r="B75" s="1200" t="s">
        <v>2977</v>
      </c>
      <c r="C75" s="1201">
        <v>55.0</v>
      </c>
      <c r="D75" s="1201">
        <f t="shared" si="10"/>
        <v>85681</v>
      </c>
      <c r="E75" s="1201">
        <f t="shared" si="14"/>
        <v>3747469.444</v>
      </c>
      <c r="F75" s="1201">
        <f t="shared" si="15"/>
        <v>3734510.077</v>
      </c>
      <c r="G75" s="1201">
        <f t="shared" si="16"/>
        <v>433844.738</v>
      </c>
      <c r="H75" s="1201" t="str">
        <f t="shared" si="17"/>
        <v>✅ ATTEINT</v>
      </c>
      <c r="I75" s="1201" t="s">
        <v>3016</v>
      </c>
      <c r="J75" s="835"/>
      <c r="K75" s="835"/>
      <c r="L75" s="1193"/>
    </row>
    <row r="76" ht="18.0" customHeight="1">
      <c r="A76" s="1193"/>
      <c r="B76" s="1198" t="s">
        <v>3025</v>
      </c>
      <c r="C76" s="1202">
        <v>56.0</v>
      </c>
      <c r="D76" s="1202">
        <f t="shared" si="10"/>
        <v>85681</v>
      </c>
      <c r="E76" s="1202">
        <f t="shared" si="14"/>
        <v>4016837.61</v>
      </c>
      <c r="F76" s="1202">
        <f t="shared" si="15"/>
        <v>4078630.883</v>
      </c>
      <c r="G76" s="1202">
        <f t="shared" si="16"/>
        <v>523429.2118</v>
      </c>
      <c r="H76" s="1202" t="str">
        <f t="shared" si="17"/>
        <v>✅ ATTEINT</v>
      </c>
      <c r="I76" s="1202" t="s">
        <v>3016</v>
      </c>
      <c r="J76" s="838"/>
      <c r="K76" s="838"/>
      <c r="L76" s="1193"/>
    </row>
    <row r="77" ht="18.0" customHeight="1">
      <c r="A77" s="1193"/>
      <c r="B77" s="1200" t="s">
        <v>3026</v>
      </c>
      <c r="C77" s="1201">
        <v>57.0</v>
      </c>
      <c r="D77" s="1201">
        <f t="shared" si="10"/>
        <v>85681</v>
      </c>
      <c r="E77" s="1201">
        <f t="shared" si="14"/>
        <v>4302367.867</v>
      </c>
      <c r="F77" s="1201">
        <f t="shared" si="15"/>
        <v>4450281.353</v>
      </c>
      <c r="G77" s="1201">
        <f t="shared" si="16"/>
        <v>621972.133</v>
      </c>
      <c r="H77" s="1201" t="str">
        <f t="shared" si="17"/>
        <v>✅ ATTEINT</v>
      </c>
      <c r="I77" s="1201" t="s">
        <v>3016</v>
      </c>
      <c r="J77" s="835"/>
      <c r="K77" s="835"/>
      <c r="L77" s="1193"/>
    </row>
    <row r="78" ht="18.0" customHeight="1">
      <c r="A78" s="1193"/>
      <c r="B78" s="1198" t="s">
        <v>3027</v>
      </c>
      <c r="C78" s="1202">
        <v>58.0</v>
      </c>
      <c r="D78" s="1202">
        <f t="shared" si="10"/>
        <v>85681</v>
      </c>
      <c r="E78" s="1202">
        <f t="shared" si="14"/>
        <v>4605029.939</v>
      </c>
      <c r="F78" s="1202">
        <f t="shared" si="15"/>
        <v>4851663.862</v>
      </c>
      <c r="G78" s="1202">
        <f t="shared" si="16"/>
        <v>730369.3463</v>
      </c>
      <c r="H78" s="1202" t="str">
        <f t="shared" si="17"/>
        <v>✅ ATTEINT</v>
      </c>
      <c r="I78" s="1202" t="s">
        <v>3016</v>
      </c>
      <c r="J78" s="838"/>
      <c r="K78" s="838"/>
      <c r="L78" s="1193"/>
    </row>
    <row r="79" ht="18.0" customHeight="1">
      <c r="A79" s="1193"/>
      <c r="B79" s="1200" t="s">
        <v>3028</v>
      </c>
      <c r="C79" s="1201">
        <v>59.0</v>
      </c>
      <c r="D79" s="1201">
        <f t="shared" si="10"/>
        <v>85681</v>
      </c>
      <c r="E79" s="1201">
        <f t="shared" si="14"/>
        <v>4925851.735</v>
      </c>
      <c r="F79" s="1201">
        <f t="shared" si="15"/>
        <v>5285156.971</v>
      </c>
      <c r="G79" s="1201">
        <f t="shared" si="16"/>
        <v>849606.281</v>
      </c>
      <c r="H79" s="1201" t="str">
        <f t="shared" si="17"/>
        <v>✅ ATTEINT</v>
      </c>
      <c r="I79" s="1201" t="s">
        <v>3016</v>
      </c>
      <c r="J79" s="835"/>
      <c r="K79" s="835"/>
      <c r="L79" s="1193"/>
    </row>
    <row r="80" ht="18.0" customHeight="1">
      <c r="A80" s="1193"/>
      <c r="B80" s="1198" t="s">
        <v>3029</v>
      </c>
      <c r="C80" s="1202">
        <v>60.0</v>
      </c>
      <c r="D80" s="1202">
        <f t="shared" si="10"/>
        <v>85681</v>
      </c>
      <c r="E80" s="1202">
        <f t="shared" si="14"/>
        <v>5265922.839</v>
      </c>
      <c r="F80" s="1202">
        <f t="shared" si="15"/>
        <v>5753329.528</v>
      </c>
      <c r="G80" s="1202">
        <f t="shared" si="16"/>
        <v>980766.9091</v>
      </c>
      <c r="H80" s="1202" t="str">
        <f t="shared" si="17"/>
        <v>✅ ATTEINT</v>
      </c>
      <c r="I80" s="1202" t="s">
        <v>3016</v>
      </c>
      <c r="J80" s="838"/>
      <c r="K80" s="838"/>
      <c r="L80" s="1193"/>
    </row>
    <row r="81" ht="18.0" customHeight="1">
      <c r="A81" s="1193"/>
      <c r="B81" s="1200" t="s">
        <v>3030</v>
      </c>
      <c r="C81" s="1201">
        <v>61.0</v>
      </c>
      <c r="D81" s="1201">
        <f t="shared" si="10"/>
        <v>85681</v>
      </c>
      <c r="E81" s="1201">
        <f t="shared" si="14"/>
        <v>5626398.21</v>
      </c>
      <c r="F81" s="1201">
        <f t="shared" si="15"/>
        <v>6258955.89</v>
      </c>
      <c r="G81" s="1201">
        <f t="shared" si="16"/>
        <v>1125043.6</v>
      </c>
      <c r="H81" s="1201" t="str">
        <f t="shared" si="17"/>
        <v>✅ ATTEINT</v>
      </c>
      <c r="I81" s="1201" t="s">
        <v>3016</v>
      </c>
      <c r="J81" s="835"/>
      <c r="K81" s="835"/>
      <c r="L81" s="1193"/>
    </row>
    <row r="82" ht="18.0" customHeight="1">
      <c r="A82" s="1193"/>
      <c r="B82" s="1198" t="s">
        <v>3031</v>
      </c>
      <c r="C82" s="1202">
        <v>62.0</v>
      </c>
      <c r="D82" s="1202">
        <f t="shared" si="10"/>
        <v>85681</v>
      </c>
      <c r="E82" s="1202">
        <f t="shared" si="14"/>
        <v>6008502.102</v>
      </c>
      <c r="F82" s="1202">
        <f t="shared" si="15"/>
        <v>6805032.362</v>
      </c>
      <c r="G82" s="1202">
        <f t="shared" si="16"/>
        <v>1283747.96</v>
      </c>
      <c r="H82" s="1202" t="str">
        <f t="shared" si="17"/>
        <v>✅ ATTEINT</v>
      </c>
      <c r="I82" s="1202" t="s">
        <v>3016</v>
      </c>
      <c r="J82" s="838"/>
      <c r="K82" s="838"/>
      <c r="L82" s="1193"/>
    </row>
    <row r="83" ht="18.0" customHeight="1">
      <c r="A83" s="1193"/>
      <c r="B83" s="1200" t="s">
        <v>3032</v>
      </c>
      <c r="C83" s="1201">
        <v>63.0</v>
      </c>
      <c r="D83" s="1201">
        <f t="shared" si="10"/>
        <v>85681</v>
      </c>
      <c r="E83" s="1201">
        <f t="shared" ref="E83:E88" si="18">(E47+$B$7)*(1+$B$9)</f>
        <v>90821.86</v>
      </c>
      <c r="F83" s="1201">
        <f t="shared" ref="F83:F88" si="19">(F47+$B$7)*(1+$B$10)</f>
        <v>92535.48</v>
      </c>
      <c r="G83" s="1201">
        <f t="shared" ref="G83:G88" si="20">(G47+$B$7)*(1+$B$11)</f>
        <v>94249.1</v>
      </c>
      <c r="H83" s="1201" t="str">
        <f t="shared" ref="H83:H93" si="21">IF(F48&gt;=$B$12,"✅ ATTEINT","—")</f>
        <v>—</v>
      </c>
      <c r="I83" s="1201" t="s">
        <v>3016</v>
      </c>
      <c r="J83" s="835"/>
      <c r="K83" s="835"/>
      <c r="L83" s="1193"/>
    </row>
    <row r="84" ht="18.0" customHeight="1">
      <c r="A84" s="1193"/>
      <c r="B84" s="1198" t="s">
        <v>3033</v>
      </c>
      <c r="C84" s="1202">
        <v>64.0</v>
      </c>
      <c r="D84" s="1202">
        <f t="shared" si="10"/>
        <v>85681</v>
      </c>
      <c r="E84" s="1202">
        <f t="shared" si="18"/>
        <v>90821.86</v>
      </c>
      <c r="F84" s="1202">
        <f t="shared" si="19"/>
        <v>92535.48</v>
      </c>
      <c r="G84" s="1202">
        <f t="shared" si="20"/>
        <v>94249.1</v>
      </c>
      <c r="H84" s="1202" t="str">
        <f t="shared" si="21"/>
        <v>—</v>
      </c>
      <c r="I84" s="1202" t="s">
        <v>3016</v>
      </c>
      <c r="J84" s="838"/>
      <c r="K84" s="838"/>
      <c r="L84" s="1193"/>
    </row>
    <row r="85" ht="18.0" customHeight="1">
      <c r="A85" s="1193"/>
      <c r="B85" s="1200" t="s">
        <v>3034</v>
      </c>
      <c r="C85" s="1201">
        <v>65.0</v>
      </c>
      <c r="D85" s="1201">
        <f t="shared" si="10"/>
        <v>85681</v>
      </c>
      <c r="E85" s="1201">
        <f t="shared" si="18"/>
        <v>90821.86</v>
      </c>
      <c r="F85" s="1201">
        <f t="shared" si="19"/>
        <v>92535.48</v>
      </c>
      <c r="G85" s="1201">
        <f t="shared" si="20"/>
        <v>94249.1</v>
      </c>
      <c r="H85" s="1201" t="str">
        <f t="shared" si="21"/>
        <v>—</v>
      </c>
      <c r="I85" s="1201" t="s">
        <v>3016</v>
      </c>
      <c r="J85" s="1201">
        <f>IFERROR(F50*0.04/12,0)</f>
        <v>0</v>
      </c>
      <c r="K85" s="835"/>
      <c r="L85" s="1193"/>
    </row>
    <row r="86" ht="18.0" customHeight="1">
      <c r="A86" s="1193"/>
      <c r="B86" s="1198" t="s">
        <v>3035</v>
      </c>
      <c r="C86" s="1202">
        <v>66.0</v>
      </c>
      <c r="D86" s="1202">
        <f t="shared" si="10"/>
        <v>85681</v>
      </c>
      <c r="E86" s="1202">
        <f t="shared" si="18"/>
        <v>90821.86</v>
      </c>
      <c r="F86" s="1202">
        <f t="shared" si="19"/>
        <v>92535.48</v>
      </c>
      <c r="G86" s="1202">
        <f t="shared" si="20"/>
        <v>94249.1</v>
      </c>
      <c r="H86" s="1202" t="str">
        <f t="shared" si="21"/>
        <v>—</v>
      </c>
      <c r="I86" s="1202" t="s">
        <v>3016</v>
      </c>
      <c r="J86" s="1202">
        <f t="shared" ref="J86:J93" si="22">IFERROR(F51*0.04,0)</f>
        <v>0</v>
      </c>
      <c r="K86" s="838"/>
      <c r="L86" s="1193"/>
    </row>
    <row r="87" ht="18.0" customHeight="1">
      <c r="A87" s="1193"/>
      <c r="B87" s="1200" t="s">
        <v>3036</v>
      </c>
      <c r="C87" s="1201">
        <v>67.0</v>
      </c>
      <c r="D87" s="1201">
        <f t="shared" si="10"/>
        <v>85681</v>
      </c>
      <c r="E87" s="1201">
        <f t="shared" si="18"/>
        <v>90821.86</v>
      </c>
      <c r="F87" s="1201">
        <f t="shared" si="19"/>
        <v>92535.48</v>
      </c>
      <c r="G87" s="1201">
        <f t="shared" si="20"/>
        <v>94249.1</v>
      </c>
      <c r="H87" s="1201" t="str">
        <f t="shared" si="21"/>
        <v>—</v>
      </c>
      <c r="I87" s="1201" t="s">
        <v>3016</v>
      </c>
      <c r="J87" s="1201">
        <f t="shared" si="22"/>
        <v>0</v>
      </c>
      <c r="K87" s="835"/>
      <c r="L87" s="1193"/>
    </row>
    <row r="88" ht="18.0" customHeight="1">
      <c r="A88" s="1193"/>
      <c r="B88" s="1198" t="s">
        <v>3037</v>
      </c>
      <c r="C88" s="1202">
        <v>68.0</v>
      </c>
      <c r="D88" s="1202">
        <f t="shared" si="10"/>
        <v>85681</v>
      </c>
      <c r="E88" s="1202">
        <f t="shared" si="18"/>
        <v>90821.86</v>
      </c>
      <c r="F88" s="1202">
        <f t="shared" si="19"/>
        <v>92535.48</v>
      </c>
      <c r="G88" s="1202">
        <f t="shared" si="20"/>
        <v>94249.1</v>
      </c>
      <c r="H88" s="1202" t="str">
        <f t="shared" si="21"/>
        <v>✅ ATTEINT</v>
      </c>
      <c r="I88" s="1202" t="s">
        <v>3016</v>
      </c>
      <c r="J88" s="1202">
        <f t="shared" si="22"/>
        <v>0</v>
      </c>
      <c r="K88" s="838"/>
      <c r="L88" s="1193"/>
    </row>
    <row r="89" ht="18.0" customHeight="1">
      <c r="A89" s="1193"/>
      <c r="B89" s="1200" t="s">
        <v>3038</v>
      </c>
      <c r="C89" s="1201">
        <v>69.0</v>
      </c>
      <c r="D89" s="1201">
        <f t="shared" si="10"/>
        <v>85681</v>
      </c>
      <c r="E89" s="1201" t="str">
        <f t="shared" ref="E89:G89" si="23">IF(E88&lt;$B$12,"—","✅ ATTEINT")</f>
        <v>—</v>
      </c>
      <c r="F89" s="1201" t="str">
        <f t="shared" si="23"/>
        <v>—</v>
      </c>
      <c r="G89" s="1201" t="str">
        <f t="shared" si="23"/>
        <v>—</v>
      </c>
      <c r="H89" s="1201" t="str">
        <f t="shared" si="21"/>
        <v>—</v>
      </c>
      <c r="I89" s="1201" t="s">
        <v>3016</v>
      </c>
      <c r="J89" s="1201">
        <f t="shared" si="22"/>
        <v>5775.0192</v>
      </c>
      <c r="K89" s="835"/>
      <c r="L89" s="1193"/>
    </row>
    <row r="90" ht="18.0" customHeight="1">
      <c r="A90" s="1193"/>
      <c r="B90" s="1198" t="s">
        <v>3039</v>
      </c>
      <c r="C90" s="1202">
        <v>70.0</v>
      </c>
      <c r="D90" s="1202">
        <f t="shared" si="10"/>
        <v>85681</v>
      </c>
      <c r="E90" s="1202">
        <f t="shared" ref="E90:E93" si="24">(E54+$B$7)*(1+$B$9)</f>
        <v>241025.8316</v>
      </c>
      <c r="F90" s="1202">
        <f t="shared" ref="F90:F93" si="25">(F54+$B$7)*(1+$B$10)</f>
        <v>248460.9984</v>
      </c>
      <c r="G90" s="1202">
        <f t="shared" ref="G90:G93" si="26">(G54+$B$7)*(1+$B$11)</f>
        <v>256003.11</v>
      </c>
      <c r="H90" s="1202" t="str">
        <f t="shared" si="21"/>
        <v>✅ ATTEINT</v>
      </c>
      <c r="I90" s="1202" t="s">
        <v>3016</v>
      </c>
      <c r="J90" s="1202">
        <f t="shared" si="22"/>
        <v>92793.6</v>
      </c>
      <c r="K90" s="838"/>
      <c r="L90" s="1193"/>
    </row>
    <row r="91" ht="18.0" customHeight="1">
      <c r="A91" s="1193"/>
      <c r="B91" s="1200" t="s">
        <v>3040</v>
      </c>
      <c r="C91" s="1201">
        <v>71.0</v>
      </c>
      <c r="D91" s="1201">
        <f t="shared" si="10"/>
        <v>85681</v>
      </c>
      <c r="E91" s="1201">
        <f t="shared" si="24"/>
        <v>374501.6576</v>
      </c>
      <c r="F91" s="1201">
        <f t="shared" si="25"/>
        <v>2597962.68</v>
      </c>
      <c r="G91" s="1201">
        <f t="shared" si="26"/>
        <v>152329.1</v>
      </c>
      <c r="H91" s="1201" t="str">
        <f t="shared" si="21"/>
        <v>✅ ATTEINT</v>
      </c>
      <c r="I91" s="1201" t="s">
        <v>3016</v>
      </c>
      <c r="J91" s="1201">
        <f t="shared" si="22"/>
        <v>92793.6</v>
      </c>
      <c r="K91" s="835"/>
      <c r="L91" s="1193"/>
    </row>
    <row r="92" ht="18.0" customHeight="1">
      <c r="A92" s="1193"/>
      <c r="B92" s="1198" t="s">
        <v>3041</v>
      </c>
      <c r="C92" s="1202">
        <v>72.0</v>
      </c>
      <c r="D92" s="1202">
        <f t="shared" si="10"/>
        <v>85681</v>
      </c>
      <c r="E92" s="1202">
        <f t="shared" si="24"/>
        <v>451409.1574</v>
      </c>
      <c r="F92" s="1202">
        <f t="shared" si="25"/>
        <v>2597962.68</v>
      </c>
      <c r="G92" s="1202">
        <f t="shared" si="26"/>
        <v>152329.1</v>
      </c>
      <c r="H92" s="1202" t="str">
        <f t="shared" si="21"/>
        <v>✅ ATTEINT</v>
      </c>
      <c r="I92" s="1202" t="s">
        <v>3016</v>
      </c>
      <c r="J92" s="1202">
        <f t="shared" si="22"/>
        <v>92793.6</v>
      </c>
      <c r="K92" s="838"/>
      <c r="L92" s="1193"/>
    </row>
    <row r="93" ht="18.0" customHeight="1">
      <c r="A93" s="1193"/>
      <c r="B93" s="1200" t="s">
        <v>3042</v>
      </c>
      <c r="C93" s="1201">
        <v>73.0</v>
      </c>
      <c r="D93" s="1201">
        <f t="shared" si="10"/>
        <v>85681</v>
      </c>
      <c r="E93" s="1201">
        <f t="shared" si="24"/>
        <v>536007.4071</v>
      </c>
      <c r="F93" s="1201">
        <f t="shared" si="25"/>
        <v>2597962.68</v>
      </c>
      <c r="G93" s="1201">
        <f t="shared" si="26"/>
        <v>152329.1</v>
      </c>
      <c r="H93" s="1201" t="str">
        <f t="shared" si="21"/>
        <v>✅ ATTEINT</v>
      </c>
      <c r="I93" s="1201" t="s">
        <v>3016</v>
      </c>
      <c r="J93" s="1201">
        <f t="shared" si="22"/>
        <v>92793.6</v>
      </c>
      <c r="K93" s="835"/>
      <c r="L93" s="1193"/>
    </row>
    <row r="94" ht="18.0" customHeight="1">
      <c r="A94" s="1193"/>
      <c r="B94" s="1181"/>
      <c r="C94" s="1205"/>
      <c r="D94" s="1181"/>
      <c r="E94" s="1181"/>
      <c r="F94" s="1181"/>
      <c r="G94" s="1181"/>
      <c r="H94" s="1181"/>
      <c r="I94" s="1193"/>
      <c r="J94" s="1193"/>
      <c r="K94" s="1193"/>
      <c r="L94" s="1193"/>
    </row>
    <row r="95" ht="18.0" customHeight="1">
      <c r="A95" s="1218" t="s">
        <v>3043</v>
      </c>
      <c r="J95" s="741"/>
      <c r="K95" s="835"/>
      <c r="L95" s="1193"/>
    </row>
    <row r="96" ht="18.0" customHeight="1">
      <c r="A96" s="1194"/>
      <c r="B96" s="1219" t="s">
        <v>3044</v>
      </c>
      <c r="C96" s="1220"/>
      <c r="D96" s="1202" t="str">
        <f>E50</f>
        <v/>
      </c>
      <c r="E96" s="1220"/>
      <c r="F96" s="1220"/>
      <c r="G96" s="1220"/>
      <c r="H96" s="1220"/>
      <c r="I96" s="838"/>
      <c r="J96" s="838"/>
      <c r="K96" s="838"/>
      <c r="L96" s="1193"/>
    </row>
    <row r="97" ht="18.0" customHeight="1">
      <c r="A97" s="1194"/>
      <c r="B97" s="1221" t="s">
        <v>3045</v>
      </c>
      <c r="C97" s="1222">
        <f t="array" ref="C97">IFERROR(INDEX(B19:B58,MATCH(TRUE(),E19:E58&gt;=$B$12,0)),"Après 2065")</f>
        <v>49</v>
      </c>
      <c r="D97" s="1223" t="s">
        <v>3046</v>
      </c>
      <c r="E97" s="1224">
        <f t="array" ref="E97">IFERROR(INDEX(E19:E58,MATCH(TRUE(),E19:E58&gt;=$B$12,0)),0)</f>
        <v>2119288.914</v>
      </c>
      <c r="F97" s="1225" t="s">
        <v>593</v>
      </c>
      <c r="G97" s="1226"/>
      <c r="H97" s="1226"/>
      <c r="I97" s="835"/>
      <c r="J97" s="835"/>
      <c r="K97" s="835"/>
      <c r="L97" s="1193"/>
    </row>
    <row r="98" ht="18.0" customHeight="1">
      <c r="A98" s="1194"/>
      <c r="B98" s="1227" t="s">
        <v>3047</v>
      </c>
      <c r="C98" s="1228">
        <f t="array" ref="C98">IFERROR(INDEX(B19:B58,MATCH(TRUE(),F19:F58&gt;=$B$12,0)),"Après 2065")</f>
        <v>35</v>
      </c>
      <c r="D98" s="1229" t="s">
        <v>3046</v>
      </c>
      <c r="E98" s="1230">
        <f t="array" ref="E98">IFERROR(INDEX(F19:F58,MATCH(TRUE(),F19:F58&gt;=$B$12,0)),0)</f>
        <v>2100000</v>
      </c>
      <c r="F98" s="1231" t="s">
        <v>593</v>
      </c>
      <c r="G98" s="844"/>
      <c r="H98" s="844"/>
      <c r="I98" s="838"/>
      <c r="J98" s="838"/>
      <c r="K98" s="838"/>
      <c r="L98" s="1193"/>
    </row>
    <row r="99" ht="18.0" customHeight="1">
      <c r="A99" s="1194"/>
      <c r="B99" s="1232" t="s">
        <v>3048</v>
      </c>
      <c r="C99" s="1233" t="str">
        <f t="array" ref="C99">IFERROR(INDEX(B19:B58,MATCH(TRUE(),G19:G58&gt;=$B$12,0)),"Après 2065")</f>
        <v>ANNÉE</v>
      </c>
      <c r="D99" s="1223" t="s">
        <v>3046</v>
      </c>
      <c r="E99" s="1234" t="str">
        <f t="array" ref="E99">IFERROR(INDEX(G19:G58,MATCH(TRUE(),G19:G58&gt;=$B$12,0)),0)</f>
        <v>VALEUR
10% OPTIMISTE</v>
      </c>
      <c r="F99" s="1235" t="s">
        <v>593</v>
      </c>
      <c r="G99" s="1236"/>
      <c r="H99" s="1236"/>
      <c r="I99" s="835"/>
      <c r="J99" s="835"/>
      <c r="K99" s="835"/>
      <c r="L99" s="1193"/>
    </row>
    <row r="100" ht="14.25" customHeight="1">
      <c r="A100" s="1193"/>
      <c r="B100" s="1237" t="s">
        <v>3049</v>
      </c>
      <c r="C100" s="1238"/>
      <c r="D100" s="1238" t="str">
        <f>IF(F50&gt;=$B$12,"✅ OUI - OBJECTIF DÉPASSÉ!","❌ DÉFICIT: $"&amp;TEXT($B$12-F50,"#,##0"))</f>
        <v>❌ DÉFICIT: $2,100,000</v>
      </c>
      <c r="E100" s="1238"/>
      <c r="F100" s="1238"/>
      <c r="G100" s="1238"/>
      <c r="H100" s="1238"/>
      <c r="I100" s="1238"/>
      <c r="J100" s="1238"/>
      <c r="K100" s="1238"/>
      <c r="L100" s="1239"/>
      <c r="M100" s="116"/>
      <c r="N100" s="116"/>
    </row>
    <row r="101" ht="15.0" customHeight="1">
      <c r="A101" s="1194"/>
      <c r="B101" s="1240" t="s">
        <v>3050</v>
      </c>
      <c r="C101" s="1241">
        <f>D13*0.04</f>
        <v>81.88</v>
      </c>
      <c r="D101" s="1242" t="s">
        <v>3051</v>
      </c>
      <c r="E101" s="1243">
        <f>D13*0.04/12</f>
        <v>6.823333333</v>
      </c>
      <c r="F101" s="1242" t="s">
        <v>3052</v>
      </c>
      <c r="G101" s="1244">
        <f>D13*0.04/12+1200</f>
        <v>1206.823333</v>
      </c>
      <c r="H101" s="1245" t="s">
        <v>3053</v>
      </c>
      <c r="I101" s="1193"/>
      <c r="J101" s="1193"/>
      <c r="K101" s="1193"/>
      <c r="L101" s="1193"/>
    </row>
    <row r="102" ht="14.25" customHeight="1">
      <c r="A102" s="1193"/>
      <c r="B102" s="1246" t="s">
        <v>3054</v>
      </c>
      <c r="C102" s="1193"/>
      <c r="D102" s="1193"/>
      <c r="E102" s="1193"/>
      <c r="F102" s="1193"/>
      <c r="G102" s="1193"/>
      <c r="H102" s="1193"/>
      <c r="I102" s="1193"/>
      <c r="J102" s="1193"/>
      <c r="K102" s="1193"/>
      <c r="L102" s="1193"/>
    </row>
    <row r="103" ht="14.25" customHeight="1">
      <c r="A103" s="1247" t="s">
        <v>3055</v>
      </c>
      <c r="B103" s="1193"/>
      <c r="C103" s="1193"/>
      <c r="D103" s="1193"/>
      <c r="E103" s="1193"/>
      <c r="F103" s="1193"/>
      <c r="G103" s="1193"/>
      <c r="H103" s="1193"/>
      <c r="I103" s="1193"/>
      <c r="J103" s="1193"/>
      <c r="K103" s="1193"/>
      <c r="L103" s="1193"/>
    </row>
    <row r="104" ht="18.75" customHeight="1">
      <c r="A104" s="1193"/>
      <c r="B104" s="1248" t="s">
        <v>3056</v>
      </c>
      <c r="C104" s="1249" t="s">
        <v>3057</v>
      </c>
      <c r="D104" s="1249" t="s">
        <v>3058</v>
      </c>
      <c r="E104" s="1249" t="s">
        <v>3059</v>
      </c>
      <c r="F104" s="1250"/>
      <c r="G104" s="1250"/>
      <c r="H104" s="1250"/>
      <c r="I104" s="1250"/>
      <c r="J104" s="1250"/>
      <c r="K104" s="1250"/>
      <c r="L104" s="1250"/>
    </row>
    <row r="105" ht="21.75" customHeight="1">
      <c r="A105" s="1193"/>
      <c r="B105" s="284" t="s">
        <v>3060</v>
      </c>
      <c r="C105" s="1251" t="s">
        <v>3061</v>
      </c>
      <c r="D105" s="1252">
        <f>'📈 PORTEFEUILLE'!L70</f>
        <v>85386.21618</v>
      </c>
      <c r="E105" s="1252">
        <f>'📈 PORTEFEUILLE'!L70</f>
        <v>85386.21618</v>
      </c>
      <c r="F105" s="1253" t="s">
        <v>3062</v>
      </c>
      <c r="G105" s="1254"/>
      <c r="H105" s="1254"/>
      <c r="I105" s="1254"/>
      <c r="J105" s="1254"/>
      <c r="K105" s="1254"/>
      <c r="L105" s="1254"/>
      <c r="M105" s="285"/>
      <c r="N105" s="285"/>
    </row>
    <row r="106" ht="21.75" customHeight="1">
      <c r="A106" s="1193"/>
      <c r="B106" s="1255" t="s">
        <v>3063</v>
      </c>
      <c r="C106" s="1255" t="s">
        <v>3064</v>
      </c>
      <c r="D106" s="1256">
        <v>42000.0</v>
      </c>
      <c r="E106" s="1256">
        <v>42000.0</v>
      </c>
      <c r="F106" s="1257" t="s">
        <v>3065</v>
      </c>
      <c r="G106" s="1193"/>
      <c r="H106" s="1193"/>
      <c r="I106" s="1193"/>
      <c r="J106" s="1193"/>
      <c r="K106" s="1193"/>
      <c r="L106" s="1193"/>
    </row>
    <row r="107" ht="21.75" customHeight="1">
      <c r="A107" s="1193"/>
      <c r="B107" s="1258" t="s">
        <v>3066</v>
      </c>
      <c r="C107" s="1255" t="s">
        <v>3067</v>
      </c>
      <c r="D107" s="1256">
        <v>24000.0</v>
      </c>
      <c r="E107" s="1259" t="s">
        <v>3068</v>
      </c>
      <c r="F107" s="1257" t="s">
        <v>3069</v>
      </c>
      <c r="G107" s="1193"/>
      <c r="H107" s="1193"/>
      <c r="I107" s="1193"/>
      <c r="J107" s="1193"/>
      <c r="K107" s="1193"/>
      <c r="L107" s="1193"/>
    </row>
    <row r="108" ht="14.25" customHeight="1">
      <c r="A108" s="1193"/>
      <c r="B108" s="405" t="s">
        <v>2960</v>
      </c>
      <c r="C108" s="1136" t="s">
        <v>3070</v>
      </c>
      <c r="D108" s="396" t="s">
        <v>3071</v>
      </c>
      <c r="E108" s="1260">
        <v>60000.0</v>
      </c>
      <c r="F108" s="1257" t="s">
        <v>3072</v>
      </c>
      <c r="G108" s="1193"/>
      <c r="H108" s="1193"/>
      <c r="I108" s="1193"/>
      <c r="J108" s="1193"/>
      <c r="K108" s="1193"/>
      <c r="L108" s="1193"/>
    </row>
    <row r="109" ht="14.25" customHeight="1">
      <c r="A109" s="1261" t="s">
        <v>3073</v>
      </c>
      <c r="B109" s="249" t="s">
        <v>3074</v>
      </c>
      <c r="C109" s="1262" t="s">
        <v>3075</v>
      </c>
      <c r="D109" s="1263" t="s">
        <v>3075</v>
      </c>
      <c r="E109" s="1264" t="s">
        <v>593</v>
      </c>
      <c r="F109" s="1257" t="s">
        <v>3076</v>
      </c>
      <c r="G109" s="1193"/>
      <c r="H109" s="1193"/>
      <c r="I109" s="1193"/>
      <c r="J109" s="1193"/>
      <c r="K109" s="1193"/>
      <c r="L109" s="1193"/>
    </row>
    <row r="110" ht="18.75" customHeight="1">
      <c r="A110" s="1193"/>
      <c r="B110" s="249" t="s">
        <v>3077</v>
      </c>
      <c r="C110" s="1262" t="s">
        <v>3075</v>
      </c>
      <c r="D110" s="1263" t="s">
        <v>3078</v>
      </c>
      <c r="E110" s="1265" t="s">
        <v>3079</v>
      </c>
      <c r="F110" s="1266"/>
      <c r="G110" s="1193"/>
      <c r="H110" s="1193"/>
      <c r="I110" s="1193"/>
      <c r="J110" s="1193"/>
      <c r="K110" s="1193"/>
      <c r="L110" s="1193"/>
    </row>
    <row r="111" ht="14.25" customHeight="1">
      <c r="A111" s="1193"/>
      <c r="B111" s="1267" t="s">
        <v>3080</v>
      </c>
      <c r="C111" s="1262" t="s">
        <v>3081</v>
      </c>
      <c r="D111" s="1263" t="s">
        <v>3082</v>
      </c>
      <c r="E111" s="1265" t="s">
        <v>3083</v>
      </c>
      <c r="F111" s="1268"/>
      <c r="G111" s="1193"/>
      <c r="H111" s="1193"/>
      <c r="I111" s="1193"/>
      <c r="J111" s="1193"/>
      <c r="K111" s="1193"/>
      <c r="L111" s="1193"/>
    </row>
    <row r="112" ht="14.25" customHeight="1">
      <c r="A112" s="1193"/>
      <c r="B112" s="1267" t="s">
        <v>3084</v>
      </c>
      <c r="C112" s="1262" t="s">
        <v>3085</v>
      </c>
      <c r="D112" s="1269" t="s">
        <v>3086</v>
      </c>
      <c r="E112" s="1270" t="s">
        <v>3087</v>
      </c>
      <c r="F112" s="1268"/>
      <c r="G112" s="1193"/>
      <c r="H112" s="1193"/>
      <c r="I112" s="1193"/>
      <c r="J112" s="1193"/>
      <c r="K112" s="1193"/>
      <c r="L112" s="1193"/>
    </row>
    <row r="113" ht="14.25" customHeight="1">
      <c r="A113" s="1193"/>
      <c r="B113" s="1267" t="s">
        <v>3088</v>
      </c>
      <c r="C113" s="1262" t="s">
        <v>3089</v>
      </c>
      <c r="D113" s="1271">
        <v>60000.0</v>
      </c>
      <c r="E113" s="1270" t="s">
        <v>3090</v>
      </c>
      <c r="F113" s="1272" t="s">
        <v>3091</v>
      </c>
      <c r="G113" s="1193"/>
      <c r="H113" s="1193"/>
      <c r="I113" s="1193"/>
      <c r="J113" s="1193"/>
      <c r="K113" s="1193"/>
      <c r="L113" s="1193"/>
    </row>
    <row r="114" ht="14.25" customHeight="1">
      <c r="A114" s="1193"/>
      <c r="B114" s="1267" t="s">
        <v>3092</v>
      </c>
      <c r="C114" s="1262" t="s">
        <v>3093</v>
      </c>
      <c r="D114" s="1271" t="s">
        <v>3094</v>
      </c>
      <c r="E114" s="1273" t="s">
        <v>3095</v>
      </c>
      <c r="F114" s="1268" t="s">
        <v>3096</v>
      </c>
      <c r="G114" s="1193"/>
      <c r="H114" s="1193"/>
      <c r="I114" s="1193"/>
      <c r="J114" s="1193"/>
      <c r="K114" s="1193"/>
      <c r="L114" s="1193"/>
    </row>
    <row r="115" ht="14.25" customHeight="1">
      <c r="A115" s="1193"/>
      <c r="B115" s="1267" t="s">
        <v>3097</v>
      </c>
      <c r="C115" s="1262" t="s">
        <v>3098</v>
      </c>
      <c r="D115" s="1271" t="s">
        <v>3099</v>
      </c>
      <c r="E115" s="1273" t="s">
        <v>3100</v>
      </c>
      <c r="F115" s="1268" t="s">
        <v>3101</v>
      </c>
      <c r="G115" s="1193"/>
      <c r="H115" s="1193"/>
      <c r="I115" s="1193"/>
      <c r="J115" s="1193"/>
      <c r="K115" s="1193"/>
      <c r="L115" s="1193"/>
    </row>
    <row r="116" ht="14.25" customHeight="1">
      <c r="A116" s="1193"/>
      <c r="B116" s="1274" t="s">
        <v>3102</v>
      </c>
      <c r="C116" s="1275" t="s">
        <v>3103</v>
      </c>
      <c r="D116" s="1256">
        <v>2100000.0</v>
      </c>
      <c r="E116" s="1256">
        <v>2100000.0</v>
      </c>
      <c r="F116" s="1257" t="s">
        <v>3104</v>
      </c>
      <c r="G116" s="1193"/>
      <c r="H116" s="1193"/>
      <c r="I116" s="1193"/>
      <c r="J116" s="1193"/>
      <c r="K116" s="1193"/>
      <c r="L116" s="1193"/>
    </row>
    <row r="117" ht="39.75" customHeight="1">
      <c r="A117" s="1193"/>
      <c r="B117" s="1276" t="s">
        <v>3105</v>
      </c>
      <c r="C117" s="1193"/>
      <c r="D117" s="1193"/>
      <c r="E117" s="1193"/>
      <c r="F117" s="1193"/>
      <c r="G117" s="1193"/>
      <c r="H117" s="1193"/>
      <c r="I117" s="1193"/>
      <c r="J117" s="1193"/>
      <c r="K117" s="1193"/>
      <c r="L117" s="1193"/>
    </row>
    <row r="118" ht="14.25" customHeight="1">
      <c r="A118" s="1193"/>
      <c r="B118" s="1193"/>
      <c r="C118" s="1193"/>
      <c r="D118" s="1193"/>
      <c r="E118" s="1193"/>
      <c r="F118" s="1193"/>
      <c r="G118" s="1193"/>
      <c r="H118" s="1193"/>
      <c r="I118" s="1193"/>
      <c r="J118" s="1193"/>
      <c r="K118" s="1193"/>
      <c r="L118" s="1193"/>
    </row>
    <row r="119" ht="14.25" customHeight="1">
      <c r="A119" s="1193"/>
      <c r="B119" s="1193"/>
      <c r="C119" s="1193"/>
      <c r="D119" s="1277" t="s">
        <v>3106</v>
      </c>
      <c r="E119" s="1278"/>
      <c r="F119" s="1278"/>
      <c r="G119" s="1278"/>
      <c r="H119" s="1193"/>
      <c r="I119" s="1279" t="s">
        <v>3107</v>
      </c>
      <c r="J119" s="1280"/>
      <c r="K119" s="1280"/>
      <c r="L119" s="1280"/>
      <c r="M119" s="1281" t="s">
        <v>3108</v>
      </c>
      <c r="N119" s="116"/>
    </row>
    <row r="120" ht="14.25" customHeight="1">
      <c r="A120" s="1193"/>
      <c r="B120" s="1282" t="s">
        <v>2981</v>
      </c>
      <c r="C120" s="1282" t="s">
        <v>3006</v>
      </c>
      <c r="D120" s="1282" t="s">
        <v>3109</v>
      </c>
      <c r="E120" s="1282" t="s">
        <v>3110</v>
      </c>
      <c r="F120" s="1282" t="s">
        <v>3111</v>
      </c>
      <c r="G120" s="1282" t="s">
        <v>3112</v>
      </c>
      <c r="H120" s="1282" t="s">
        <v>3113</v>
      </c>
      <c r="I120" s="1282" t="s">
        <v>3109</v>
      </c>
      <c r="J120" s="1282" t="s">
        <v>3110</v>
      </c>
      <c r="K120" s="1282" t="s">
        <v>3111</v>
      </c>
      <c r="L120" s="1282" t="s">
        <v>3112</v>
      </c>
      <c r="M120" s="1282" t="s">
        <v>3114</v>
      </c>
      <c r="N120" s="1282" t="s">
        <v>3115</v>
      </c>
    </row>
    <row r="121" ht="14.25" customHeight="1">
      <c r="A121" s="1193"/>
      <c r="B121" s="1283">
        <v>2026.0</v>
      </c>
      <c r="C121" s="1284">
        <v>34.0</v>
      </c>
      <c r="D121" s="1285">
        <f t="shared" ref="D121:D124" si="27">$D$106</f>
        <v>42000</v>
      </c>
      <c r="E121" s="1286">
        <f>($D$105)*(1+$B$10)+$D$106</f>
        <v>134217.1135</v>
      </c>
      <c r="F121" s="1285">
        <f>($D$105)*(1+$B$9)+$D$106</f>
        <v>132509.3892</v>
      </c>
      <c r="G121" s="1285">
        <f>($D$105)*(1+$B$11)+$D$106</f>
        <v>135924.8378</v>
      </c>
      <c r="H121" s="1287" t="s">
        <v>3113</v>
      </c>
      <c r="I121" s="1288">
        <f t="shared" ref="I121:I124" si="28">$E$106</f>
        <v>42000</v>
      </c>
      <c r="J121" s="1289">
        <f>($E$105)*(1+$B$10)+$E$106</f>
        <v>134217.1135</v>
      </c>
      <c r="K121" s="1288">
        <f>($E$105)*(1+$B$9)+$E$106</f>
        <v>132509.3892</v>
      </c>
      <c r="L121" s="1288">
        <f>($E$105)*(1+$B$11)+$E$106</f>
        <v>135924.8378</v>
      </c>
      <c r="M121" s="1290">
        <f t="shared" ref="M121:M140" si="29">J121-E121</f>
        <v>0</v>
      </c>
      <c r="N121" s="1291" t="str">
        <f t="shared" ref="N121:N140" si="30">IF(AND(E121&gt;=$D$116,J121&gt;=$D$116),"✅ LES 2",IF(E121&gt;=$D$116,"🏠 A seul",IF(J121&gt;=$D$116,"📈 B seul","—")))</f>
        <v>—</v>
      </c>
    </row>
    <row r="122" ht="14.25" customHeight="1">
      <c r="A122" s="1193"/>
      <c r="B122" s="1283">
        <v>2027.0</v>
      </c>
      <c r="C122" s="1284">
        <v>35.0</v>
      </c>
      <c r="D122" s="1285">
        <f t="shared" si="27"/>
        <v>42000</v>
      </c>
      <c r="E122" s="1286">
        <f t="shared" ref="E122:E124" si="31">E121*(1+$B$10)+$D$106</f>
        <v>186954.4826</v>
      </c>
      <c r="F122" s="1285">
        <f t="shared" ref="F122:F124" si="32">F121*(1+$B$9)+$D$106</f>
        <v>182459.9525</v>
      </c>
      <c r="G122" s="1285">
        <f t="shared" ref="G122:G124" si="33">G121*(1+$B$11)+$D$106</f>
        <v>191517.3216</v>
      </c>
      <c r="H122" s="1287" t="s">
        <v>3113</v>
      </c>
      <c r="I122" s="1288">
        <f t="shared" si="28"/>
        <v>42000</v>
      </c>
      <c r="J122" s="1289">
        <f t="shared" ref="J122:J124" si="34">J121*(1+$B$10)+$E$106</f>
        <v>186954.4826</v>
      </c>
      <c r="K122" s="1288">
        <f t="shared" ref="K122:K124" si="35">K121*(1+$B$9)+$E$106</f>
        <v>182459.9525</v>
      </c>
      <c r="L122" s="1288">
        <f t="shared" ref="L122:L124" si="36">L121*(1+$B$11)+$E$106</f>
        <v>191517.3216</v>
      </c>
      <c r="M122" s="1290">
        <f t="shared" si="29"/>
        <v>0</v>
      </c>
      <c r="N122" s="1291" t="str">
        <f t="shared" si="30"/>
        <v>—</v>
      </c>
    </row>
    <row r="123" ht="14.25" customHeight="1">
      <c r="A123" s="1193"/>
      <c r="B123" s="1283">
        <v>2028.0</v>
      </c>
      <c r="C123" s="1284">
        <v>36.0</v>
      </c>
      <c r="D123" s="1285">
        <f t="shared" si="27"/>
        <v>42000</v>
      </c>
      <c r="E123" s="1286">
        <f t="shared" si="31"/>
        <v>243910.8412</v>
      </c>
      <c r="F123" s="1285">
        <f t="shared" si="32"/>
        <v>235407.5496</v>
      </c>
      <c r="G123" s="1285">
        <f t="shared" si="33"/>
        <v>252669.0537</v>
      </c>
      <c r="H123" s="1287" t="s">
        <v>3113</v>
      </c>
      <c r="I123" s="1288">
        <f t="shared" si="28"/>
        <v>42000</v>
      </c>
      <c r="J123" s="1289">
        <f t="shared" si="34"/>
        <v>243910.8412</v>
      </c>
      <c r="K123" s="1288">
        <f t="shared" si="35"/>
        <v>235407.5496</v>
      </c>
      <c r="L123" s="1288">
        <f t="shared" si="36"/>
        <v>252669.0537</v>
      </c>
      <c r="M123" s="1290">
        <f t="shared" si="29"/>
        <v>0</v>
      </c>
      <c r="N123" s="1291" t="str">
        <f t="shared" si="30"/>
        <v>—</v>
      </c>
    </row>
    <row r="124" ht="14.25" customHeight="1">
      <c r="A124" s="1193"/>
      <c r="B124" s="1283">
        <v>2029.0</v>
      </c>
      <c r="C124" s="1284">
        <v>37.0</v>
      </c>
      <c r="D124" s="1285">
        <f t="shared" si="27"/>
        <v>42000</v>
      </c>
      <c r="E124" s="1286">
        <f t="shared" si="31"/>
        <v>305423.7084</v>
      </c>
      <c r="F124" s="1285">
        <f t="shared" si="32"/>
        <v>291532.0026</v>
      </c>
      <c r="G124" s="1285">
        <f t="shared" si="33"/>
        <v>319935.9591</v>
      </c>
      <c r="H124" s="1287" t="s">
        <v>3113</v>
      </c>
      <c r="I124" s="1288">
        <f t="shared" si="28"/>
        <v>42000</v>
      </c>
      <c r="J124" s="1289">
        <f t="shared" si="34"/>
        <v>305423.7084</v>
      </c>
      <c r="K124" s="1288">
        <f t="shared" si="35"/>
        <v>291532.0026</v>
      </c>
      <c r="L124" s="1288">
        <f t="shared" si="36"/>
        <v>319935.9591</v>
      </c>
      <c r="M124" s="1290">
        <f t="shared" si="29"/>
        <v>0</v>
      </c>
      <c r="N124" s="1291" t="str">
        <f t="shared" si="30"/>
        <v>—</v>
      </c>
    </row>
    <row r="125" ht="14.25" customHeight="1">
      <c r="A125" s="1193"/>
      <c r="B125" s="1292" t="s">
        <v>3116</v>
      </c>
      <c r="C125" s="1284">
        <v>38.0</v>
      </c>
      <c r="D125" s="1293">
        <f t="shared" ref="D125:D140" si="37">$D$107</f>
        <v>24000</v>
      </c>
      <c r="E125" s="1294">
        <f>(E124-$D$113)*(1+$B$10)+$D$107</f>
        <v>289057.6051</v>
      </c>
      <c r="F125" s="1293">
        <f>(F124-$D$113)*(1+$B$9)+$D$107</f>
        <v>269423.9228</v>
      </c>
      <c r="G125" s="1293">
        <f>(G124-$D$113)*(1+$B$11)+$D$107</f>
        <v>309929.555</v>
      </c>
      <c r="H125" s="1287" t="s">
        <v>3113</v>
      </c>
      <c r="I125" s="1295">
        <f t="shared" ref="I125:I140" si="38">$E$108</f>
        <v>60000</v>
      </c>
      <c r="J125" s="1296">
        <f t="shared" ref="J125:J140" si="39">J124*(1+$B$10)+$E$108</f>
        <v>389857.6051</v>
      </c>
      <c r="K125" s="1295">
        <f t="shared" ref="K125:K140" si="40">K124*(1+$B$9)+$E$108</f>
        <v>369023.9228</v>
      </c>
      <c r="L125" s="1295">
        <f t="shared" ref="L125:L140" si="41">L124*(1+$B$11)+$E$108</f>
        <v>411929.555</v>
      </c>
      <c r="M125" s="1297">
        <f t="shared" si="29"/>
        <v>100800</v>
      </c>
      <c r="N125" s="1298" t="str">
        <f t="shared" si="30"/>
        <v>—</v>
      </c>
    </row>
    <row r="126" ht="15.75" customHeight="1">
      <c r="B126" s="1283">
        <v>2031.0</v>
      </c>
      <c r="C126" s="1284">
        <v>39.0</v>
      </c>
      <c r="D126" s="1285">
        <f t="shared" si="37"/>
        <v>24000</v>
      </c>
      <c r="E126" s="1286">
        <f t="shared" ref="E126:E140" si="42">E125*(1+$B$10)+$D$107</f>
        <v>336182.2135</v>
      </c>
      <c r="F126" s="1285">
        <f t="shared" ref="F126:F140" si="43">F125*(1+$B$9)+$D$107</f>
        <v>309589.3582</v>
      </c>
      <c r="G126" s="1285">
        <f t="shared" ref="G126:G140" si="44">G125*(1+$B$11)+$D$107</f>
        <v>364922.5105</v>
      </c>
      <c r="H126" s="1287" t="s">
        <v>3113</v>
      </c>
      <c r="I126" s="1288">
        <f t="shared" si="38"/>
        <v>60000</v>
      </c>
      <c r="J126" s="1289">
        <f t="shared" si="39"/>
        <v>481046.2135</v>
      </c>
      <c r="K126" s="1288">
        <f t="shared" si="40"/>
        <v>451165.3582</v>
      </c>
      <c r="L126" s="1288">
        <f t="shared" si="41"/>
        <v>513122.5105</v>
      </c>
      <c r="M126" s="1290">
        <f t="shared" si="29"/>
        <v>144864</v>
      </c>
      <c r="N126" s="1291" t="str">
        <f t="shared" si="30"/>
        <v>—</v>
      </c>
    </row>
    <row r="127" ht="15.75" customHeight="1">
      <c r="B127" s="1283">
        <v>2032.0</v>
      </c>
      <c r="C127" s="1284">
        <v>40.0</v>
      </c>
      <c r="D127" s="1285">
        <f t="shared" si="37"/>
        <v>24000</v>
      </c>
      <c r="E127" s="1286">
        <f t="shared" si="42"/>
        <v>387076.7906</v>
      </c>
      <c r="F127" s="1285">
        <f t="shared" si="43"/>
        <v>352164.7196</v>
      </c>
      <c r="G127" s="1285">
        <f t="shared" si="44"/>
        <v>425414.7616</v>
      </c>
      <c r="H127" s="1287" t="s">
        <v>3113</v>
      </c>
      <c r="I127" s="1288">
        <f t="shared" si="38"/>
        <v>60000</v>
      </c>
      <c r="J127" s="1289">
        <f t="shared" si="39"/>
        <v>579529.9106</v>
      </c>
      <c r="K127" s="1288">
        <f t="shared" si="40"/>
        <v>538235.2796</v>
      </c>
      <c r="L127" s="1288">
        <f t="shared" si="41"/>
        <v>624434.7616</v>
      </c>
      <c r="M127" s="1290">
        <f t="shared" si="29"/>
        <v>192453.12</v>
      </c>
      <c r="N127" s="1291" t="str">
        <f t="shared" si="30"/>
        <v>—</v>
      </c>
    </row>
    <row r="128" ht="19.5" customHeight="1">
      <c r="A128" s="1164" t="s">
        <v>3117</v>
      </c>
      <c r="B128" s="1283">
        <v>2033.0</v>
      </c>
      <c r="C128" s="1284">
        <v>41.0</v>
      </c>
      <c r="D128" s="1285">
        <f t="shared" si="37"/>
        <v>24000</v>
      </c>
      <c r="E128" s="1286">
        <f t="shared" si="42"/>
        <v>442042.9339</v>
      </c>
      <c r="F128" s="1285">
        <f t="shared" si="43"/>
        <v>397294.6028</v>
      </c>
      <c r="G128" s="1285">
        <f t="shared" si="44"/>
        <v>491956.2377</v>
      </c>
      <c r="H128" s="1287" t="s">
        <v>3113</v>
      </c>
      <c r="I128" s="1288">
        <f t="shared" si="38"/>
        <v>60000</v>
      </c>
      <c r="J128" s="1289">
        <f t="shared" si="39"/>
        <v>685892.3035</v>
      </c>
      <c r="K128" s="1288">
        <f t="shared" si="40"/>
        <v>630529.3964</v>
      </c>
      <c r="L128" s="1288">
        <f t="shared" si="41"/>
        <v>746878.2377</v>
      </c>
      <c r="M128" s="1290">
        <f t="shared" si="29"/>
        <v>243849.3696</v>
      </c>
      <c r="N128" s="1291" t="str">
        <f t="shared" si="30"/>
        <v>—</v>
      </c>
    </row>
    <row r="129" ht="21.75" customHeight="1">
      <c r="A129" s="1299" t="s">
        <v>1771</v>
      </c>
      <c r="B129" s="1283">
        <v>2034.0</v>
      </c>
      <c r="C129" s="1284">
        <v>42.0</v>
      </c>
      <c r="D129" s="1285">
        <f t="shared" si="37"/>
        <v>24000</v>
      </c>
      <c r="E129" s="1286">
        <f t="shared" si="42"/>
        <v>501406.3686</v>
      </c>
      <c r="F129" s="1285">
        <f t="shared" si="43"/>
        <v>445132.279</v>
      </c>
      <c r="G129" s="1285">
        <f t="shared" si="44"/>
        <v>565151.8615</v>
      </c>
      <c r="H129" s="1287" t="s">
        <v>3113</v>
      </c>
      <c r="I129" s="1288">
        <f t="shared" si="38"/>
        <v>60000</v>
      </c>
      <c r="J129" s="1289">
        <f t="shared" si="39"/>
        <v>800763.6877</v>
      </c>
      <c r="K129" s="1288">
        <f t="shared" si="40"/>
        <v>728361.1602</v>
      </c>
      <c r="L129" s="1288">
        <f t="shared" si="41"/>
        <v>881566.0615</v>
      </c>
      <c r="M129" s="1290">
        <f t="shared" si="29"/>
        <v>299357.3192</v>
      </c>
      <c r="N129" s="1291" t="str">
        <f t="shared" si="30"/>
        <v>—</v>
      </c>
    </row>
    <row r="130" ht="14.25" customHeight="1">
      <c r="A130" s="1300" t="s">
        <v>3118</v>
      </c>
      <c r="B130" s="1283">
        <v>2035.0</v>
      </c>
      <c r="C130" s="1284">
        <v>43.0</v>
      </c>
      <c r="D130" s="1285">
        <f t="shared" si="37"/>
        <v>24000</v>
      </c>
      <c r="E130" s="1286">
        <f t="shared" si="42"/>
        <v>565518.8781</v>
      </c>
      <c r="F130" s="1285">
        <f t="shared" si="43"/>
        <v>495840.2157</v>
      </c>
      <c r="G130" s="1285">
        <f t="shared" si="44"/>
        <v>645667.0477</v>
      </c>
      <c r="H130" s="1287" t="s">
        <v>3113</v>
      </c>
      <c r="I130" s="1288">
        <f t="shared" si="38"/>
        <v>60000</v>
      </c>
      <c r="J130" s="1289">
        <f t="shared" si="39"/>
        <v>924824.7828</v>
      </c>
      <c r="K130" s="1288">
        <f t="shared" si="40"/>
        <v>832062.8298</v>
      </c>
      <c r="L130" s="1288">
        <f t="shared" si="41"/>
        <v>1029722.668</v>
      </c>
      <c r="M130" s="1290">
        <f t="shared" si="29"/>
        <v>359305.9047</v>
      </c>
      <c r="N130" s="1291" t="str">
        <f t="shared" si="30"/>
        <v>—</v>
      </c>
    </row>
    <row r="131" ht="14.25" customHeight="1">
      <c r="A131" s="203" t="s">
        <v>3119</v>
      </c>
      <c r="B131" s="1283">
        <v>2036.0</v>
      </c>
      <c r="C131" s="1284">
        <v>44.0</v>
      </c>
      <c r="D131" s="1285">
        <f t="shared" si="37"/>
        <v>24000</v>
      </c>
      <c r="E131" s="1286">
        <f t="shared" si="42"/>
        <v>634760.3883</v>
      </c>
      <c r="F131" s="1285">
        <f t="shared" si="43"/>
        <v>549590.6287</v>
      </c>
      <c r="G131" s="1285">
        <f t="shared" si="44"/>
        <v>734233.7524</v>
      </c>
      <c r="H131" s="1287" t="s">
        <v>3113</v>
      </c>
      <c r="I131" s="1288">
        <f t="shared" si="38"/>
        <v>60000</v>
      </c>
      <c r="J131" s="1289">
        <f t="shared" si="39"/>
        <v>1058810.765</v>
      </c>
      <c r="K131" s="1288">
        <f t="shared" si="40"/>
        <v>941986.5996</v>
      </c>
      <c r="L131" s="1288">
        <f t="shared" si="41"/>
        <v>1192694.934</v>
      </c>
      <c r="M131" s="1290">
        <f t="shared" si="29"/>
        <v>424050.3771</v>
      </c>
      <c r="N131" s="1291" t="str">
        <f t="shared" si="30"/>
        <v>—</v>
      </c>
    </row>
    <row r="132" ht="14.25" customHeight="1">
      <c r="A132" s="1300" t="s">
        <v>3120</v>
      </c>
      <c r="B132" s="1283">
        <v>2037.0</v>
      </c>
      <c r="C132" s="1284">
        <v>45.0</v>
      </c>
      <c r="D132" s="1285">
        <f t="shared" si="37"/>
        <v>24000</v>
      </c>
      <c r="E132" s="1286">
        <f t="shared" si="42"/>
        <v>709541.2194</v>
      </c>
      <c r="F132" s="1285">
        <f t="shared" si="43"/>
        <v>606566.0664</v>
      </c>
      <c r="G132" s="1285">
        <f t="shared" si="44"/>
        <v>831657.1277</v>
      </c>
      <c r="H132" s="1287" t="s">
        <v>3113</v>
      </c>
      <c r="I132" s="1288">
        <f t="shared" si="38"/>
        <v>60000</v>
      </c>
      <c r="J132" s="1289">
        <f t="shared" si="39"/>
        <v>1203515.627</v>
      </c>
      <c r="K132" s="1288">
        <f t="shared" si="40"/>
        <v>1058505.796</v>
      </c>
      <c r="L132" s="1288">
        <f t="shared" si="41"/>
        <v>1371964.428</v>
      </c>
      <c r="M132" s="1290">
        <f t="shared" si="29"/>
        <v>493974.4072</v>
      </c>
      <c r="N132" s="1291" t="str">
        <f t="shared" si="30"/>
        <v>—</v>
      </c>
    </row>
    <row r="133" ht="26.25" customHeight="1">
      <c r="A133" s="1301" t="s">
        <v>3121</v>
      </c>
      <c r="B133" s="1283">
        <v>2038.0</v>
      </c>
      <c r="C133" s="1284">
        <v>46.0</v>
      </c>
      <c r="D133" s="1285">
        <f t="shared" si="37"/>
        <v>24000</v>
      </c>
      <c r="E133" s="1286">
        <f t="shared" si="42"/>
        <v>790304.5169</v>
      </c>
      <c r="F133" s="1285">
        <f t="shared" si="43"/>
        <v>666960.0304</v>
      </c>
      <c r="G133" s="1285">
        <f t="shared" si="44"/>
        <v>938822.8404</v>
      </c>
      <c r="H133" s="1287" t="s">
        <v>3113</v>
      </c>
      <c r="I133" s="1288">
        <f t="shared" si="38"/>
        <v>60000</v>
      </c>
      <c r="J133" s="1289">
        <f t="shared" si="39"/>
        <v>1359796.877</v>
      </c>
      <c r="K133" s="1288">
        <f t="shared" si="40"/>
        <v>1182016.143</v>
      </c>
      <c r="L133" s="1288">
        <f t="shared" si="41"/>
        <v>1569160.871</v>
      </c>
      <c r="M133" s="1290">
        <f t="shared" si="29"/>
        <v>569492.3598</v>
      </c>
      <c r="N133" s="1291" t="str">
        <f t="shared" si="30"/>
        <v>—</v>
      </c>
    </row>
    <row r="134" ht="14.25" customHeight="1">
      <c r="A134" s="1300" t="s">
        <v>3122</v>
      </c>
      <c r="B134" s="1283">
        <v>2039.0</v>
      </c>
      <c r="C134" s="1284">
        <v>47.0</v>
      </c>
      <c r="D134" s="1285">
        <f t="shared" si="37"/>
        <v>24000</v>
      </c>
      <c r="E134" s="1286">
        <f t="shared" si="42"/>
        <v>877528.8783</v>
      </c>
      <c r="F134" s="1285">
        <f t="shared" si="43"/>
        <v>730977.6322</v>
      </c>
      <c r="G134" s="1285">
        <f t="shared" si="44"/>
        <v>1056705.124</v>
      </c>
      <c r="H134" s="1287" t="s">
        <v>3113</v>
      </c>
      <c r="I134" s="1288">
        <f t="shared" si="38"/>
        <v>60000</v>
      </c>
      <c r="J134" s="1289">
        <f t="shared" si="39"/>
        <v>1528580.627</v>
      </c>
      <c r="K134" s="1288">
        <f t="shared" si="40"/>
        <v>1312937.112</v>
      </c>
      <c r="L134" s="1288">
        <f t="shared" si="41"/>
        <v>1786076.958</v>
      </c>
      <c r="M134" s="1290">
        <f t="shared" si="29"/>
        <v>651051.7486</v>
      </c>
      <c r="N134" s="1291" t="str">
        <f t="shared" si="30"/>
        <v>—</v>
      </c>
    </row>
    <row r="135" ht="26.25" customHeight="1">
      <c r="A135" s="1301" t="s">
        <v>3123</v>
      </c>
      <c r="B135" s="1283">
        <v>2040.0</v>
      </c>
      <c r="C135" s="1284">
        <v>48.0</v>
      </c>
      <c r="D135" s="1302">
        <f t="shared" si="37"/>
        <v>24000</v>
      </c>
      <c r="E135" s="1303">
        <f t="shared" si="42"/>
        <v>971731.1885</v>
      </c>
      <c r="F135" s="1302">
        <f t="shared" si="43"/>
        <v>798836.2901</v>
      </c>
      <c r="G135" s="1302">
        <f t="shared" si="44"/>
        <v>1186375.637</v>
      </c>
      <c r="H135" s="1287" t="s">
        <v>3113</v>
      </c>
      <c r="I135" s="1304">
        <f t="shared" si="38"/>
        <v>60000</v>
      </c>
      <c r="J135" s="1305">
        <f t="shared" si="39"/>
        <v>1710867.077</v>
      </c>
      <c r="K135" s="1304">
        <f t="shared" si="40"/>
        <v>1451713.339</v>
      </c>
      <c r="L135" s="1304">
        <f t="shared" si="41"/>
        <v>2024684.653</v>
      </c>
      <c r="M135" s="1306">
        <f t="shared" si="29"/>
        <v>739135.8885</v>
      </c>
      <c r="N135" s="1307" t="str">
        <f t="shared" si="30"/>
        <v>—</v>
      </c>
    </row>
    <row r="136" ht="14.25" customHeight="1">
      <c r="A136" s="1064" t="s">
        <v>2954</v>
      </c>
      <c r="B136" s="1283">
        <v>2041.0</v>
      </c>
      <c r="C136" s="1284">
        <v>49.0</v>
      </c>
      <c r="D136" s="1302">
        <f t="shared" si="37"/>
        <v>24000</v>
      </c>
      <c r="E136" s="1303">
        <f t="shared" si="42"/>
        <v>1073469.684</v>
      </c>
      <c r="F136" s="1302">
        <f t="shared" si="43"/>
        <v>870766.4675</v>
      </c>
      <c r="G136" s="1302">
        <f t="shared" si="44"/>
        <v>1329013.201</v>
      </c>
      <c r="H136" s="1287" t="s">
        <v>3113</v>
      </c>
      <c r="I136" s="1304">
        <f t="shared" si="38"/>
        <v>60000</v>
      </c>
      <c r="J136" s="1305">
        <f t="shared" si="39"/>
        <v>1907736.443</v>
      </c>
      <c r="K136" s="1304">
        <f t="shared" si="40"/>
        <v>1598816.139</v>
      </c>
      <c r="L136" s="1304">
        <f t="shared" si="41"/>
        <v>2287153.119</v>
      </c>
      <c r="M136" s="1306">
        <f t="shared" si="29"/>
        <v>834266.7596</v>
      </c>
      <c r="N136" s="1307" t="str">
        <f t="shared" si="30"/>
        <v>—</v>
      </c>
    </row>
    <row r="137" ht="15.75" customHeight="1">
      <c r="B137" s="1283">
        <v>2042.0</v>
      </c>
      <c r="C137" s="1284">
        <v>50.0</v>
      </c>
      <c r="D137" s="1302">
        <f t="shared" si="37"/>
        <v>24000</v>
      </c>
      <c r="E137" s="1303">
        <f t="shared" si="42"/>
        <v>1183347.258</v>
      </c>
      <c r="F137" s="1302">
        <f t="shared" si="43"/>
        <v>947012.4556</v>
      </c>
      <c r="G137" s="1302">
        <f t="shared" si="44"/>
        <v>1485914.521</v>
      </c>
      <c r="H137" s="1287" t="s">
        <v>3113</v>
      </c>
      <c r="I137" s="1304">
        <f t="shared" si="38"/>
        <v>60000</v>
      </c>
      <c r="J137" s="1305">
        <f t="shared" si="39"/>
        <v>2120355.359</v>
      </c>
      <c r="K137" s="1304">
        <f t="shared" si="40"/>
        <v>1754745.107</v>
      </c>
      <c r="L137" s="1304">
        <f t="shared" si="41"/>
        <v>2575868.431</v>
      </c>
      <c r="M137" s="1306">
        <f t="shared" si="29"/>
        <v>937008.1003</v>
      </c>
      <c r="N137" s="1307" t="str">
        <f t="shared" si="30"/>
        <v>📈 B seul</v>
      </c>
    </row>
    <row r="138" ht="15.75" customHeight="1">
      <c r="B138" s="1283">
        <v>2043.0</v>
      </c>
      <c r="C138" s="1284">
        <v>51.0</v>
      </c>
      <c r="D138" s="1302">
        <f t="shared" si="37"/>
        <v>24000</v>
      </c>
      <c r="E138" s="1303">
        <f t="shared" si="42"/>
        <v>1302015.039</v>
      </c>
      <c r="F138" s="1302">
        <f t="shared" si="43"/>
        <v>1027833.203</v>
      </c>
      <c r="G138" s="1302">
        <f t="shared" si="44"/>
        <v>1658505.973</v>
      </c>
      <c r="H138" s="1287" t="s">
        <v>3113</v>
      </c>
      <c r="I138" s="1304">
        <f t="shared" si="38"/>
        <v>60000</v>
      </c>
      <c r="J138" s="1305">
        <f t="shared" si="39"/>
        <v>2349983.787</v>
      </c>
      <c r="K138" s="1304">
        <f t="shared" si="40"/>
        <v>1920029.814</v>
      </c>
      <c r="L138" s="1304">
        <f t="shared" si="41"/>
        <v>2893455.274</v>
      </c>
      <c r="M138" s="1306">
        <f t="shared" si="29"/>
        <v>1047968.748</v>
      </c>
      <c r="N138" s="1307" t="str">
        <f t="shared" si="30"/>
        <v>📈 B seul</v>
      </c>
    </row>
    <row r="139" ht="15.75" customHeight="1">
      <c r="B139" s="1283">
        <v>2044.0</v>
      </c>
      <c r="C139" s="1284">
        <v>52.0</v>
      </c>
      <c r="D139" s="1302">
        <f t="shared" si="37"/>
        <v>24000</v>
      </c>
      <c r="E139" s="1303">
        <f t="shared" si="42"/>
        <v>1430176.242</v>
      </c>
      <c r="F139" s="1302">
        <f t="shared" si="43"/>
        <v>1113503.195</v>
      </c>
      <c r="G139" s="1302">
        <f t="shared" si="44"/>
        <v>1848356.57</v>
      </c>
      <c r="H139" s="1287" t="s">
        <v>3113</v>
      </c>
      <c r="I139" s="1304">
        <f t="shared" si="38"/>
        <v>60000</v>
      </c>
      <c r="J139" s="1305">
        <f t="shared" si="39"/>
        <v>2597982.49</v>
      </c>
      <c r="K139" s="1304">
        <f t="shared" si="40"/>
        <v>2095231.603</v>
      </c>
      <c r="L139" s="1304">
        <f t="shared" si="41"/>
        <v>3242800.801</v>
      </c>
      <c r="M139" s="1306">
        <f t="shared" si="29"/>
        <v>1167806.248</v>
      </c>
      <c r="N139" s="1307" t="str">
        <f t="shared" si="30"/>
        <v>📈 B seul</v>
      </c>
    </row>
    <row r="140" ht="15.75" customHeight="1">
      <c r="B140" s="1283">
        <v>2045.0</v>
      </c>
      <c r="C140" s="1284">
        <v>53.0</v>
      </c>
      <c r="D140" s="1302">
        <f t="shared" si="37"/>
        <v>24000</v>
      </c>
      <c r="E140" s="1303">
        <f t="shared" si="42"/>
        <v>1568590.341</v>
      </c>
      <c r="F140" s="1302">
        <f t="shared" si="43"/>
        <v>1204313.387</v>
      </c>
      <c r="G140" s="1302">
        <f t="shared" si="44"/>
        <v>2057192.227</v>
      </c>
      <c r="H140" s="1287" t="s">
        <v>3113</v>
      </c>
      <c r="I140" s="1304">
        <f t="shared" si="38"/>
        <v>60000</v>
      </c>
      <c r="J140" s="1305">
        <f t="shared" si="39"/>
        <v>2865821.09</v>
      </c>
      <c r="K140" s="1304">
        <f t="shared" si="40"/>
        <v>2280945.499</v>
      </c>
      <c r="L140" s="1304">
        <f t="shared" si="41"/>
        <v>3627080.881</v>
      </c>
      <c r="M140" s="1306">
        <f t="shared" si="29"/>
        <v>1297230.748</v>
      </c>
      <c r="N140" s="1307" t="str">
        <f t="shared" si="30"/>
        <v>📈 B seul</v>
      </c>
    </row>
    <row r="141" ht="15.75" customHeight="1"/>
    <row r="142" ht="15.75" customHeight="1">
      <c r="B142" s="1248" t="s">
        <v>3124</v>
      </c>
      <c r="C142" s="1308"/>
      <c r="D142" s="1308"/>
      <c r="E142" s="1308"/>
      <c r="F142" s="1308"/>
      <c r="G142" s="1308"/>
      <c r="H142" s="1308"/>
      <c r="I142" s="1308"/>
      <c r="J142" s="1308"/>
      <c r="K142" s="1308"/>
      <c r="L142" s="1308"/>
    </row>
    <row r="143" ht="15.75" customHeight="1">
      <c r="B143" s="1258" t="s">
        <v>3125</v>
      </c>
      <c r="D143" s="1309">
        <f>E140</f>
        <v>1568590.341</v>
      </c>
    </row>
    <row r="144" ht="15.75" customHeight="1">
      <c r="B144" s="1258" t="s">
        <v>3126</v>
      </c>
      <c r="D144" s="1309">
        <f>J140</f>
        <v>2865821.09</v>
      </c>
    </row>
    <row r="145" ht="15.75" customHeight="1">
      <c r="B145" s="1258" t="s">
        <v>3127</v>
      </c>
      <c r="D145" s="1310">
        <f>J140-E140</f>
        <v>1297230.748</v>
      </c>
    </row>
    <row r="146" ht="15.75" customHeight="1">
      <c r="B146" s="1258" t="s">
        <v>3128</v>
      </c>
      <c r="D146" s="1309">
        <f>F140</f>
        <v>1204313.387</v>
      </c>
    </row>
    <row r="147" ht="15.75" customHeight="1">
      <c r="B147" s="1258" t="s">
        <v>3129</v>
      </c>
      <c r="D147" s="1309">
        <f>K140</f>
        <v>2280945.499</v>
      </c>
    </row>
    <row r="148" ht="15.75" customHeight="1">
      <c r="B148" s="1258" t="s">
        <v>3130</v>
      </c>
      <c r="D148" s="1311" t="str">
        <f>IF(E140&gt;=$D$116,"✅ A atteint FI","🔴 A sous $2.1M")&amp;" · "&amp;IF(J140&gt;=$D$116,"✅ B atteint FI","🔴 B sous $2.1M")</f>
        <v>🔴 A sous $2.1M · ✅ B atteint FI</v>
      </c>
    </row>
    <row r="149" ht="15.75" customHeight="1">
      <c r="B149" s="1312" t="s">
        <v>3131</v>
      </c>
      <c r="D149" s="1313" t="s">
        <v>3132</v>
      </c>
      <c r="J149" s="1314" t="s">
        <v>3133</v>
      </c>
      <c r="M149" s="1315" t="s">
        <v>3134</v>
      </c>
    </row>
    <row r="150" ht="79.5" customHeight="1">
      <c r="B150" s="1276" t="s">
        <v>3135</v>
      </c>
    </row>
    <row r="151" ht="15.75" customHeight="1"/>
    <row r="152" ht="15.75" customHeight="1">
      <c r="B152" s="1255" t="s">
        <v>3136</v>
      </c>
    </row>
    <row r="153" ht="15.75" customHeight="1"/>
    <row r="154" ht="15.75" customHeight="1"/>
    <row r="155" ht="21.75" customHeight="1">
      <c r="B155" s="1316" t="s">
        <v>3137</v>
      </c>
      <c r="C155" s="1317"/>
      <c r="D155" s="1317"/>
      <c r="E155" s="1317"/>
      <c r="F155" s="1317"/>
      <c r="G155" s="1317"/>
      <c r="H155" s="1317"/>
      <c r="I155" s="1317"/>
    </row>
    <row r="156" ht="15.75" customHeight="1">
      <c r="B156" s="1318" t="s">
        <v>3138</v>
      </c>
      <c r="C156" s="1319">
        <v>24000.0</v>
      </c>
      <c r="D156" s="1320" t="s">
        <v>3139</v>
      </c>
      <c r="E156" s="1321"/>
      <c r="F156" s="1321"/>
      <c r="G156" s="1321"/>
      <c r="H156" s="1321"/>
      <c r="I156" s="1321"/>
    </row>
    <row r="157" ht="15.75" customHeight="1">
      <c r="B157" s="1318" t="s">
        <v>1073</v>
      </c>
      <c r="C157" s="1322">
        <f>CONFIG!B11</f>
        <v>0.5298</v>
      </c>
      <c r="D157" s="1320" t="s">
        <v>3140</v>
      </c>
      <c r="E157" s="1321"/>
      <c r="F157" s="1321"/>
      <c r="G157" s="1321"/>
      <c r="H157" s="1321"/>
      <c r="I157" s="1321"/>
    </row>
    <row r="158" ht="15.75" customHeight="1">
      <c r="B158" s="1318" t="s">
        <v>2882</v>
      </c>
      <c r="C158" s="1323">
        <f>C156*CONFIG!B11</f>
        <v>12715.2</v>
      </c>
      <c r="D158" s="1320" t="s">
        <v>3141</v>
      </c>
      <c r="E158" s="1321"/>
      <c r="F158" s="1321"/>
      <c r="G158" s="1321"/>
      <c r="H158" s="1321"/>
      <c r="I158" s="1321"/>
    </row>
    <row r="159" ht="15.75" customHeight="1">
      <c r="B159" s="1318" t="s">
        <v>2884</v>
      </c>
      <c r="C159" s="1323">
        <f>C158/12</f>
        <v>1059.6</v>
      </c>
      <c r="D159" s="1320" t="s">
        <v>3142</v>
      </c>
      <c r="E159" s="1321"/>
      <c r="F159" s="1321"/>
      <c r="G159" s="1321"/>
      <c r="H159" s="1321"/>
      <c r="I159" s="1321"/>
    </row>
    <row r="160" ht="15.75" customHeight="1">
      <c r="B160" s="1318" t="s">
        <v>3143</v>
      </c>
      <c r="C160" s="1323">
        <f>C158*((1.08^20-1)/0.08)</f>
        <v>581872.5284</v>
      </c>
      <c r="D160" s="1320" t="s">
        <v>3144</v>
      </c>
      <c r="E160" s="1321"/>
      <c r="F160" s="1321"/>
      <c r="G160" s="1321"/>
      <c r="H160" s="1321"/>
      <c r="I160" s="1321"/>
    </row>
    <row r="161" ht="15.75" customHeight="1">
      <c r="B161" s="1318" t="s">
        <v>3145</v>
      </c>
      <c r="C161" s="1324" t="s">
        <v>3146</v>
      </c>
      <c r="D161" s="1320" t="s">
        <v>3147</v>
      </c>
      <c r="E161" s="1321"/>
      <c r="F161" s="1321"/>
      <c r="G161" s="1321"/>
      <c r="H161" s="1321"/>
      <c r="I161" s="1321"/>
    </row>
    <row r="162" ht="15.75" customHeight="1">
      <c r="B162" s="1318" t="s">
        <v>3148</v>
      </c>
      <c r="C162" s="1324" t="s">
        <v>3149</v>
      </c>
      <c r="D162" s="1320" t="s">
        <v>3150</v>
      </c>
      <c r="E162" s="1321"/>
      <c r="F162" s="1321"/>
      <c r="G162" s="1321"/>
      <c r="H162" s="1321"/>
      <c r="I162" s="1321"/>
    </row>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J1"/>
    <mergeCell ref="A2:F2"/>
    <mergeCell ref="A4:J4"/>
    <mergeCell ref="A16:F16"/>
    <mergeCell ref="A17:J17"/>
  </mergeCells>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80"/>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2.0"/>
    <col customWidth="1" min="2" max="2" width="12.0"/>
    <col customWidth="1" min="3" max="3" width="20.0"/>
    <col customWidth="1" min="4" max="7" width="12.0"/>
    <col customWidth="1" min="8" max="8" width="14.0"/>
    <col customWidth="1" min="9" max="10" width="8.71"/>
  </cols>
  <sheetData>
    <row r="1" ht="27.75" customHeight="1">
      <c r="B1" s="1325" t="s">
        <v>3151</v>
      </c>
      <c r="C1" s="2"/>
      <c r="D1" s="2"/>
      <c r="E1" s="2"/>
      <c r="F1" s="2"/>
      <c r="G1" s="2"/>
      <c r="H1" s="2"/>
    </row>
    <row r="2" ht="15.0" customHeight="1"/>
    <row r="3" ht="19.5" customHeight="1">
      <c r="B3" s="1055" t="s">
        <v>3152</v>
      </c>
      <c r="C3" s="2"/>
      <c r="D3" s="2"/>
      <c r="E3" s="2"/>
      <c r="F3" s="2"/>
      <c r="G3" s="2"/>
      <c r="H3" s="2"/>
    </row>
    <row r="4" ht="15.0" customHeight="1">
      <c r="B4" s="30" t="s">
        <v>1205</v>
      </c>
      <c r="C4" s="30" t="s">
        <v>1206</v>
      </c>
      <c r="D4" s="30" t="s">
        <v>250</v>
      </c>
      <c r="E4" s="30" t="s">
        <v>1324</v>
      </c>
      <c r="F4" s="30" t="s">
        <v>3153</v>
      </c>
      <c r="G4" s="30" t="s">
        <v>3154</v>
      </c>
      <c r="H4" s="30" t="s">
        <v>588</v>
      </c>
    </row>
    <row r="5" ht="15.0" customHeight="1">
      <c r="B5" s="1085" t="s">
        <v>3155</v>
      </c>
      <c r="C5" s="2"/>
      <c r="D5" s="2"/>
      <c r="E5" s="2"/>
      <c r="F5" s="2"/>
      <c r="G5" s="2"/>
      <c r="H5" s="2"/>
      <c r="I5" s="2"/>
    </row>
    <row r="6" ht="19.5" customHeight="1">
      <c r="B6" s="1326" t="s">
        <v>1205</v>
      </c>
      <c r="C6" s="1327" t="s">
        <v>1206</v>
      </c>
      <c r="D6" s="1327" t="s">
        <v>250</v>
      </c>
      <c r="E6" s="1327" t="s">
        <v>270</v>
      </c>
      <c r="F6" s="1327" t="s">
        <v>1324</v>
      </c>
      <c r="G6" s="1327" t="s">
        <v>1207</v>
      </c>
      <c r="H6" s="1328" t="s">
        <v>3154</v>
      </c>
      <c r="I6" s="1329" t="s">
        <v>588</v>
      </c>
    </row>
    <row r="7" ht="18.0" customHeight="1">
      <c r="B7" s="1330" t="s">
        <v>3156</v>
      </c>
      <c r="C7" s="344"/>
      <c r="D7" s="344"/>
      <c r="E7" s="344"/>
      <c r="F7" s="344"/>
      <c r="G7" s="344"/>
      <c r="H7" s="344"/>
      <c r="I7" s="345"/>
      <c r="J7" s="1331"/>
    </row>
    <row r="8" ht="18.0" customHeight="1">
      <c r="B8" s="1332" t="s">
        <v>1213</v>
      </c>
      <c r="C8" s="1333" t="s">
        <v>1240</v>
      </c>
      <c r="D8" s="1334" t="s">
        <v>19</v>
      </c>
      <c r="E8" s="1334" t="s">
        <v>1445</v>
      </c>
      <c r="F8" s="1335" t="s">
        <v>1331</v>
      </c>
      <c r="G8" s="1335" t="s">
        <v>1330</v>
      </c>
      <c r="H8" s="1335" t="s">
        <v>3157</v>
      </c>
      <c r="I8" s="1336" t="s">
        <v>3158</v>
      </c>
      <c r="J8" s="1337"/>
    </row>
    <row r="9" ht="18.0" customHeight="1">
      <c r="B9" s="1338" t="s">
        <v>1213</v>
      </c>
      <c r="C9" s="1339" t="s">
        <v>1233</v>
      </c>
      <c r="D9" s="1340" t="s">
        <v>19</v>
      </c>
      <c r="E9" s="1340" t="s">
        <v>1445</v>
      </c>
      <c r="F9" s="1341" t="s">
        <v>1335</v>
      </c>
      <c r="G9" s="1341" t="s">
        <v>1334</v>
      </c>
      <c r="H9" s="1341" t="s">
        <v>3159</v>
      </c>
      <c r="I9" s="1342" t="s">
        <v>3160</v>
      </c>
      <c r="J9" s="1331"/>
    </row>
    <row r="10" ht="18.0" customHeight="1">
      <c r="B10" s="1332" t="s">
        <v>1213</v>
      </c>
      <c r="C10" s="1333" t="s">
        <v>536</v>
      </c>
      <c r="D10" s="1334" t="s">
        <v>19</v>
      </c>
      <c r="E10" s="1334" t="s">
        <v>1434</v>
      </c>
      <c r="F10" s="1335" t="s">
        <v>1338</v>
      </c>
      <c r="G10" s="1335" t="s">
        <v>1337</v>
      </c>
      <c r="H10" s="1335" t="s">
        <v>3161</v>
      </c>
      <c r="I10" s="1336" t="s">
        <v>3162</v>
      </c>
      <c r="J10" s="1337"/>
    </row>
    <row r="11" ht="18.0" customHeight="1">
      <c r="B11" s="1338" t="s">
        <v>1213</v>
      </c>
      <c r="C11" s="1339" t="s">
        <v>1219</v>
      </c>
      <c r="D11" s="1340" t="s">
        <v>19</v>
      </c>
      <c r="E11" s="1340" t="s">
        <v>1434</v>
      </c>
      <c r="F11" s="1341" t="s">
        <v>1341</v>
      </c>
      <c r="G11" s="1341" t="s">
        <v>1340</v>
      </c>
      <c r="H11" s="1341" t="s">
        <v>3163</v>
      </c>
      <c r="I11" s="1342" t="s">
        <v>3164</v>
      </c>
      <c r="J11" s="1331"/>
    </row>
    <row r="12" ht="18.0" customHeight="1">
      <c r="B12" s="1332" t="s">
        <v>1213</v>
      </c>
      <c r="C12" s="1333" t="s">
        <v>1223</v>
      </c>
      <c r="D12" s="1334" t="s">
        <v>19</v>
      </c>
      <c r="E12" s="1334" t="s">
        <v>1434</v>
      </c>
      <c r="F12" s="1335" t="s">
        <v>1345</v>
      </c>
      <c r="G12" s="1335" t="s">
        <v>1344</v>
      </c>
      <c r="H12" s="1335" t="s">
        <v>3165</v>
      </c>
      <c r="I12" s="1336" t="s">
        <v>3166</v>
      </c>
      <c r="J12" s="1337"/>
    </row>
    <row r="13" ht="18.0" customHeight="1">
      <c r="B13" s="1338" t="s">
        <v>1213</v>
      </c>
      <c r="C13" s="1339" t="s">
        <v>1223</v>
      </c>
      <c r="D13" s="1340" t="s">
        <v>19</v>
      </c>
      <c r="E13" s="1340" t="s">
        <v>1434</v>
      </c>
      <c r="F13" s="1341" t="s">
        <v>1345</v>
      </c>
      <c r="G13" s="1341" t="s">
        <v>1348</v>
      </c>
      <c r="H13" s="1341" t="s">
        <v>3167</v>
      </c>
      <c r="I13" s="1342" t="s">
        <v>3168</v>
      </c>
      <c r="J13" s="1331"/>
    </row>
    <row r="14" ht="18.0" customHeight="1">
      <c r="B14" s="1332" t="s">
        <v>1213</v>
      </c>
      <c r="C14" s="1333" t="s">
        <v>536</v>
      </c>
      <c r="D14" s="1334" t="s">
        <v>19</v>
      </c>
      <c r="E14" s="1334" t="s">
        <v>1434</v>
      </c>
      <c r="F14" s="1335" t="s">
        <v>1341</v>
      </c>
      <c r="G14" s="1335" t="s">
        <v>1352</v>
      </c>
      <c r="H14" s="1335" t="s">
        <v>3169</v>
      </c>
      <c r="I14" s="1336" t="s">
        <v>3170</v>
      </c>
      <c r="J14" s="1337"/>
    </row>
    <row r="15" ht="18.0" customHeight="1">
      <c r="B15" s="1338" t="s">
        <v>1213</v>
      </c>
      <c r="C15" s="1339" t="s">
        <v>1219</v>
      </c>
      <c r="D15" s="1340" t="s">
        <v>19</v>
      </c>
      <c r="E15" s="1340" t="s">
        <v>1434</v>
      </c>
      <c r="F15" s="1341" t="s">
        <v>1358</v>
      </c>
      <c r="G15" s="1341" t="s">
        <v>1357</v>
      </c>
      <c r="H15" s="1341" t="s">
        <v>3171</v>
      </c>
      <c r="I15" s="1342" t="s">
        <v>3172</v>
      </c>
      <c r="J15" s="1331"/>
    </row>
    <row r="16" ht="18.0" customHeight="1">
      <c r="B16" s="1343" t="s">
        <v>3173</v>
      </c>
      <c r="C16" s="344"/>
      <c r="D16" s="344"/>
      <c r="E16" s="344"/>
      <c r="F16" s="344"/>
      <c r="G16" s="344"/>
      <c r="H16" s="344"/>
      <c r="I16" s="345"/>
      <c r="J16" s="1337"/>
    </row>
    <row r="17" ht="18.0" customHeight="1">
      <c r="B17" s="1338" t="s">
        <v>1252</v>
      </c>
      <c r="C17" s="1339" t="s">
        <v>2196</v>
      </c>
      <c r="D17" s="1340" t="s">
        <v>25</v>
      </c>
      <c r="E17" s="1340" t="s">
        <v>1445</v>
      </c>
      <c r="F17" s="1341" t="s">
        <v>3174</v>
      </c>
      <c r="G17" s="1341" t="s">
        <v>3175</v>
      </c>
      <c r="H17" s="1341" t="s">
        <v>3176</v>
      </c>
      <c r="I17" s="1342" t="s">
        <v>3177</v>
      </c>
      <c r="J17" s="1331"/>
    </row>
    <row r="18" ht="18.0" customHeight="1">
      <c r="B18" s="1332" t="s">
        <v>1252</v>
      </c>
      <c r="C18" s="1333" t="s">
        <v>2221</v>
      </c>
      <c r="D18" s="1334" t="s">
        <v>25</v>
      </c>
      <c r="E18" s="1334" t="s">
        <v>1445</v>
      </c>
      <c r="F18" s="1335" t="s">
        <v>3174</v>
      </c>
      <c r="G18" s="1335" t="s">
        <v>3178</v>
      </c>
      <c r="H18" s="1335" t="s">
        <v>3179</v>
      </c>
      <c r="I18" s="1336" t="s">
        <v>3177</v>
      </c>
      <c r="J18" s="1337"/>
    </row>
    <row r="19" ht="18.0" customHeight="1">
      <c r="B19" s="1338" t="s">
        <v>1252</v>
      </c>
      <c r="C19" s="1339" t="s">
        <v>2222</v>
      </c>
      <c r="D19" s="1340" t="s">
        <v>25</v>
      </c>
      <c r="E19" s="1340" t="s">
        <v>1445</v>
      </c>
      <c r="F19" s="1341" t="s">
        <v>3174</v>
      </c>
      <c r="G19" s="1341" t="s">
        <v>3180</v>
      </c>
      <c r="H19" s="1341" t="s">
        <v>3181</v>
      </c>
      <c r="I19" s="1342" t="s">
        <v>3177</v>
      </c>
      <c r="J19" s="1331"/>
    </row>
    <row r="20" ht="18.0" customHeight="1">
      <c r="B20" s="1332" t="s">
        <v>1252</v>
      </c>
      <c r="C20" s="1333" t="s">
        <v>548</v>
      </c>
      <c r="D20" s="1334" t="s">
        <v>25</v>
      </c>
      <c r="E20" s="1334" t="s">
        <v>1434</v>
      </c>
      <c r="F20" s="1335" t="s">
        <v>3182</v>
      </c>
      <c r="G20" s="1335" t="s">
        <v>1443</v>
      </c>
      <c r="H20" s="1335" t="s">
        <v>3183</v>
      </c>
      <c r="I20" s="1336" t="s">
        <v>3184</v>
      </c>
      <c r="J20" s="1337"/>
    </row>
    <row r="21" ht="18.0" customHeight="1">
      <c r="B21" s="1338" t="s">
        <v>1252</v>
      </c>
      <c r="C21" s="1339" t="s">
        <v>548</v>
      </c>
      <c r="D21" s="1340" t="s">
        <v>25</v>
      </c>
      <c r="E21" s="1340" t="s">
        <v>1434</v>
      </c>
      <c r="F21" s="1341" t="s">
        <v>3185</v>
      </c>
      <c r="G21" s="1341" t="s">
        <v>3186</v>
      </c>
      <c r="H21" s="1341" t="s">
        <v>3187</v>
      </c>
      <c r="I21" s="1342" t="s">
        <v>3188</v>
      </c>
      <c r="J21" s="1331"/>
    </row>
    <row r="22" ht="18.0" customHeight="1">
      <c r="B22" s="1343" t="s">
        <v>3189</v>
      </c>
      <c r="C22" s="344"/>
      <c r="D22" s="344"/>
      <c r="E22" s="344"/>
      <c r="F22" s="344"/>
      <c r="G22" s="344"/>
      <c r="H22" s="344"/>
      <c r="I22" s="345"/>
      <c r="J22" s="1337"/>
    </row>
    <row r="23" ht="18.0" customHeight="1">
      <c r="B23" s="1344" t="s">
        <v>1252</v>
      </c>
      <c r="C23" s="344"/>
      <c r="D23" s="344"/>
      <c r="E23" s="344"/>
      <c r="F23" s="344"/>
      <c r="G23" s="344"/>
      <c r="H23" s="345"/>
      <c r="I23" s="1342" t="s">
        <v>3190</v>
      </c>
      <c r="J23" s="1331"/>
    </row>
    <row r="24" ht="18.0" customHeight="1">
      <c r="B24" s="1332" t="s">
        <v>1252</v>
      </c>
      <c r="C24" s="1333" t="s">
        <v>3191</v>
      </c>
      <c r="D24" s="1334" t="s">
        <v>22</v>
      </c>
      <c r="E24" s="1334" t="s">
        <v>1445</v>
      </c>
      <c r="F24" s="1335" t="s">
        <v>3192</v>
      </c>
      <c r="G24" s="1335" t="s">
        <v>3193</v>
      </c>
      <c r="H24" s="1335" t="s">
        <v>3194</v>
      </c>
      <c r="I24" s="1336" t="s">
        <v>3195</v>
      </c>
      <c r="J24" s="1337"/>
    </row>
    <row r="25" ht="18.0" customHeight="1">
      <c r="B25" s="1344" t="s">
        <v>1252</v>
      </c>
      <c r="C25" s="345"/>
      <c r="D25" s="1340" t="s">
        <v>22</v>
      </c>
      <c r="E25" s="1340" t="s">
        <v>1445</v>
      </c>
      <c r="F25" s="1341" t="s">
        <v>3196</v>
      </c>
      <c r="G25" s="1341" t="s">
        <v>3197</v>
      </c>
      <c r="H25" s="1341" t="s">
        <v>3198</v>
      </c>
      <c r="I25" s="1342" t="s">
        <v>3199</v>
      </c>
      <c r="J25" s="1331"/>
    </row>
    <row r="26" ht="18.0" customHeight="1">
      <c r="B26" s="1345" t="s">
        <v>1252</v>
      </c>
      <c r="C26" s="345"/>
      <c r="D26" s="1334" t="s">
        <v>22</v>
      </c>
      <c r="E26" s="1334" t="s">
        <v>1445</v>
      </c>
      <c r="F26" s="1335" t="s">
        <v>3200</v>
      </c>
      <c r="G26" s="1335" t="s">
        <v>3201</v>
      </c>
      <c r="H26" s="1335" t="s">
        <v>3202</v>
      </c>
      <c r="I26" s="1336" t="s">
        <v>3203</v>
      </c>
      <c r="J26" s="1337"/>
    </row>
    <row r="27" ht="18.0" customHeight="1">
      <c r="B27" s="1344" t="s">
        <v>1252</v>
      </c>
      <c r="C27" s="345"/>
      <c r="D27" s="1340" t="s">
        <v>22</v>
      </c>
      <c r="E27" s="1340" t="s">
        <v>1445</v>
      </c>
      <c r="F27" s="1341" t="s">
        <v>3204</v>
      </c>
      <c r="G27" s="1341" t="s">
        <v>3205</v>
      </c>
      <c r="H27" s="1341" t="s">
        <v>3206</v>
      </c>
      <c r="I27" s="1342" t="s">
        <v>3207</v>
      </c>
      <c r="J27" s="1331"/>
    </row>
    <row r="28" ht="18.0" customHeight="1">
      <c r="B28" s="1332" t="s">
        <v>1252</v>
      </c>
      <c r="C28" s="1333" t="s">
        <v>3208</v>
      </c>
      <c r="D28" s="1334" t="s">
        <v>22</v>
      </c>
      <c r="E28" s="1334" t="s">
        <v>1445</v>
      </c>
      <c r="F28" s="1335" t="s">
        <v>3204</v>
      </c>
      <c r="G28" s="1335" t="s">
        <v>3209</v>
      </c>
      <c r="H28" s="1335" t="s">
        <v>3210</v>
      </c>
      <c r="I28" s="1336" t="s">
        <v>3211</v>
      </c>
      <c r="J28" s="1337"/>
    </row>
    <row r="29" ht="18.0" customHeight="1">
      <c r="B29" s="1344" t="s">
        <v>1252</v>
      </c>
      <c r="C29" s="344"/>
      <c r="D29" s="344"/>
      <c r="E29" s="344"/>
      <c r="F29" s="344"/>
      <c r="G29" s="344"/>
      <c r="H29" s="345"/>
      <c r="I29" s="1342" t="s">
        <v>3212</v>
      </c>
      <c r="J29" s="1331"/>
    </row>
    <row r="30" ht="18.0" customHeight="1">
      <c r="B30" s="1332" t="s">
        <v>1252</v>
      </c>
      <c r="C30" s="1346" t="s">
        <v>1247</v>
      </c>
      <c r="D30" s="345"/>
      <c r="E30" s="1334" t="s">
        <v>1434</v>
      </c>
      <c r="F30" s="1335" t="s">
        <v>3213</v>
      </c>
      <c r="G30" s="1335" t="s">
        <v>3214</v>
      </c>
      <c r="H30" s="1335" t="s">
        <v>3215</v>
      </c>
      <c r="I30" s="1336" t="s">
        <v>3216</v>
      </c>
      <c r="J30" s="1337"/>
    </row>
    <row r="31" ht="18.0" customHeight="1">
      <c r="B31" s="1338" t="s">
        <v>1252</v>
      </c>
      <c r="C31" s="1347" t="s">
        <v>1456</v>
      </c>
      <c r="D31" s="345"/>
      <c r="E31" s="1340" t="s">
        <v>1434</v>
      </c>
      <c r="F31" s="1341" t="s">
        <v>3196</v>
      </c>
      <c r="G31" s="1341" t="s">
        <v>3217</v>
      </c>
      <c r="H31" s="1341" t="s">
        <v>3218</v>
      </c>
      <c r="I31" s="1342" t="s">
        <v>3219</v>
      </c>
      <c r="J31" s="1331"/>
    </row>
    <row r="32" ht="18.0" customHeight="1">
      <c r="B32" s="1332" t="s">
        <v>1252</v>
      </c>
      <c r="C32" s="1346" t="s">
        <v>2173</v>
      </c>
      <c r="D32" s="345"/>
      <c r="E32" s="1334" t="s">
        <v>1434</v>
      </c>
      <c r="F32" s="1335" t="s">
        <v>3220</v>
      </c>
      <c r="G32" s="1335" t="s">
        <v>3221</v>
      </c>
      <c r="H32" s="1335" t="s">
        <v>3222</v>
      </c>
      <c r="I32" s="1336" t="s">
        <v>3223</v>
      </c>
      <c r="J32" s="1337"/>
    </row>
    <row r="33" ht="18.0" customHeight="1">
      <c r="B33" s="1338" t="s">
        <v>1252</v>
      </c>
      <c r="C33" s="1347" t="s">
        <v>2196</v>
      </c>
      <c r="D33" s="345"/>
      <c r="E33" s="1340" t="s">
        <v>1434</v>
      </c>
      <c r="F33" s="1341" t="s">
        <v>2662</v>
      </c>
      <c r="G33" s="1341" t="s">
        <v>3224</v>
      </c>
      <c r="H33" s="1341" t="s">
        <v>3225</v>
      </c>
      <c r="I33" s="1342" t="s">
        <v>3226</v>
      </c>
      <c r="J33" s="1331"/>
    </row>
    <row r="34" ht="18.0" customHeight="1">
      <c r="B34" s="1343" t="s">
        <v>3227</v>
      </c>
      <c r="C34" s="344"/>
      <c r="D34" s="344"/>
      <c r="E34" s="344"/>
      <c r="F34" s="344"/>
      <c r="G34" s="344"/>
      <c r="H34" s="344"/>
      <c r="I34" s="345"/>
      <c r="J34" s="1337"/>
    </row>
    <row r="35" ht="18.0" customHeight="1">
      <c r="B35" s="1338" t="s">
        <v>1252</v>
      </c>
      <c r="C35" s="1347" t="s">
        <v>3228</v>
      </c>
      <c r="D35" s="345"/>
      <c r="E35" s="1340" t="s">
        <v>1445</v>
      </c>
      <c r="F35" s="1341" t="s">
        <v>3229</v>
      </c>
      <c r="G35" s="1341" t="s">
        <v>3230</v>
      </c>
      <c r="H35" s="1341" t="s">
        <v>3231</v>
      </c>
      <c r="I35" s="1342" t="s">
        <v>3232</v>
      </c>
      <c r="J35" s="1331"/>
    </row>
    <row r="36" ht="18.0" customHeight="1">
      <c r="B36" s="1332" t="s">
        <v>1252</v>
      </c>
      <c r="C36" s="1346" t="s">
        <v>3191</v>
      </c>
      <c r="D36" s="345"/>
      <c r="E36" s="1334" t="s">
        <v>1445</v>
      </c>
      <c r="F36" s="1335" t="s">
        <v>3233</v>
      </c>
      <c r="G36" s="1335" t="s">
        <v>3234</v>
      </c>
      <c r="H36" s="1335" t="s">
        <v>3235</v>
      </c>
      <c r="I36" s="1336" t="s">
        <v>3236</v>
      </c>
      <c r="J36" s="1337"/>
    </row>
    <row r="37" ht="18.0" customHeight="1">
      <c r="B37" s="1338" t="s">
        <v>1252</v>
      </c>
      <c r="C37" s="1339" t="s">
        <v>3237</v>
      </c>
      <c r="D37" s="1340" t="s">
        <v>19</v>
      </c>
      <c r="E37" s="1340" t="s">
        <v>1445</v>
      </c>
      <c r="F37" s="1341" t="s">
        <v>3238</v>
      </c>
      <c r="G37" s="1341" t="s">
        <v>3239</v>
      </c>
      <c r="H37" s="1341" t="s">
        <v>3240</v>
      </c>
      <c r="I37" s="1342" t="s">
        <v>3241</v>
      </c>
      <c r="J37" s="1331"/>
    </row>
    <row r="38" ht="18.0" customHeight="1">
      <c r="B38" s="1332" t="s">
        <v>1252</v>
      </c>
      <c r="C38" s="1333" t="s">
        <v>3242</v>
      </c>
      <c r="D38" s="1334" t="s">
        <v>19</v>
      </c>
      <c r="E38" s="1334" t="s">
        <v>1445</v>
      </c>
      <c r="F38" s="1335" t="s">
        <v>3243</v>
      </c>
      <c r="G38" s="1335" t="s">
        <v>3244</v>
      </c>
      <c r="H38" s="1335" t="s">
        <v>3245</v>
      </c>
      <c r="I38" s="1336" t="s">
        <v>3246</v>
      </c>
      <c r="J38" s="1337"/>
    </row>
    <row r="39" ht="18.0" customHeight="1">
      <c r="B39" s="1338" t="s">
        <v>1252</v>
      </c>
      <c r="C39" s="1339" t="s">
        <v>3242</v>
      </c>
      <c r="D39" s="1340" t="s">
        <v>19</v>
      </c>
      <c r="E39" s="1340" t="s">
        <v>1445</v>
      </c>
      <c r="F39" s="1341" t="s">
        <v>3243</v>
      </c>
      <c r="G39" s="1341" t="s">
        <v>3247</v>
      </c>
      <c r="H39" s="1341" t="s">
        <v>3248</v>
      </c>
      <c r="I39" s="1342" t="s">
        <v>3249</v>
      </c>
      <c r="J39" s="1331"/>
    </row>
    <row r="40" ht="18.0" customHeight="1">
      <c r="B40" s="1332" t="s">
        <v>1252</v>
      </c>
      <c r="C40" s="1333" t="s">
        <v>3250</v>
      </c>
      <c r="D40" s="1334" t="s">
        <v>19</v>
      </c>
      <c r="E40" s="1334" t="s">
        <v>1445</v>
      </c>
      <c r="F40" s="1335" t="s">
        <v>3204</v>
      </c>
      <c r="G40" s="1335" t="s">
        <v>3251</v>
      </c>
      <c r="H40" s="1335" t="s">
        <v>3252</v>
      </c>
      <c r="I40" s="1336" t="s">
        <v>3253</v>
      </c>
      <c r="J40" s="1337"/>
    </row>
    <row r="41" ht="18.0" customHeight="1">
      <c r="B41" s="1338" t="s">
        <v>1252</v>
      </c>
      <c r="C41" s="1339" t="s">
        <v>3254</v>
      </c>
      <c r="D41" s="1340" t="s">
        <v>19</v>
      </c>
      <c r="E41" s="1340" t="s">
        <v>1445</v>
      </c>
      <c r="F41" s="1341" t="s">
        <v>3213</v>
      </c>
      <c r="G41" s="1341" t="s">
        <v>3255</v>
      </c>
      <c r="H41" s="1341" t="s">
        <v>3256</v>
      </c>
      <c r="I41" s="1342" t="s">
        <v>3257</v>
      </c>
      <c r="J41" s="1331"/>
    </row>
    <row r="42" ht="18.0" customHeight="1">
      <c r="B42" s="1332" t="s">
        <v>1252</v>
      </c>
      <c r="C42" s="1333" t="s">
        <v>3258</v>
      </c>
      <c r="D42" s="1334" t="s">
        <v>19</v>
      </c>
      <c r="E42" s="1334" t="s">
        <v>1445</v>
      </c>
      <c r="F42" s="1335" t="s">
        <v>3192</v>
      </c>
      <c r="G42" s="1335" t="s">
        <v>3259</v>
      </c>
      <c r="H42" s="1335" t="s">
        <v>3260</v>
      </c>
      <c r="I42" s="1336" t="s">
        <v>3261</v>
      </c>
      <c r="J42" s="1337"/>
    </row>
    <row r="43" ht="18.0" customHeight="1">
      <c r="B43" s="1338" t="s">
        <v>1252</v>
      </c>
      <c r="C43" s="1339" t="s">
        <v>3262</v>
      </c>
      <c r="D43" s="1340" t="s">
        <v>19</v>
      </c>
      <c r="E43" s="1340" t="s">
        <v>1445</v>
      </c>
      <c r="F43" s="1341" t="s">
        <v>3263</v>
      </c>
      <c r="G43" s="1341" t="s">
        <v>3264</v>
      </c>
      <c r="H43" s="1341" t="s">
        <v>3265</v>
      </c>
      <c r="I43" s="1342" t="s">
        <v>3266</v>
      </c>
      <c r="J43" s="1331"/>
    </row>
    <row r="44" ht="18.0" customHeight="1">
      <c r="B44" s="1332" t="s">
        <v>1252</v>
      </c>
      <c r="C44" s="1333" t="s">
        <v>2222</v>
      </c>
      <c r="D44" s="1334" t="s">
        <v>19</v>
      </c>
      <c r="E44" s="1334" t="s">
        <v>1445</v>
      </c>
      <c r="F44" s="1335" t="s">
        <v>2662</v>
      </c>
      <c r="G44" s="1335" t="s">
        <v>3197</v>
      </c>
      <c r="H44" s="1335" t="s">
        <v>3267</v>
      </c>
      <c r="I44" s="1336" t="s">
        <v>3268</v>
      </c>
      <c r="J44" s="1337"/>
    </row>
    <row r="45" ht="18.0" customHeight="1">
      <c r="B45" s="1338" t="s">
        <v>1252</v>
      </c>
      <c r="C45" s="1339" t="s">
        <v>3269</v>
      </c>
      <c r="D45" s="1340" t="s">
        <v>19</v>
      </c>
      <c r="E45" s="1340" t="s">
        <v>1445</v>
      </c>
      <c r="F45" s="1341" t="s">
        <v>3270</v>
      </c>
      <c r="G45" s="1341" t="s">
        <v>3271</v>
      </c>
      <c r="H45" s="1341" t="s">
        <v>3272</v>
      </c>
      <c r="I45" s="1342" t="s">
        <v>3273</v>
      </c>
      <c r="J45" s="1331"/>
    </row>
    <row r="46" ht="18.0" customHeight="1">
      <c r="B46" s="1332" t="s">
        <v>1252</v>
      </c>
      <c r="C46" s="1333" t="s">
        <v>3208</v>
      </c>
      <c r="D46" s="1334" t="s">
        <v>19</v>
      </c>
      <c r="E46" s="1334" t="s">
        <v>1445</v>
      </c>
      <c r="F46" s="1335" t="s">
        <v>3270</v>
      </c>
      <c r="G46" s="1335" t="s">
        <v>3274</v>
      </c>
      <c r="H46" s="1335" t="s">
        <v>3275</v>
      </c>
      <c r="I46" s="1336" t="s">
        <v>3276</v>
      </c>
      <c r="J46" s="1337"/>
    </row>
    <row r="47" ht="18.0" customHeight="1">
      <c r="B47" s="1338" t="s">
        <v>1252</v>
      </c>
      <c r="C47" s="1339" t="s">
        <v>2221</v>
      </c>
      <c r="D47" s="1340" t="s">
        <v>19</v>
      </c>
      <c r="E47" s="1340" t="s">
        <v>1445</v>
      </c>
      <c r="F47" s="1341" t="s">
        <v>3277</v>
      </c>
      <c r="G47" s="1341" t="s">
        <v>3278</v>
      </c>
      <c r="H47" s="1341" t="s">
        <v>3279</v>
      </c>
      <c r="I47" s="1342" t="s">
        <v>3280</v>
      </c>
      <c r="J47" s="1331"/>
    </row>
    <row r="48" ht="18.0" customHeight="1">
      <c r="B48" s="1332" t="s">
        <v>1252</v>
      </c>
      <c r="C48" s="1333" t="s">
        <v>3281</v>
      </c>
      <c r="D48" s="1334" t="s">
        <v>19</v>
      </c>
      <c r="E48" s="1334" t="s">
        <v>1445</v>
      </c>
      <c r="F48" s="1335" t="s">
        <v>3282</v>
      </c>
      <c r="G48" s="1335" t="s">
        <v>3283</v>
      </c>
      <c r="H48" s="1335" t="s">
        <v>3284</v>
      </c>
      <c r="I48" s="1336" t="s">
        <v>3285</v>
      </c>
      <c r="J48" s="1337"/>
    </row>
    <row r="49" ht="18.0" customHeight="1">
      <c r="B49" s="1338" t="s">
        <v>1252</v>
      </c>
      <c r="C49" s="1339" t="s">
        <v>3286</v>
      </c>
      <c r="D49" s="1340" t="s">
        <v>19</v>
      </c>
      <c r="E49" s="1340" t="s">
        <v>1445</v>
      </c>
      <c r="F49" s="1341" t="s">
        <v>3233</v>
      </c>
      <c r="G49" s="1341" t="s">
        <v>3287</v>
      </c>
      <c r="H49" s="1341" t="s">
        <v>3288</v>
      </c>
      <c r="I49" s="1342" t="s">
        <v>3289</v>
      </c>
      <c r="J49" s="1331"/>
    </row>
    <row r="50" ht="18.0" customHeight="1">
      <c r="B50" s="1348" t="s">
        <v>1252</v>
      </c>
      <c r="C50" s="1349" t="s">
        <v>3290</v>
      </c>
      <c r="D50" s="1350" t="s">
        <v>19</v>
      </c>
      <c r="E50" s="1350" t="s">
        <v>1445</v>
      </c>
      <c r="F50" s="1351" t="s">
        <v>3291</v>
      </c>
      <c r="G50" s="1351" t="s">
        <v>3292</v>
      </c>
      <c r="H50" s="1351" t="s">
        <v>3293</v>
      </c>
      <c r="I50" s="1352" t="s">
        <v>3294</v>
      </c>
      <c r="J50" s="1337"/>
    </row>
    <row r="51" ht="18.0" customHeight="1">
      <c r="B51" s="1353" t="s">
        <v>3295</v>
      </c>
      <c r="C51" s="2"/>
      <c r="D51" s="2"/>
      <c r="E51" s="2"/>
      <c r="F51" s="2"/>
      <c r="G51" s="2"/>
      <c r="H51" s="2"/>
      <c r="I51" s="2"/>
      <c r="J51" s="1331"/>
    </row>
    <row r="52" ht="18.0" customHeight="1">
      <c r="B52" s="1354" t="s">
        <v>1252</v>
      </c>
      <c r="C52" s="1355" t="s">
        <v>536</v>
      </c>
      <c r="D52" s="1354" t="s">
        <v>19</v>
      </c>
      <c r="E52" s="1354" t="s">
        <v>1434</v>
      </c>
      <c r="F52" s="1356" t="s">
        <v>3296</v>
      </c>
      <c r="G52" s="1356" t="s">
        <v>3297</v>
      </c>
      <c r="H52" s="1356" t="s">
        <v>3298</v>
      </c>
      <c r="I52" s="1356" t="s">
        <v>3299</v>
      </c>
      <c r="J52" s="1337"/>
    </row>
    <row r="53" ht="18.0" customHeight="1">
      <c r="B53" s="1357" t="s">
        <v>1252</v>
      </c>
      <c r="C53" s="1358" t="s">
        <v>1223</v>
      </c>
      <c r="D53" s="1357" t="s">
        <v>19</v>
      </c>
      <c r="E53" s="1357" t="s">
        <v>1434</v>
      </c>
      <c r="F53" s="1359" t="s">
        <v>3300</v>
      </c>
      <c r="G53" s="1359" t="s">
        <v>3301</v>
      </c>
      <c r="H53" s="1359" t="s">
        <v>3302</v>
      </c>
      <c r="I53" s="1359" t="s">
        <v>3303</v>
      </c>
      <c r="J53" s="1331"/>
    </row>
    <row r="54" ht="18.0" customHeight="1">
      <c r="B54" s="1354" t="s">
        <v>1252</v>
      </c>
      <c r="C54" s="1355" t="s">
        <v>2161</v>
      </c>
      <c r="D54" s="1354" t="s">
        <v>19</v>
      </c>
      <c r="E54" s="1354" t="s">
        <v>1434</v>
      </c>
      <c r="F54" s="1356" t="s">
        <v>1341</v>
      </c>
      <c r="G54" s="1356" t="s">
        <v>3304</v>
      </c>
      <c r="H54" s="1356" t="s">
        <v>3305</v>
      </c>
      <c r="I54" s="1356" t="s">
        <v>3306</v>
      </c>
      <c r="J54" s="1337"/>
    </row>
    <row r="55" ht="18.0" customHeight="1">
      <c r="B55" s="1357" t="s">
        <v>1252</v>
      </c>
      <c r="C55" s="1358" t="s">
        <v>1219</v>
      </c>
      <c r="D55" s="1357" t="s">
        <v>19</v>
      </c>
      <c r="E55" s="1357" t="s">
        <v>1434</v>
      </c>
      <c r="F55" s="1359" t="s">
        <v>3307</v>
      </c>
      <c r="G55" s="1359" t="s">
        <v>3308</v>
      </c>
      <c r="H55" s="1359" t="s">
        <v>3309</v>
      </c>
      <c r="I55" s="1359" t="s">
        <v>3310</v>
      </c>
      <c r="J55" s="1331"/>
    </row>
    <row r="56" ht="18.0" customHeight="1">
      <c r="B56" s="1354" t="s">
        <v>1252</v>
      </c>
      <c r="C56" s="1355" t="s">
        <v>1223</v>
      </c>
      <c r="D56" s="1354" t="s">
        <v>19</v>
      </c>
      <c r="E56" s="1354" t="s">
        <v>1434</v>
      </c>
      <c r="F56" s="1356" t="s">
        <v>3311</v>
      </c>
      <c r="G56" s="1356" t="s">
        <v>3312</v>
      </c>
      <c r="H56" s="1356" t="s">
        <v>3313</v>
      </c>
      <c r="I56" s="1356" t="s">
        <v>3314</v>
      </c>
      <c r="J56" s="1337"/>
    </row>
    <row r="57" ht="18.0" customHeight="1">
      <c r="B57" s="1357" t="s">
        <v>1252</v>
      </c>
      <c r="C57" s="1358" t="s">
        <v>536</v>
      </c>
      <c r="D57" s="1357" t="s">
        <v>19</v>
      </c>
      <c r="E57" s="1357" t="s">
        <v>1434</v>
      </c>
      <c r="F57" s="1359" t="s">
        <v>3315</v>
      </c>
      <c r="G57" s="1359" t="s">
        <v>3316</v>
      </c>
      <c r="H57" s="1359" t="s">
        <v>3317</v>
      </c>
      <c r="I57" s="1359" t="s">
        <v>3318</v>
      </c>
      <c r="J57" s="1331"/>
    </row>
    <row r="58" ht="18.0" customHeight="1">
      <c r="B58" s="1354" t="s">
        <v>1252</v>
      </c>
      <c r="C58" s="1355" t="s">
        <v>2171</v>
      </c>
      <c r="D58" s="1354" t="s">
        <v>19</v>
      </c>
      <c r="E58" s="1354" t="s">
        <v>1434</v>
      </c>
      <c r="F58" s="1356" t="s">
        <v>3319</v>
      </c>
      <c r="G58" s="1356" t="s">
        <v>3320</v>
      </c>
      <c r="H58" s="1356" t="s">
        <v>3321</v>
      </c>
      <c r="I58" s="1356" t="s">
        <v>3322</v>
      </c>
      <c r="J58" s="1337"/>
    </row>
    <row r="59" ht="18.0" customHeight="1">
      <c r="B59" s="1357" t="s">
        <v>1252</v>
      </c>
      <c r="C59" s="1358" t="s">
        <v>1247</v>
      </c>
      <c r="D59" s="1357" t="s">
        <v>19</v>
      </c>
      <c r="E59" s="1357" t="s">
        <v>1434</v>
      </c>
      <c r="F59" s="1359" t="s">
        <v>3263</v>
      </c>
      <c r="G59" s="1359" t="s">
        <v>3323</v>
      </c>
      <c r="H59" s="1359" t="s">
        <v>3324</v>
      </c>
      <c r="I59" s="1359" t="s">
        <v>3325</v>
      </c>
      <c r="J59" s="1331"/>
    </row>
    <row r="60" ht="18.0" customHeight="1">
      <c r="B60" s="1354" t="s">
        <v>1252</v>
      </c>
      <c r="C60" s="1355" t="s">
        <v>2196</v>
      </c>
      <c r="D60" s="1354" t="s">
        <v>19</v>
      </c>
      <c r="E60" s="1354" t="s">
        <v>1434</v>
      </c>
      <c r="F60" s="1356" t="s">
        <v>3192</v>
      </c>
      <c r="G60" s="1356" t="s">
        <v>3326</v>
      </c>
      <c r="H60" s="1356" t="s">
        <v>3327</v>
      </c>
      <c r="I60" s="1356" t="s">
        <v>3328</v>
      </c>
      <c r="J60" s="1337"/>
    </row>
    <row r="61" ht="18.0" customHeight="1">
      <c r="B61" s="1357" t="s">
        <v>1252</v>
      </c>
      <c r="C61" s="1358" t="s">
        <v>1456</v>
      </c>
      <c r="D61" s="1357" t="s">
        <v>19</v>
      </c>
      <c r="E61" s="1357" t="s">
        <v>1434</v>
      </c>
      <c r="F61" s="1359" t="s">
        <v>3329</v>
      </c>
      <c r="G61" s="1359" t="s">
        <v>3330</v>
      </c>
      <c r="H61" s="1359" t="s">
        <v>3331</v>
      </c>
      <c r="I61" s="1359" t="s">
        <v>3332</v>
      </c>
      <c r="J61" s="1331"/>
    </row>
    <row r="62" ht="18.0" customHeight="1">
      <c r="B62" s="1354" t="s">
        <v>1252</v>
      </c>
      <c r="C62" s="1355" t="s">
        <v>2173</v>
      </c>
      <c r="D62" s="1354" t="s">
        <v>19</v>
      </c>
      <c r="E62" s="1354" t="s">
        <v>1434</v>
      </c>
      <c r="F62" s="1356" t="s">
        <v>3333</v>
      </c>
      <c r="G62" s="1356" t="s">
        <v>3334</v>
      </c>
      <c r="H62" s="1356" t="s">
        <v>3335</v>
      </c>
      <c r="I62" s="1356" t="s">
        <v>3336</v>
      </c>
      <c r="J62" s="1337"/>
    </row>
    <row r="63" ht="18.0" customHeight="1">
      <c r="B63" s="1357" t="s">
        <v>1252</v>
      </c>
      <c r="C63" s="1358" t="s">
        <v>2178</v>
      </c>
      <c r="D63" s="1357" t="s">
        <v>19</v>
      </c>
      <c r="E63" s="1357" t="s">
        <v>1434</v>
      </c>
      <c r="F63" s="1359" t="s">
        <v>3337</v>
      </c>
      <c r="G63" s="1359" t="s">
        <v>3338</v>
      </c>
      <c r="H63" s="1359" t="s">
        <v>3339</v>
      </c>
      <c r="I63" s="1359" t="s">
        <v>3340</v>
      </c>
      <c r="J63" s="1331"/>
    </row>
    <row r="64" ht="18.0" customHeight="1">
      <c r="B64" s="1354" t="s">
        <v>1252</v>
      </c>
      <c r="C64" s="1355" t="s">
        <v>536</v>
      </c>
      <c r="D64" s="1354" t="s">
        <v>19</v>
      </c>
      <c r="E64" s="1354" t="s">
        <v>1434</v>
      </c>
      <c r="F64" s="1356" t="s">
        <v>3341</v>
      </c>
      <c r="G64" s="1356" t="s">
        <v>3342</v>
      </c>
      <c r="H64" s="1356" t="s">
        <v>3343</v>
      </c>
      <c r="I64" s="1356" t="s">
        <v>3344</v>
      </c>
      <c r="J64" s="1337"/>
    </row>
    <row r="65" ht="18.0" customHeight="1">
      <c r="B65" s="1357" t="s">
        <v>1252</v>
      </c>
      <c r="C65" s="1358" t="s">
        <v>1223</v>
      </c>
      <c r="D65" s="1357" t="s">
        <v>19</v>
      </c>
      <c r="E65" s="1357" t="s">
        <v>1434</v>
      </c>
      <c r="F65" s="1359" t="s">
        <v>3345</v>
      </c>
      <c r="G65" s="1359" t="s">
        <v>3346</v>
      </c>
      <c r="H65" s="1359" t="s">
        <v>3347</v>
      </c>
      <c r="I65" s="1359" t="s">
        <v>3348</v>
      </c>
      <c r="J65" s="1331"/>
    </row>
    <row r="66" ht="18.0" customHeight="1">
      <c r="B66" s="1360" t="s">
        <v>3349</v>
      </c>
      <c r="C66" s="2"/>
      <c r="D66" s="2"/>
      <c r="E66" s="2"/>
      <c r="F66" s="2"/>
      <c r="G66" s="2"/>
      <c r="H66" s="2"/>
      <c r="I66" s="2"/>
      <c r="J66" s="1337"/>
    </row>
    <row r="67" ht="18.0" customHeight="1">
      <c r="B67" s="1357" t="s">
        <v>1277</v>
      </c>
      <c r="C67" s="1358" t="s">
        <v>1278</v>
      </c>
      <c r="D67" s="1357" t="s">
        <v>19</v>
      </c>
      <c r="E67" s="1357" t="s">
        <v>1434</v>
      </c>
      <c r="F67" s="1359" t="s">
        <v>3350</v>
      </c>
      <c r="G67" s="1359" t="s">
        <v>1280</v>
      </c>
      <c r="H67" s="1359" t="s">
        <v>3351</v>
      </c>
      <c r="I67" s="1359" t="s">
        <v>3352</v>
      </c>
      <c r="J67" s="1331"/>
    </row>
    <row r="68" ht="18.0" customHeight="1">
      <c r="B68" s="1360" t="s">
        <v>3353</v>
      </c>
      <c r="C68" s="2"/>
      <c r="D68" s="2"/>
      <c r="E68" s="2"/>
      <c r="F68" s="2"/>
      <c r="G68" s="2"/>
      <c r="H68" s="2"/>
      <c r="I68" s="2"/>
      <c r="J68" s="1337"/>
    </row>
    <row r="69" ht="18.0" customHeight="1">
      <c r="B69" s="1357" t="s">
        <v>1283</v>
      </c>
      <c r="C69" s="1358" t="s">
        <v>1284</v>
      </c>
      <c r="D69" s="1357" t="s">
        <v>19</v>
      </c>
      <c r="E69" s="1357" t="s">
        <v>1434</v>
      </c>
      <c r="F69" s="1359" t="s">
        <v>3354</v>
      </c>
      <c r="G69" s="1359" t="s">
        <v>1286</v>
      </c>
      <c r="H69" s="1359" t="s">
        <v>3355</v>
      </c>
      <c r="I69" s="1359" t="s">
        <v>3356</v>
      </c>
      <c r="J69" s="1331"/>
    </row>
    <row r="70" ht="18.0" customHeight="1">
      <c r="B70" s="1354" t="s">
        <v>1283</v>
      </c>
      <c r="C70" s="1355" t="s">
        <v>1977</v>
      </c>
      <c r="D70" s="1354" t="s">
        <v>19</v>
      </c>
      <c r="E70" s="1354" t="s">
        <v>1434</v>
      </c>
      <c r="F70" s="1356" t="s">
        <v>3213</v>
      </c>
      <c r="G70" s="1356" t="s">
        <v>3357</v>
      </c>
      <c r="H70" s="1356" t="s">
        <v>3358</v>
      </c>
      <c r="I70" s="1356" t="s">
        <v>3359</v>
      </c>
      <c r="J70" s="1337"/>
    </row>
    <row r="71" ht="18.0" customHeight="1">
      <c r="B71" s="1357" t="s">
        <v>1283</v>
      </c>
      <c r="C71" s="1358" t="s">
        <v>1278</v>
      </c>
      <c r="D71" s="1357" t="s">
        <v>22</v>
      </c>
      <c r="E71" s="1357" t="s">
        <v>1434</v>
      </c>
      <c r="F71" s="1359" t="s">
        <v>1341</v>
      </c>
      <c r="G71" s="1359" t="s">
        <v>3360</v>
      </c>
      <c r="H71" s="1359" t="s">
        <v>3361</v>
      </c>
      <c r="I71" s="1359" t="s">
        <v>3362</v>
      </c>
      <c r="J71" s="1331"/>
    </row>
    <row r="72" ht="18.0" customHeight="1">
      <c r="B72" s="1354" t="s">
        <v>1283</v>
      </c>
      <c r="C72" s="1355" t="s">
        <v>2221</v>
      </c>
      <c r="D72" s="1354" t="s">
        <v>19</v>
      </c>
      <c r="E72" s="1354" t="s">
        <v>1434</v>
      </c>
      <c r="F72" s="1356" t="s">
        <v>3204</v>
      </c>
      <c r="G72" s="1356" t="s">
        <v>3363</v>
      </c>
      <c r="H72" s="1356" t="s">
        <v>3364</v>
      </c>
      <c r="I72" s="1356" t="s">
        <v>3365</v>
      </c>
      <c r="J72" s="1337"/>
    </row>
    <row r="73" ht="18.0" customHeight="1">
      <c r="B73" s="1357" t="s">
        <v>1283</v>
      </c>
      <c r="C73" s="1358" t="s">
        <v>1412</v>
      </c>
      <c r="D73" s="1357" t="s">
        <v>19</v>
      </c>
      <c r="E73" s="1357" t="s">
        <v>1434</v>
      </c>
      <c r="F73" s="1359" t="s">
        <v>3350</v>
      </c>
      <c r="G73" s="1359" t="s">
        <v>3366</v>
      </c>
      <c r="H73" s="1359" t="s">
        <v>3367</v>
      </c>
      <c r="I73" s="1359" t="s">
        <v>3368</v>
      </c>
      <c r="J73" s="1331"/>
    </row>
    <row r="74" ht="18.0" customHeight="1">
      <c r="B74" s="1354" t="s">
        <v>1283</v>
      </c>
      <c r="C74" s="1355" t="s">
        <v>3369</v>
      </c>
      <c r="D74" s="1354" t="s">
        <v>19</v>
      </c>
      <c r="E74" s="1354" t="s">
        <v>1434</v>
      </c>
      <c r="F74" s="1356" t="s">
        <v>3350</v>
      </c>
      <c r="G74" s="1356" t="s">
        <v>3370</v>
      </c>
      <c r="H74" s="1356" t="s">
        <v>3198</v>
      </c>
      <c r="I74" s="1356" t="s">
        <v>3371</v>
      </c>
      <c r="J74" s="1337"/>
    </row>
    <row r="75" ht="18.0" customHeight="1">
      <c r="B75" s="1357" t="s">
        <v>1283</v>
      </c>
      <c r="C75" s="1358" t="s">
        <v>3258</v>
      </c>
      <c r="D75" s="1357" t="s">
        <v>19</v>
      </c>
      <c r="E75" s="1357" t="s">
        <v>1434</v>
      </c>
      <c r="F75" s="1359" t="s">
        <v>3196</v>
      </c>
      <c r="G75" s="1359" t="s">
        <v>3372</v>
      </c>
      <c r="H75" s="1359" t="s">
        <v>3373</v>
      </c>
      <c r="I75" s="1359" t="s">
        <v>3374</v>
      </c>
      <c r="J75" s="1331"/>
    </row>
    <row r="76" ht="18.0" customHeight="1">
      <c r="B76" s="1360" t="s">
        <v>3375</v>
      </c>
      <c r="C76" s="2"/>
      <c r="D76" s="2"/>
      <c r="E76" s="2"/>
      <c r="F76" s="2"/>
      <c r="G76" s="2"/>
      <c r="H76" s="2"/>
      <c r="I76" s="2"/>
      <c r="J76" s="1337"/>
    </row>
    <row r="77" ht="18.0" customHeight="1">
      <c r="B77" s="1357" t="s">
        <v>3376</v>
      </c>
      <c r="C77" s="1358" t="s">
        <v>2158</v>
      </c>
      <c r="D77" s="1357" t="s">
        <v>19</v>
      </c>
      <c r="E77" s="1357" t="s">
        <v>1434</v>
      </c>
      <c r="F77" s="1359" t="s">
        <v>3377</v>
      </c>
      <c r="G77" s="1359" t="s">
        <v>3378</v>
      </c>
      <c r="H77" s="1359" t="s">
        <v>3379</v>
      </c>
      <c r="I77" s="1359" t="s">
        <v>3380</v>
      </c>
      <c r="J77" s="1331"/>
    </row>
    <row r="78" ht="18.0" customHeight="1">
      <c r="B78" s="1360" t="s">
        <v>3381</v>
      </c>
      <c r="C78" s="2"/>
      <c r="D78" s="2"/>
      <c r="E78" s="2"/>
      <c r="F78" s="2"/>
      <c r="G78" s="2"/>
      <c r="H78" s="2"/>
      <c r="I78" s="2"/>
      <c r="J78" s="1337"/>
    </row>
    <row r="79" ht="18.0" customHeight="1">
      <c r="B79" s="1357" t="s">
        <v>3382</v>
      </c>
      <c r="C79" s="1358" t="s">
        <v>2171</v>
      </c>
      <c r="D79" s="1357" t="s">
        <v>19</v>
      </c>
      <c r="E79" s="1357" t="s">
        <v>1434</v>
      </c>
      <c r="F79" s="1359" t="s">
        <v>3383</v>
      </c>
      <c r="G79" s="1359" t="s">
        <v>3384</v>
      </c>
      <c r="H79" s="1359" t="s">
        <v>3385</v>
      </c>
      <c r="I79" s="1359" t="s">
        <v>3386</v>
      </c>
      <c r="J79" s="1331"/>
    </row>
    <row r="80" ht="18.0" customHeight="1">
      <c r="B80" s="1354" t="s">
        <v>3382</v>
      </c>
      <c r="C80" s="1355" t="s">
        <v>3242</v>
      </c>
      <c r="D80" s="1354" t="s">
        <v>19</v>
      </c>
      <c r="E80" s="1354" t="s">
        <v>1434</v>
      </c>
      <c r="F80" s="1356" t="s">
        <v>3350</v>
      </c>
      <c r="G80" s="1356" t="s">
        <v>3387</v>
      </c>
      <c r="H80" s="1356" t="s">
        <v>3388</v>
      </c>
      <c r="I80" s="1356" t="s">
        <v>3389</v>
      </c>
      <c r="J80" s="1337"/>
    </row>
    <row r="81" ht="18.0" customHeight="1">
      <c r="B81" s="1353" t="s">
        <v>3390</v>
      </c>
      <c r="C81" s="2"/>
      <c r="D81" s="2"/>
      <c r="E81" s="2"/>
      <c r="F81" s="2"/>
      <c r="G81" s="2"/>
      <c r="H81" s="2"/>
      <c r="I81" s="2"/>
      <c r="J81" s="1331"/>
    </row>
    <row r="82" ht="18.0" customHeight="1">
      <c r="B82" s="1354" t="s">
        <v>3391</v>
      </c>
      <c r="C82" s="1355" t="s">
        <v>2158</v>
      </c>
      <c r="D82" s="1354" t="s">
        <v>19</v>
      </c>
      <c r="E82" s="1354" t="s">
        <v>1434</v>
      </c>
      <c r="F82" s="1356" t="s">
        <v>3392</v>
      </c>
      <c r="G82" s="1356" t="s">
        <v>3393</v>
      </c>
      <c r="H82" s="1356" t="s">
        <v>3394</v>
      </c>
      <c r="I82" s="1356" t="s">
        <v>3395</v>
      </c>
      <c r="J82" s="1337"/>
    </row>
    <row r="83" ht="18.0" customHeight="1">
      <c r="B83" s="1353" t="s">
        <v>3396</v>
      </c>
      <c r="C83" s="2"/>
      <c r="D83" s="2"/>
      <c r="E83" s="2"/>
      <c r="F83" s="2"/>
      <c r="G83" s="2"/>
      <c r="H83" s="2"/>
      <c r="I83" s="2"/>
      <c r="J83" s="1331"/>
    </row>
    <row r="84" ht="18.0" customHeight="1">
      <c r="B84" s="1354" t="s">
        <v>3397</v>
      </c>
      <c r="C84" s="1355" t="s">
        <v>3262</v>
      </c>
      <c r="D84" s="1354" t="s">
        <v>19</v>
      </c>
      <c r="E84" s="1354" t="s">
        <v>1434</v>
      </c>
      <c r="F84" s="1356" t="s">
        <v>3263</v>
      </c>
      <c r="G84" s="1356" t="s">
        <v>3398</v>
      </c>
      <c r="H84" s="1356" t="s">
        <v>3399</v>
      </c>
      <c r="I84" s="1356" t="s">
        <v>3400</v>
      </c>
      <c r="J84" s="1337"/>
    </row>
    <row r="85" ht="18.0" customHeight="1">
      <c r="B85" s="1353" t="s">
        <v>3401</v>
      </c>
      <c r="C85" s="2"/>
      <c r="D85" s="2"/>
      <c r="E85" s="2"/>
      <c r="F85" s="2"/>
      <c r="G85" s="2"/>
      <c r="H85" s="2"/>
      <c r="I85" s="2"/>
      <c r="J85" s="1331"/>
    </row>
    <row r="86" ht="18.0" customHeight="1">
      <c r="B86" s="1354" t="s">
        <v>1288</v>
      </c>
      <c r="C86" s="1355" t="s">
        <v>1289</v>
      </c>
      <c r="D86" s="1354" t="s">
        <v>19</v>
      </c>
      <c r="E86" s="1354" t="s">
        <v>1434</v>
      </c>
      <c r="F86" s="1356" t="s">
        <v>3402</v>
      </c>
      <c r="G86" s="1356" t="s">
        <v>1291</v>
      </c>
      <c r="H86" s="1356" t="s">
        <v>3403</v>
      </c>
      <c r="I86" s="1356" t="s">
        <v>3404</v>
      </c>
      <c r="J86" s="1337"/>
    </row>
    <row r="87" ht="18.0" customHeight="1">
      <c r="B87" s="1357" t="s">
        <v>1288</v>
      </c>
      <c r="C87" s="1358" t="s">
        <v>2221</v>
      </c>
      <c r="D87" s="1357" t="s">
        <v>19</v>
      </c>
      <c r="E87" s="1357" t="s">
        <v>1434</v>
      </c>
      <c r="F87" s="1359" t="s">
        <v>3196</v>
      </c>
      <c r="G87" s="1359" t="s">
        <v>3363</v>
      </c>
      <c r="H87" s="1359" t="s">
        <v>3405</v>
      </c>
      <c r="I87" s="1359" t="s">
        <v>3365</v>
      </c>
      <c r="J87" s="1331"/>
    </row>
    <row r="88" ht="18.0" customHeight="1">
      <c r="B88" s="1361"/>
      <c r="C88" s="1361"/>
      <c r="D88" s="1361"/>
      <c r="E88" s="1361"/>
      <c r="F88" s="1337"/>
      <c r="G88" s="1337"/>
      <c r="H88" s="1337"/>
      <c r="I88" s="1337"/>
      <c r="J88" s="1337"/>
    </row>
    <row r="89" ht="18.0" customHeight="1">
      <c r="B89" s="1362"/>
      <c r="C89" s="1362"/>
      <c r="D89" s="1362"/>
      <c r="E89" s="1362"/>
      <c r="F89" s="1331"/>
      <c r="G89" s="1331"/>
      <c r="H89" s="1331"/>
      <c r="I89" s="1331"/>
      <c r="J89" s="1331"/>
    </row>
    <row r="90" ht="18.0" customHeight="1">
      <c r="B90" s="1361"/>
      <c r="C90" s="1361"/>
      <c r="D90" s="1361"/>
      <c r="E90" s="1361"/>
      <c r="F90" s="1337"/>
      <c r="G90" s="1337"/>
      <c r="H90" s="1337"/>
      <c r="I90" s="1337"/>
      <c r="J90" s="1337"/>
    </row>
    <row r="91" ht="18.0" customHeight="1">
      <c r="B91" s="1362"/>
      <c r="C91" s="1362"/>
      <c r="D91" s="1362"/>
      <c r="E91" s="1362"/>
      <c r="F91" s="1331"/>
      <c r="G91" s="1331"/>
      <c r="H91" s="1331"/>
      <c r="I91" s="1331"/>
      <c r="J91" s="1331"/>
    </row>
    <row r="92" ht="18.0" customHeight="1">
      <c r="B92" s="1361"/>
      <c r="C92" s="1361"/>
      <c r="D92" s="1361"/>
      <c r="E92" s="1361"/>
      <c r="F92" s="1337"/>
      <c r="G92" s="1337"/>
      <c r="H92" s="1337"/>
      <c r="I92" s="1337"/>
      <c r="J92" s="1337"/>
    </row>
    <row r="93" ht="18.0" customHeight="1">
      <c r="B93" s="1362"/>
      <c r="C93" s="1362"/>
      <c r="D93" s="1362"/>
      <c r="E93" s="1362"/>
      <c r="F93" s="1331"/>
      <c r="G93" s="1331"/>
      <c r="H93" s="1331"/>
      <c r="I93" s="1331"/>
      <c r="J93" s="1331"/>
    </row>
    <row r="94" ht="18.0" customHeight="1">
      <c r="B94" s="1361"/>
      <c r="C94" s="1361"/>
      <c r="D94" s="1361"/>
      <c r="E94" s="1361"/>
      <c r="F94" s="1337"/>
      <c r="G94" s="1337"/>
      <c r="H94" s="1337"/>
      <c r="I94" s="1337"/>
      <c r="J94" s="1337"/>
    </row>
    <row r="95" ht="18.0" customHeight="1">
      <c r="B95" s="1362" t="s">
        <v>1246</v>
      </c>
      <c r="C95" s="1362" t="s">
        <v>1247</v>
      </c>
      <c r="D95" s="1362" t="s">
        <v>22</v>
      </c>
      <c r="E95" s="1362" t="s">
        <v>3406</v>
      </c>
      <c r="F95" s="1331" t="s">
        <v>3407</v>
      </c>
      <c r="G95" s="1331">
        <f>E5*F5</f>
        <v>0</v>
      </c>
      <c r="H95" s="1331" t="s">
        <v>3408</v>
      </c>
      <c r="I95" s="1331"/>
      <c r="J95" s="1331"/>
    </row>
    <row r="96" ht="18.0" customHeight="1">
      <c r="B96" s="1361" t="s">
        <v>1252</v>
      </c>
      <c r="C96" s="1361" t="s">
        <v>536</v>
      </c>
      <c r="D96" s="1361" t="s">
        <v>19</v>
      </c>
      <c r="E96" s="1361" t="s">
        <v>3409</v>
      </c>
      <c r="F96" s="1337" t="s">
        <v>3410</v>
      </c>
      <c r="G96" s="1337">
        <f>E96*F96</f>
        <v>197.0832</v>
      </c>
      <c r="H96" s="1337" t="s">
        <v>3411</v>
      </c>
      <c r="I96" s="1337"/>
      <c r="J96" s="1337"/>
    </row>
    <row r="97" ht="18.0" customHeight="1">
      <c r="B97" s="1357" t="s">
        <v>1213</v>
      </c>
      <c r="C97" s="1358" t="s">
        <v>1240</v>
      </c>
      <c r="D97" s="1357" t="s">
        <v>19</v>
      </c>
      <c r="E97" s="1357" t="s">
        <v>3412</v>
      </c>
      <c r="F97" s="1359" t="s">
        <v>3413</v>
      </c>
      <c r="G97" s="1359" t="s">
        <v>3414</v>
      </c>
      <c r="H97" s="1359" t="s">
        <v>3415</v>
      </c>
      <c r="I97" s="1331"/>
      <c r="J97" s="1331"/>
    </row>
    <row r="98" ht="18.0" customHeight="1">
      <c r="B98" s="1354" t="s">
        <v>1213</v>
      </c>
      <c r="C98" s="1355" t="s">
        <v>1233</v>
      </c>
      <c r="D98" s="1354" t="s">
        <v>19</v>
      </c>
      <c r="E98" s="1354" t="s">
        <v>3416</v>
      </c>
      <c r="F98" s="1356" t="s">
        <v>3417</v>
      </c>
      <c r="G98" s="1356" t="s">
        <v>3418</v>
      </c>
      <c r="H98" s="1356" t="s">
        <v>3419</v>
      </c>
      <c r="I98" s="1337"/>
      <c r="J98" s="1337"/>
    </row>
    <row r="99" ht="18.0" customHeight="1">
      <c r="B99" s="1357" t="s">
        <v>1213</v>
      </c>
      <c r="C99" s="1358" t="s">
        <v>536</v>
      </c>
      <c r="D99" s="1357" t="s">
        <v>19</v>
      </c>
      <c r="E99" s="1357" t="s">
        <v>447</v>
      </c>
      <c r="F99" s="1359" t="s">
        <v>3420</v>
      </c>
      <c r="G99" s="1359" t="s">
        <v>3421</v>
      </c>
      <c r="H99" s="1359" t="s">
        <v>1229</v>
      </c>
      <c r="I99" s="1331"/>
      <c r="J99" s="1331"/>
    </row>
    <row r="100" ht="18.0" customHeight="1">
      <c r="B100" s="1354" t="s">
        <v>1213</v>
      </c>
      <c r="C100" s="1355" t="s">
        <v>1219</v>
      </c>
      <c r="D100" s="1354" t="s">
        <v>19</v>
      </c>
      <c r="E100" s="1354" t="s">
        <v>433</v>
      </c>
      <c r="F100" s="1356" t="s">
        <v>3422</v>
      </c>
      <c r="G100" s="1356" t="s">
        <v>3423</v>
      </c>
      <c r="H100" s="1356" t="s">
        <v>1232</v>
      </c>
      <c r="I100" s="1337"/>
      <c r="J100" s="1337"/>
    </row>
    <row r="101" ht="18.0" customHeight="1">
      <c r="B101" s="1357" t="s">
        <v>1213</v>
      </c>
      <c r="C101" s="1358" t="s">
        <v>1223</v>
      </c>
      <c r="D101" s="1357" t="s">
        <v>19</v>
      </c>
      <c r="E101" s="1357" t="s">
        <v>443</v>
      </c>
      <c r="F101" s="1359" t="s">
        <v>3424</v>
      </c>
      <c r="G101" s="1359" t="s">
        <v>3425</v>
      </c>
      <c r="H101" s="1359" t="s">
        <v>3426</v>
      </c>
      <c r="I101" s="1331"/>
      <c r="J101" s="1331"/>
    </row>
    <row r="102" ht="18.0" customHeight="1">
      <c r="B102" s="1354" t="s">
        <v>1213</v>
      </c>
      <c r="C102" s="1355" t="s">
        <v>536</v>
      </c>
      <c r="D102" s="1354" t="s">
        <v>19</v>
      </c>
      <c r="E102" s="1354" t="s">
        <v>433</v>
      </c>
      <c r="F102" s="1356" t="s">
        <v>3427</v>
      </c>
      <c r="G102" s="1356" t="s">
        <v>3428</v>
      </c>
      <c r="H102" s="1356" t="s">
        <v>1217</v>
      </c>
      <c r="I102" s="1337"/>
      <c r="J102" s="1337"/>
    </row>
    <row r="103" ht="18.0" customHeight="1">
      <c r="B103" s="1357" t="s">
        <v>1213</v>
      </c>
      <c r="C103" s="1358" t="s">
        <v>1219</v>
      </c>
      <c r="D103" s="1357" t="s">
        <v>19</v>
      </c>
      <c r="E103" s="1357" t="s">
        <v>3429</v>
      </c>
      <c r="F103" s="1359" t="s">
        <v>3430</v>
      </c>
      <c r="G103" s="1359" t="s">
        <v>3431</v>
      </c>
      <c r="H103" s="1359" t="s">
        <v>1222</v>
      </c>
      <c r="I103" s="1331"/>
      <c r="J103" s="1331"/>
    </row>
    <row r="104" ht="18.0" customHeight="1">
      <c r="B104" s="1361"/>
      <c r="C104" s="1361"/>
      <c r="D104" s="1361"/>
      <c r="E104" s="1361"/>
      <c r="F104" s="1337"/>
      <c r="G104" s="1337"/>
      <c r="H104" s="1337"/>
      <c r="I104" s="1337"/>
      <c r="J104" s="1337"/>
    </row>
    <row r="105" ht="18.0" customHeight="1">
      <c r="B105" s="1362"/>
      <c r="C105" s="1362"/>
      <c r="D105" s="1362"/>
      <c r="E105" s="1362"/>
      <c r="F105" s="1331"/>
      <c r="G105" s="1331"/>
      <c r="H105" s="1331"/>
      <c r="I105" s="1331"/>
      <c r="J105" s="1331"/>
    </row>
    <row r="106" ht="18.0" customHeight="1">
      <c r="B106" s="1361"/>
      <c r="C106" s="1361"/>
      <c r="D106" s="1361"/>
      <c r="E106" s="1361"/>
      <c r="F106" s="1337"/>
      <c r="G106" s="1337"/>
      <c r="H106" s="1337"/>
      <c r="I106" s="1337"/>
      <c r="J106" s="1337"/>
    </row>
    <row r="107" ht="18.0" customHeight="1">
      <c r="B107" s="1362"/>
      <c r="C107" s="1362"/>
      <c r="D107" s="1362"/>
      <c r="E107" s="1362"/>
      <c r="F107" s="1331"/>
      <c r="G107" s="1331"/>
      <c r="H107" s="1331"/>
      <c r="I107" s="1331"/>
      <c r="J107" s="1331"/>
    </row>
    <row r="108" ht="18.0" customHeight="1">
      <c r="B108" s="1361"/>
      <c r="C108" s="1361"/>
      <c r="D108" s="1361"/>
      <c r="E108" s="1361"/>
      <c r="F108" s="1337"/>
      <c r="G108" s="1337"/>
      <c r="H108" s="1337"/>
      <c r="I108" s="1337"/>
      <c r="J108" s="1337"/>
    </row>
    <row r="109" ht="18.0" customHeight="1">
      <c r="B109" s="1362"/>
      <c r="C109" s="1362"/>
      <c r="D109" s="1362"/>
      <c r="E109" s="1362"/>
      <c r="F109" s="1331"/>
      <c r="G109" s="1331"/>
      <c r="H109" s="1331"/>
      <c r="I109" s="1331"/>
      <c r="J109" s="1331"/>
    </row>
    <row r="110" ht="18.0" customHeight="1">
      <c r="B110" s="1361"/>
      <c r="C110" s="1361"/>
      <c r="D110" s="1361"/>
      <c r="E110" s="1361"/>
      <c r="F110" s="1337"/>
      <c r="G110" s="1337"/>
      <c r="H110" s="1337"/>
      <c r="I110" s="1337"/>
      <c r="J110" s="1337"/>
    </row>
    <row r="111" ht="18.0" customHeight="1">
      <c r="B111" s="1362"/>
      <c r="C111" s="1362"/>
      <c r="D111" s="1362"/>
      <c r="E111" s="1362"/>
      <c r="F111" s="1331"/>
      <c r="G111" s="1331"/>
      <c r="H111" s="1331"/>
      <c r="I111" s="1331"/>
      <c r="J111" s="1331"/>
    </row>
    <row r="112" ht="18.0" customHeight="1">
      <c r="B112" s="1361"/>
      <c r="C112" s="1361"/>
      <c r="D112" s="1361"/>
      <c r="E112" s="1361"/>
      <c r="F112" s="1337"/>
      <c r="G112" s="1337"/>
      <c r="H112" s="1337"/>
      <c r="I112" s="1337"/>
      <c r="J112" s="1337"/>
    </row>
    <row r="113" ht="18.0" customHeight="1">
      <c r="B113" s="1362"/>
      <c r="C113" s="1362"/>
      <c r="D113" s="1362"/>
      <c r="E113" s="1362"/>
      <c r="F113" s="1331"/>
      <c r="G113" s="1331"/>
      <c r="H113" s="1331"/>
      <c r="I113" s="1331"/>
      <c r="J113" s="1331"/>
    </row>
    <row r="114" ht="18.0" customHeight="1">
      <c r="B114" s="1361"/>
      <c r="C114" s="1361"/>
      <c r="D114" s="1361"/>
      <c r="E114" s="1361"/>
      <c r="F114" s="1337"/>
      <c r="G114" s="1337"/>
      <c r="H114" s="1337"/>
      <c r="I114" s="1337"/>
      <c r="J114" s="1337"/>
    </row>
    <row r="115" ht="18.0" customHeight="1">
      <c r="B115" s="1362"/>
      <c r="C115" s="1362"/>
      <c r="D115" s="1362"/>
      <c r="E115" s="1362"/>
      <c r="F115" s="1331"/>
      <c r="G115" s="1331"/>
      <c r="H115" s="1331"/>
      <c r="I115" s="1331"/>
      <c r="J115" s="1331"/>
    </row>
    <row r="116" ht="18.0" customHeight="1">
      <c r="B116" s="1361"/>
      <c r="C116" s="1361"/>
      <c r="D116" s="1361"/>
      <c r="E116" s="1361"/>
      <c r="F116" s="1337"/>
      <c r="G116" s="1337"/>
      <c r="H116" s="1337"/>
      <c r="I116" s="1337"/>
      <c r="J116" s="1337"/>
    </row>
    <row r="117" ht="18.0" customHeight="1">
      <c r="B117" s="1362"/>
      <c r="C117" s="1362"/>
      <c r="D117" s="1362"/>
      <c r="E117" s="1362"/>
      <c r="F117" s="1331"/>
      <c r="G117" s="1331"/>
      <c r="H117" s="1331"/>
      <c r="I117" s="1331"/>
      <c r="J117" s="1331"/>
    </row>
    <row r="118" ht="18.0" customHeight="1">
      <c r="B118" s="1361"/>
      <c r="C118" s="1361"/>
      <c r="D118" s="1361"/>
      <c r="E118" s="1361"/>
      <c r="F118" s="1337"/>
      <c r="G118" s="1337"/>
      <c r="H118" s="1337"/>
      <c r="I118" s="1337"/>
      <c r="J118" s="1337"/>
    </row>
    <row r="119" ht="18.0" customHeight="1">
      <c r="B119" s="1362"/>
      <c r="C119" s="1362"/>
      <c r="D119" s="1362"/>
      <c r="E119" s="1362"/>
      <c r="F119" s="1331"/>
      <c r="G119" s="1331"/>
      <c r="H119" s="1331"/>
      <c r="I119" s="1331"/>
      <c r="J119" s="1331"/>
    </row>
    <row r="120" ht="18.0" customHeight="1">
      <c r="B120" s="1363" t="s">
        <v>3432</v>
      </c>
      <c r="C120" s="1361"/>
      <c r="D120" s="1361"/>
      <c r="E120" s="1361"/>
      <c r="F120" s="1337"/>
      <c r="G120" s="1337"/>
      <c r="H120" s="1337"/>
      <c r="I120" s="1337"/>
      <c r="J120" s="1337"/>
    </row>
    <row r="121" ht="18.0" customHeight="1">
      <c r="B121" s="1362"/>
      <c r="C121" s="1362"/>
      <c r="D121" s="1362"/>
      <c r="E121" s="1362"/>
      <c r="F121" s="1331"/>
      <c r="G121" s="1331"/>
      <c r="H121" s="1331"/>
      <c r="I121" s="1331"/>
      <c r="J121" s="1331"/>
    </row>
    <row r="122" ht="18.0" customHeight="1">
      <c r="B122" s="1364" t="s">
        <v>3433</v>
      </c>
      <c r="C122" s="2"/>
      <c r="D122" s="2"/>
      <c r="E122" s="2"/>
      <c r="F122" s="2"/>
      <c r="G122" s="2"/>
      <c r="H122" s="2"/>
      <c r="I122" s="2"/>
      <c r="J122" s="2"/>
    </row>
    <row r="123" ht="18.0" customHeight="1">
      <c r="B123" s="1365" t="s">
        <v>3434</v>
      </c>
      <c r="C123" s="2"/>
      <c r="D123" s="2"/>
      <c r="E123" s="2"/>
      <c r="F123" s="2"/>
      <c r="G123" s="2"/>
      <c r="H123" s="2"/>
      <c r="I123" s="2"/>
      <c r="J123" s="2"/>
    </row>
    <row r="124" ht="18.0" customHeight="1">
      <c r="B124" s="1366" t="s">
        <v>1771</v>
      </c>
      <c r="C124" s="1366" t="s">
        <v>3435</v>
      </c>
      <c r="D124" s="1366" t="s">
        <v>1675</v>
      </c>
      <c r="E124" s="1366" t="s">
        <v>3436</v>
      </c>
      <c r="F124" s="1367" t="s">
        <v>3437</v>
      </c>
      <c r="G124" s="1367" t="s">
        <v>588</v>
      </c>
      <c r="H124" s="1337"/>
      <c r="I124" s="1337"/>
      <c r="J124" s="1337"/>
    </row>
    <row r="125" ht="18.0" customHeight="1">
      <c r="B125" s="1368" t="s">
        <v>3438</v>
      </c>
      <c r="C125" s="1357" t="s">
        <v>3439</v>
      </c>
      <c r="D125" s="1369">
        <f>'📈 PORTEFEUILLE'!L70</f>
        <v>85386.21618</v>
      </c>
      <c r="E125" s="1370" t="s">
        <v>3440</v>
      </c>
      <c r="F125" s="1371" t="s">
        <v>3440</v>
      </c>
      <c r="G125" s="1372" t="s">
        <v>3441</v>
      </c>
      <c r="H125" s="2"/>
      <c r="I125" s="2"/>
      <c r="J125" s="2"/>
    </row>
    <row r="126" ht="18.0" customHeight="1">
      <c r="B126" s="106" t="s">
        <v>3442</v>
      </c>
      <c r="C126" s="1354">
        <v>166.62</v>
      </c>
      <c r="D126" s="106">
        <f>IFERROR(__xludf.DUMMYFUNCTION("IFERROR(GOOGLEFINANCE(""TSE:VFV"",""price""),164)"),161.8)</f>
        <v>161.8</v>
      </c>
      <c r="E126" s="1373">
        <v>-0.0157</v>
      </c>
      <c r="F126" s="1374" t="s">
        <v>3443</v>
      </c>
      <c r="G126" s="1375" t="s">
        <v>3444</v>
      </c>
      <c r="H126" s="2"/>
      <c r="I126" s="2"/>
      <c r="J126" s="2"/>
    </row>
    <row r="127" ht="18.0" customHeight="1">
      <c r="B127" s="1368" t="s">
        <v>3445</v>
      </c>
      <c r="C127" s="1357">
        <f>IFERROR(__xludf.DUMMYFUNCTION("IFERROR(GOOGLEFINANCE(""SPY"",""price""),0)"),662.29)</f>
        <v>662.29</v>
      </c>
      <c r="D127" s="1368">
        <f>IFERROR(__xludf.DUMMYFUNCTION("IFERROR(GOOGLEFINANCE(""SPY"",""price""),0)"),662.29)</f>
        <v>662.29</v>
      </c>
      <c r="E127" s="1370" t="s">
        <v>593</v>
      </c>
      <c r="F127" s="1371" t="s">
        <v>593</v>
      </c>
      <c r="G127" s="1372" t="s">
        <v>3446</v>
      </c>
      <c r="H127" s="2"/>
      <c r="I127" s="2"/>
      <c r="J127" s="2"/>
    </row>
    <row r="128" ht="18.0" customHeight="1">
      <c r="B128" s="1361"/>
      <c r="C128" s="1361"/>
      <c r="D128" s="1361"/>
      <c r="E128" s="1361"/>
      <c r="F128" s="1337"/>
      <c r="G128" s="1337"/>
      <c r="H128" s="1337"/>
      <c r="I128" s="1337"/>
      <c r="J128" s="1337"/>
    </row>
    <row r="129" ht="18.0" customHeight="1">
      <c r="B129" s="1365" t="s">
        <v>3447</v>
      </c>
      <c r="C129" s="2"/>
      <c r="D129" s="2"/>
      <c r="E129" s="2"/>
      <c r="F129" s="2"/>
      <c r="G129" s="2"/>
      <c r="H129" s="2"/>
      <c r="I129" s="2"/>
      <c r="J129" s="2"/>
    </row>
    <row r="130" ht="18.0" customHeight="1">
      <c r="B130" s="1366" t="s">
        <v>1205</v>
      </c>
      <c r="C130" s="1366" t="s">
        <v>3448</v>
      </c>
      <c r="D130" s="1366" t="s">
        <v>3449</v>
      </c>
      <c r="E130" s="1366" t="s">
        <v>3450</v>
      </c>
      <c r="F130" s="1367" t="s">
        <v>3451</v>
      </c>
      <c r="G130" s="1367" t="s">
        <v>3452</v>
      </c>
      <c r="H130" s="1367" t="s">
        <v>3453</v>
      </c>
      <c r="I130" s="1337"/>
      <c r="J130" s="1337"/>
    </row>
    <row r="131" ht="18.0" customHeight="1">
      <c r="B131" s="1357" t="s">
        <v>3454</v>
      </c>
      <c r="C131" s="1376" t="s">
        <v>3455</v>
      </c>
      <c r="D131" s="1377">
        <v>166.62</v>
      </c>
      <c r="E131" s="1378" t="s">
        <v>3456</v>
      </c>
      <c r="F131" s="1379">
        <v>0.0</v>
      </c>
      <c r="G131" s="1380" t="s">
        <v>3457</v>
      </c>
      <c r="H131" s="1381" t="s">
        <v>434</v>
      </c>
      <c r="I131" s="1382" t="s">
        <v>3458</v>
      </c>
      <c r="J131" s="2"/>
    </row>
    <row r="132" ht="18.0" customHeight="1">
      <c r="B132" s="1354" t="s">
        <v>3459</v>
      </c>
      <c r="C132" s="1383" t="s">
        <v>3460</v>
      </c>
      <c r="D132" s="1384">
        <v>167.08</v>
      </c>
      <c r="E132" s="1385" t="s">
        <v>3456</v>
      </c>
      <c r="F132" s="1386">
        <v>0.00276077301644465</v>
      </c>
      <c r="G132" s="1387" t="s">
        <v>3457</v>
      </c>
      <c r="H132" s="1388" t="s">
        <v>434</v>
      </c>
      <c r="I132" s="1389" t="s">
        <v>3461</v>
      </c>
      <c r="J132" s="2"/>
    </row>
    <row r="133" ht="18.0" customHeight="1">
      <c r="B133" s="1357" t="s">
        <v>3462</v>
      </c>
      <c r="C133" s="1376" t="s">
        <v>3463</v>
      </c>
      <c r="D133" s="1377">
        <v>171.34</v>
      </c>
      <c r="E133" s="1378" t="s">
        <v>3456</v>
      </c>
      <c r="F133" s="1379">
        <v>0.0283279318209099</v>
      </c>
      <c r="G133" s="1380" t="s">
        <v>3457</v>
      </c>
      <c r="H133" s="1381" t="s">
        <v>434</v>
      </c>
      <c r="I133" s="1382" t="s">
        <v>3464</v>
      </c>
      <c r="J133" s="2"/>
    </row>
    <row r="134" ht="18.0" customHeight="1">
      <c r="B134" s="1354" t="s">
        <v>3465</v>
      </c>
      <c r="C134" s="1383" t="s">
        <v>3466</v>
      </c>
      <c r="D134" s="1384">
        <v>167.64</v>
      </c>
      <c r="E134" s="1385" t="s">
        <v>3456</v>
      </c>
      <c r="F134" s="1386">
        <v>0.00612171407994227</v>
      </c>
      <c r="G134" s="1387" t="s">
        <v>3457</v>
      </c>
      <c r="H134" s="1388" t="s">
        <v>434</v>
      </c>
      <c r="I134" s="1389" t="s">
        <v>3467</v>
      </c>
      <c r="J134" s="2"/>
    </row>
    <row r="135" ht="18.0" customHeight="1">
      <c r="B135" s="1357" t="s">
        <v>3468</v>
      </c>
      <c r="C135" s="1376" t="s">
        <v>3469</v>
      </c>
      <c r="D135" s="1377">
        <v>167.6</v>
      </c>
      <c r="E135" s="1378" t="s">
        <v>3456</v>
      </c>
      <c r="F135" s="1379">
        <v>0.00588164686112105</v>
      </c>
      <c r="G135" s="1380" t="s">
        <v>3457</v>
      </c>
      <c r="H135" s="1381" t="s">
        <v>434</v>
      </c>
      <c r="I135" s="1382" t="s">
        <v>3470</v>
      </c>
      <c r="J135" s="2"/>
    </row>
    <row r="136" ht="18.0" customHeight="1">
      <c r="B136" s="1354" t="s">
        <v>3471</v>
      </c>
      <c r="C136" s="1383" t="s">
        <v>3472</v>
      </c>
      <c r="D136" s="1384">
        <v>167.64</v>
      </c>
      <c r="E136" s="1385" t="s">
        <v>3456</v>
      </c>
      <c r="F136" s="1386">
        <v>0.00612171407994227</v>
      </c>
      <c r="G136" s="1387" t="s">
        <v>3457</v>
      </c>
      <c r="H136" s="1388" t="s">
        <v>434</v>
      </c>
      <c r="I136" s="1389" t="s">
        <v>3473</v>
      </c>
      <c r="J136" s="2"/>
    </row>
    <row r="137" ht="18.0" customHeight="1">
      <c r="B137" s="1357" t="s">
        <v>1252</v>
      </c>
      <c r="C137" s="1376" t="s">
        <v>3474</v>
      </c>
      <c r="D137" s="1377">
        <v>163.45</v>
      </c>
      <c r="E137" s="1378" t="s">
        <v>3456</v>
      </c>
      <c r="F137" s="1390">
        <v>-0.0190253270915857</v>
      </c>
      <c r="G137" s="1380" t="s">
        <v>3457</v>
      </c>
      <c r="H137" s="1381" t="s">
        <v>434</v>
      </c>
      <c r="I137" s="1382" t="s">
        <v>3475</v>
      </c>
      <c r="J137" s="2"/>
    </row>
    <row r="138" ht="18.0" customHeight="1">
      <c r="B138" s="1355" t="s">
        <v>1213</v>
      </c>
      <c r="C138" s="1383" t="s">
        <v>3476</v>
      </c>
      <c r="D138" s="1384">
        <v>164.0</v>
      </c>
      <c r="E138" s="1391">
        <f>'📈 PORTEFEUILLE'!L70</f>
        <v>85386.21618</v>
      </c>
      <c r="F138" s="1392">
        <v>-0.0157244028327932</v>
      </c>
      <c r="G138" s="1387" t="s">
        <v>3457</v>
      </c>
      <c r="H138" s="1388" t="s">
        <v>434</v>
      </c>
      <c r="I138" s="1389" t="s">
        <v>3477</v>
      </c>
      <c r="J138" s="2"/>
    </row>
    <row r="139" ht="18.0" customHeight="1">
      <c r="B139" s="1362"/>
      <c r="C139" s="1362"/>
      <c r="D139" s="1362"/>
      <c r="E139" s="1362"/>
      <c r="F139" s="1331"/>
      <c r="G139" s="1331"/>
      <c r="H139" s="1331"/>
      <c r="I139" s="1331"/>
      <c r="J139" s="1331"/>
    </row>
    <row r="140" ht="18.0" customHeight="1">
      <c r="B140" s="1393" t="s">
        <v>3478</v>
      </c>
      <c r="C140" s="2"/>
      <c r="D140" s="2"/>
      <c r="E140" s="2"/>
      <c r="F140" s="1394" t="s">
        <v>265</v>
      </c>
      <c r="G140" s="1395" t="s">
        <v>3479</v>
      </c>
      <c r="H140" s="1396" t="s">
        <v>3480</v>
      </c>
      <c r="I140" s="1337"/>
      <c r="J140" s="1337"/>
    </row>
    <row r="141" ht="18.0" customHeight="1">
      <c r="B141" s="1362"/>
      <c r="C141" s="1362"/>
      <c r="D141" s="1362"/>
      <c r="E141" s="1362"/>
      <c r="F141" s="1331"/>
      <c r="G141" s="1331"/>
      <c r="H141" s="1331"/>
      <c r="I141" s="1331"/>
      <c r="J141" s="1331"/>
    </row>
    <row r="142" ht="18.0" customHeight="1">
      <c r="B142" s="1397" t="s">
        <v>3481</v>
      </c>
      <c r="C142" s="2"/>
      <c r="D142" s="2"/>
      <c r="E142" s="2"/>
      <c r="F142" s="2"/>
      <c r="G142" s="2"/>
      <c r="H142" s="2"/>
      <c r="I142" s="2"/>
      <c r="J142" s="2"/>
    </row>
    <row r="143" ht="18.0" customHeight="1">
      <c r="B143" s="1362"/>
      <c r="C143" s="1362"/>
      <c r="D143" s="1362"/>
      <c r="E143" s="1362"/>
      <c r="F143" s="1331"/>
      <c r="G143" s="1331"/>
      <c r="H143" s="1331"/>
      <c r="I143" s="1331"/>
      <c r="J143" s="1331"/>
    </row>
    <row r="144" ht="18.0" customHeight="1">
      <c r="B144" s="1361"/>
      <c r="C144" s="1361"/>
      <c r="D144" s="1361"/>
      <c r="E144" s="1361"/>
      <c r="F144" s="1337"/>
      <c r="G144" s="1337"/>
      <c r="H144" s="1337"/>
      <c r="I144" s="1337"/>
      <c r="J144" s="1337"/>
    </row>
    <row r="145" ht="18.0" customHeight="1">
      <c r="B145" s="1362"/>
      <c r="C145" s="1362"/>
      <c r="D145" s="1362"/>
      <c r="E145" s="1362"/>
      <c r="F145" s="1331"/>
      <c r="G145" s="1331"/>
      <c r="H145" s="1331"/>
      <c r="I145" s="1331"/>
      <c r="J145" s="1331"/>
    </row>
    <row r="146" ht="18.0" customHeight="1">
      <c r="B146" s="1361"/>
      <c r="C146" s="1361"/>
      <c r="D146" s="1361"/>
      <c r="E146" s="1361"/>
      <c r="F146" s="1337"/>
      <c r="G146" s="1337"/>
      <c r="H146" s="1337"/>
      <c r="I146" s="1337"/>
      <c r="J146" s="1337"/>
    </row>
    <row r="147" ht="18.0" customHeight="1">
      <c r="B147" s="1362"/>
      <c r="C147" s="1362"/>
      <c r="D147" s="1362"/>
      <c r="E147" s="1362"/>
      <c r="F147" s="1331"/>
      <c r="G147" s="1331"/>
      <c r="H147" s="1331"/>
      <c r="I147" s="1331"/>
      <c r="J147" s="1331"/>
    </row>
    <row r="148" ht="18.0" customHeight="1">
      <c r="B148" s="1361"/>
      <c r="C148" s="1361"/>
      <c r="D148" s="1361"/>
      <c r="E148" s="1361"/>
      <c r="F148" s="1337"/>
      <c r="G148" s="1337"/>
      <c r="H148" s="1337"/>
      <c r="I148" s="1337"/>
      <c r="J148" s="1337"/>
    </row>
    <row r="149" ht="18.0" customHeight="1">
      <c r="B149" s="1362"/>
      <c r="C149" s="1362"/>
      <c r="D149" s="1362"/>
      <c r="E149" s="1362"/>
      <c r="F149" s="1331"/>
      <c r="G149" s="1331"/>
      <c r="H149" s="1331"/>
      <c r="I149" s="1331"/>
      <c r="J149" s="1331"/>
    </row>
    <row r="150" ht="18.0" customHeight="1">
      <c r="B150" s="1361"/>
      <c r="C150" s="1361"/>
      <c r="D150" s="1361"/>
      <c r="E150" s="1361"/>
      <c r="F150" s="1337"/>
      <c r="G150" s="1337"/>
      <c r="H150" s="1337"/>
      <c r="I150" s="1337"/>
      <c r="J150" s="1337"/>
    </row>
    <row r="151" ht="18.0" customHeight="1">
      <c r="B151" s="1362"/>
      <c r="C151" s="1362"/>
      <c r="D151" s="1362"/>
      <c r="E151" s="1362"/>
      <c r="F151" s="1331"/>
      <c r="G151" s="1331"/>
      <c r="H151" s="1331"/>
      <c r="I151" s="1331"/>
      <c r="J151" s="1331"/>
    </row>
    <row r="152" ht="18.0" customHeight="1">
      <c r="B152" s="1361"/>
      <c r="C152" s="1361"/>
      <c r="D152" s="1361"/>
      <c r="E152" s="1361"/>
      <c r="F152" s="1337"/>
      <c r="G152" s="1337"/>
      <c r="H152" s="1337"/>
      <c r="I152" s="1337"/>
      <c r="J152" s="1337"/>
    </row>
    <row r="153" ht="18.0" customHeight="1">
      <c r="B153" s="1362"/>
      <c r="C153" s="1362"/>
      <c r="D153" s="1362"/>
      <c r="E153" s="1362"/>
      <c r="F153" s="1331"/>
      <c r="G153" s="1331"/>
      <c r="H153" s="1331"/>
      <c r="I153" s="1331"/>
      <c r="J153" s="1331"/>
    </row>
    <row r="154" ht="18.0" customHeight="1">
      <c r="B154" s="1361"/>
      <c r="C154" s="1361"/>
      <c r="D154" s="1361"/>
      <c r="E154" s="1361"/>
      <c r="F154" s="1337"/>
      <c r="G154" s="1337"/>
      <c r="H154" s="1337"/>
      <c r="I154" s="1337"/>
      <c r="J154" s="1337"/>
    </row>
    <row r="155" ht="18.0" customHeight="1">
      <c r="B155" s="1362"/>
      <c r="C155" s="1362"/>
      <c r="D155" s="1362"/>
      <c r="E155" s="1362"/>
      <c r="F155" s="1331"/>
      <c r="G155" s="1331"/>
      <c r="H155" s="1331"/>
      <c r="I155" s="1331"/>
      <c r="J155" s="1331"/>
    </row>
    <row r="156" ht="18.0" customHeight="1">
      <c r="B156" s="1361"/>
      <c r="C156" s="1361"/>
      <c r="D156" s="1361"/>
      <c r="E156" s="1361"/>
      <c r="F156" s="1337"/>
      <c r="G156" s="1337"/>
      <c r="H156" s="1337"/>
      <c r="I156" s="1337"/>
      <c r="J156" s="1337"/>
    </row>
    <row r="157" ht="18.0" customHeight="1">
      <c r="B157" s="1362"/>
      <c r="C157" s="1362"/>
      <c r="D157" s="1362"/>
      <c r="E157" s="1362"/>
      <c r="F157" s="1331"/>
      <c r="G157" s="1331"/>
      <c r="H157" s="1331"/>
      <c r="I157" s="1331"/>
      <c r="J157" s="1331"/>
    </row>
    <row r="158" ht="18.0" customHeight="1">
      <c r="B158" s="1361"/>
      <c r="C158" s="1361"/>
      <c r="D158" s="1361"/>
      <c r="E158" s="1361"/>
      <c r="F158" s="1337"/>
      <c r="G158" s="1337"/>
      <c r="H158" s="1337"/>
      <c r="I158" s="1337"/>
      <c r="J158" s="1337"/>
    </row>
    <row r="159" ht="18.0" customHeight="1">
      <c r="B159" s="1398" t="s">
        <v>1771</v>
      </c>
      <c r="C159" s="1362"/>
      <c r="D159" s="1362"/>
      <c r="E159" s="1398" t="s">
        <v>3482</v>
      </c>
      <c r="F159" s="1399" t="s">
        <v>1675</v>
      </c>
      <c r="G159" s="1399" t="s">
        <v>3483</v>
      </c>
      <c r="H159" s="1399"/>
      <c r="I159" s="1331"/>
      <c r="J159" s="1331"/>
    </row>
    <row r="160" ht="18.0" customHeight="1">
      <c r="B160" s="1361" t="s">
        <v>3438</v>
      </c>
      <c r="C160" s="1361"/>
      <c r="D160" s="1361"/>
      <c r="E160" s="1361" t="s">
        <v>3484</v>
      </c>
      <c r="F160" s="1400">
        <f>'📈 PORTEFEUILLE'!L70</f>
        <v>85386.21618</v>
      </c>
      <c r="G160" s="1337" t="str">
        <f t="shared" ref="G160:G162" si="1">IF(ISNUMBER(F25),(F25-D25)/D25,"—")</f>
        <v>—</v>
      </c>
      <c r="H160" s="1337"/>
      <c r="I160" s="1337"/>
      <c r="J160" s="1337"/>
    </row>
    <row r="161" ht="18.0" customHeight="1">
      <c r="B161" s="1362" t="s">
        <v>3485</v>
      </c>
      <c r="C161" s="1362"/>
      <c r="D161" s="1362"/>
      <c r="E161" s="1362" t="s">
        <v>3484</v>
      </c>
      <c r="F161" s="1331">
        <f>IFERROR(__xludf.DUMMYFUNCTION("IFERROR(googlefinance(""SPY"",""price""),0)"),662.29)</f>
        <v>662.29</v>
      </c>
      <c r="G161" s="1331" t="str">
        <f t="shared" si="1"/>
        <v>—</v>
      </c>
      <c r="H161" s="1331"/>
      <c r="I161" s="1331"/>
      <c r="J161" s="1331"/>
    </row>
    <row r="162" ht="18.0" customHeight="1">
      <c r="B162" s="1361" t="s">
        <v>3442</v>
      </c>
      <c r="C162" s="1361"/>
      <c r="D162" s="1361"/>
      <c r="E162" s="1361" t="s">
        <v>3484</v>
      </c>
      <c r="F162" s="1401">
        <f>IFERROR(__xludf.DUMMYFUNCTION("IFERROR(googlefinance(""TSE:VFV"",""price""),CONFIG!G6)"),161.8)</f>
        <v>161.8</v>
      </c>
      <c r="G162" s="1337" t="str">
        <f t="shared" si="1"/>
        <v>—</v>
      </c>
      <c r="H162" s="1337"/>
      <c r="I162" s="1337"/>
      <c r="J162" s="1337"/>
    </row>
    <row r="163" ht="18.0" customHeight="1">
      <c r="B163" s="1362"/>
      <c r="C163" s="1362"/>
      <c r="D163" s="1362"/>
      <c r="E163" s="1362"/>
      <c r="F163" s="1331"/>
      <c r="G163" s="1331"/>
      <c r="H163" s="1331"/>
      <c r="I163" s="1331"/>
      <c r="J163" s="1331"/>
    </row>
    <row r="164" ht="18.0" customHeight="1">
      <c r="B164" s="1363" t="s">
        <v>3486</v>
      </c>
      <c r="C164" s="1361"/>
      <c r="D164" s="1361"/>
      <c r="E164" s="1361"/>
      <c r="F164" s="1337"/>
      <c r="G164" s="1337"/>
      <c r="H164" s="1337"/>
      <c r="I164" s="1337"/>
      <c r="J164" s="1337"/>
    </row>
    <row r="165" ht="18.0" customHeight="1">
      <c r="B165" s="1398" t="s">
        <v>1205</v>
      </c>
      <c r="C165" s="1398" t="s">
        <v>2738</v>
      </c>
      <c r="D165" s="1362"/>
      <c r="E165" s="1398" t="s">
        <v>3487</v>
      </c>
      <c r="F165" s="1399" t="s">
        <v>1545</v>
      </c>
      <c r="G165" s="1399" t="s">
        <v>270</v>
      </c>
      <c r="H165" s="1399" t="s">
        <v>272</v>
      </c>
      <c r="I165" s="1331"/>
      <c r="J165" s="1331"/>
    </row>
    <row r="166" ht="18.0" customHeight="1">
      <c r="B166" s="1361" t="s">
        <v>3488</v>
      </c>
      <c r="C166" s="1361" t="s">
        <v>3489</v>
      </c>
      <c r="D166" s="1361"/>
      <c r="E166" s="1361" t="s">
        <v>3490</v>
      </c>
      <c r="F166" s="1337" t="s">
        <v>3491</v>
      </c>
      <c r="G166" s="1337" t="s">
        <v>3492</v>
      </c>
      <c r="H166" s="1337" t="s">
        <v>3493</v>
      </c>
      <c r="I166" s="1337"/>
      <c r="J166" s="1337"/>
    </row>
    <row r="167" ht="18.0" customHeight="1">
      <c r="B167" s="1362" t="s">
        <v>2280</v>
      </c>
      <c r="C167" s="1362" t="s">
        <v>3494</v>
      </c>
      <c r="D167" s="1362"/>
      <c r="E167" s="1362" t="s">
        <v>2161</v>
      </c>
      <c r="F167" s="1331" t="s">
        <v>3495</v>
      </c>
      <c r="G167" s="1331" t="s">
        <v>3496</v>
      </c>
      <c r="H167" s="1331" t="s">
        <v>3493</v>
      </c>
      <c r="I167" s="1331"/>
      <c r="J167" s="1331"/>
    </row>
    <row r="168" ht="18.0" customHeight="1">
      <c r="B168" s="1361" t="s">
        <v>2743</v>
      </c>
      <c r="C168" s="1361" t="s">
        <v>3497</v>
      </c>
      <c r="D168" s="1361"/>
      <c r="E168" s="1361" t="s">
        <v>2169</v>
      </c>
      <c r="F168" s="1337" t="s">
        <v>3498</v>
      </c>
      <c r="G168" s="1337" t="s">
        <v>3499</v>
      </c>
      <c r="H168" s="1337" t="s">
        <v>3493</v>
      </c>
      <c r="I168" s="1337"/>
      <c r="J168" s="1337"/>
    </row>
    <row r="169" ht="18.0" customHeight="1">
      <c r="B169" s="1362" t="s">
        <v>2741</v>
      </c>
      <c r="C169" s="1362" t="s">
        <v>3500</v>
      </c>
      <c r="D169" s="1362"/>
      <c r="E169" s="1362" t="s">
        <v>536</v>
      </c>
      <c r="F169" s="1331" t="s">
        <v>3501</v>
      </c>
      <c r="G169" s="1331" t="s">
        <v>3496</v>
      </c>
      <c r="H169" s="1331" t="s">
        <v>3493</v>
      </c>
      <c r="I169" s="1331"/>
      <c r="J169" s="1331"/>
    </row>
    <row r="170" ht="18.0" customHeight="1">
      <c r="B170" s="1361" t="s">
        <v>3502</v>
      </c>
      <c r="C170" s="1361" t="s">
        <v>3503</v>
      </c>
      <c r="D170" s="1361"/>
      <c r="E170" s="1361" t="s">
        <v>593</v>
      </c>
      <c r="F170" s="1337" t="s">
        <v>3504</v>
      </c>
      <c r="G170" s="1337" t="s">
        <v>3505</v>
      </c>
      <c r="H170" s="1337" t="s">
        <v>2030</v>
      </c>
      <c r="I170" s="1337"/>
      <c r="J170" s="1337"/>
    </row>
    <row r="171" ht="18.0" customHeight="1">
      <c r="B171" s="1362" t="s">
        <v>3506</v>
      </c>
      <c r="C171" s="1362" t="s">
        <v>3507</v>
      </c>
      <c r="D171" s="1362"/>
      <c r="E171" s="1362" t="s">
        <v>3508</v>
      </c>
      <c r="F171" s="1331" t="s">
        <v>3509</v>
      </c>
      <c r="G171" s="1331" t="s">
        <v>3492</v>
      </c>
      <c r="H171" s="1331" t="s">
        <v>3493</v>
      </c>
      <c r="I171" s="1331"/>
      <c r="J171" s="1331"/>
    </row>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0" customHeight="1">
      <c r="B1003" s="1402" t="s">
        <v>3510</v>
      </c>
    </row>
    <row r="1004" ht="15.0" customHeight="1">
      <c r="B1004" s="246" t="s">
        <v>3511</v>
      </c>
    </row>
    <row r="1005" ht="15.75" customHeight="1"/>
    <row r="1006" ht="15.0" customHeight="1">
      <c r="B1006" s="1403" t="s">
        <v>3512</v>
      </c>
      <c r="C1006" s="1403" t="s">
        <v>3449</v>
      </c>
      <c r="D1006" s="1403" t="s">
        <v>3513</v>
      </c>
      <c r="E1006" s="1403" t="s">
        <v>3514</v>
      </c>
      <c r="F1006" s="1403" t="s">
        <v>3515</v>
      </c>
      <c r="G1006" s="1403" t="s">
        <v>1212</v>
      </c>
    </row>
    <row r="1007" ht="15.0" customHeight="1">
      <c r="B1007" s="1404" t="s">
        <v>3516</v>
      </c>
      <c r="C1007" s="1405">
        <v>74290.0</v>
      </c>
      <c r="D1007" s="22" t="s">
        <v>3517</v>
      </c>
      <c r="E1007" s="22" t="s">
        <v>3518</v>
      </c>
      <c r="F1007" s="22" t="s">
        <v>3519</v>
      </c>
      <c r="G1007" s="22" t="s">
        <v>3520</v>
      </c>
    </row>
    <row r="1008" ht="15.0" customHeight="1">
      <c r="B1008" s="1079" t="s">
        <v>3521</v>
      </c>
      <c r="C1008" s="1124">
        <f>'📈 PORTEFEUILLE'!L70</f>
        <v>85386.21618</v>
      </c>
      <c r="D1008" s="1406">
        <f>('📈 PORTEFEUILLE'!G15+'📈 PORTEFEUILLE'!G47)</f>
        <v>100</v>
      </c>
      <c r="E1008" s="1124">
        <f>IFERROR(D1008*CONFIG!G6,"⬜ Prix VFV manquant")</f>
        <v>16180</v>
      </c>
      <c r="F1008" s="1407">
        <f>IFERROR((C1008-E1008)/E1008,"—")</f>
        <v>4.277269232</v>
      </c>
      <c r="G1008" s="22" t="str">
        <f>IF(ISNUMBER(F1008),IF(F1008&gt;0,"✅ Alpha positif 🏆",IF(F1008&gt;-0.02,"🟡 Quasi-benchmark","❌ Sous-benchmark")),"⬜ Calculer")</f>
        <v>✅ Alpha positif 🏆</v>
      </c>
    </row>
    <row r="1009" ht="15.75" customHeight="1"/>
    <row r="1010" ht="15.0" customHeight="1">
      <c r="B1010" s="1408" t="s">
        <v>3522</v>
      </c>
    </row>
    <row r="1011" ht="15.0" customHeight="1">
      <c r="B1011" s="1409" t="s">
        <v>2251</v>
      </c>
      <c r="C1011" s="1409" t="s">
        <v>1206</v>
      </c>
      <c r="D1011" s="1409" t="s">
        <v>1294</v>
      </c>
      <c r="E1011" s="1409" t="s">
        <v>1323</v>
      </c>
      <c r="F1011" s="1409" t="s">
        <v>1430</v>
      </c>
      <c r="G1011" s="1409" t="s">
        <v>3523</v>
      </c>
      <c r="H1011" s="1409" t="s">
        <v>3524</v>
      </c>
      <c r="I1011" s="1409" t="s">
        <v>1212</v>
      </c>
    </row>
    <row r="1012" ht="15.0" customHeight="1">
      <c r="B1012" s="1100" t="s">
        <v>1213</v>
      </c>
      <c r="C1012" s="22" t="s">
        <v>536</v>
      </c>
      <c r="D1012" s="22" t="s">
        <v>19</v>
      </c>
      <c r="E1012" s="22" t="s">
        <v>1337</v>
      </c>
      <c r="F1012" s="22" t="s">
        <v>1436</v>
      </c>
      <c r="G1012" s="22" t="s">
        <v>434</v>
      </c>
      <c r="H1012" s="22" t="s">
        <v>434</v>
      </c>
      <c r="I1012" s="22" t="s">
        <v>3525</v>
      </c>
    </row>
    <row r="1013" ht="15.0" customHeight="1">
      <c r="B1013" s="1100" t="s">
        <v>1213</v>
      </c>
      <c r="C1013" s="22" t="s">
        <v>1219</v>
      </c>
      <c r="D1013" s="22" t="s">
        <v>19</v>
      </c>
      <c r="E1013" s="22" t="s">
        <v>1340</v>
      </c>
      <c r="F1013" s="22" t="s">
        <v>1436</v>
      </c>
      <c r="G1013" s="22" t="s">
        <v>434</v>
      </c>
      <c r="H1013" s="22" t="s">
        <v>434</v>
      </c>
      <c r="I1013" s="22" t="s">
        <v>3525</v>
      </c>
    </row>
    <row r="1014" ht="15.0" customHeight="1">
      <c r="B1014" s="1100" t="s">
        <v>1213</v>
      </c>
      <c r="C1014" s="22" t="s">
        <v>1223</v>
      </c>
      <c r="D1014" s="22" t="s">
        <v>19</v>
      </c>
      <c r="E1014" s="22" t="s">
        <v>1344</v>
      </c>
      <c r="F1014" s="22" t="s">
        <v>1436</v>
      </c>
      <c r="G1014" s="22" t="s">
        <v>434</v>
      </c>
      <c r="H1014" s="22" t="s">
        <v>434</v>
      </c>
      <c r="I1014" s="22" t="s">
        <v>3525</v>
      </c>
    </row>
    <row r="1015" ht="15.75" customHeight="1"/>
    <row r="1016" ht="15.0" customHeight="1">
      <c r="B1016" s="1410" t="s">
        <v>3526</v>
      </c>
    </row>
  </sheetData>
  <mergeCells count="42">
    <mergeCell ref="B1:H1"/>
    <mergeCell ref="B3:H3"/>
    <mergeCell ref="B5:I5"/>
    <mergeCell ref="B7:I7"/>
    <mergeCell ref="B16:I16"/>
    <mergeCell ref="B22:I22"/>
    <mergeCell ref="B23:H23"/>
    <mergeCell ref="B25:C25"/>
    <mergeCell ref="B26:C26"/>
    <mergeCell ref="B27:C27"/>
    <mergeCell ref="B29:H29"/>
    <mergeCell ref="C30:D30"/>
    <mergeCell ref="C31:D31"/>
    <mergeCell ref="C32:D32"/>
    <mergeCell ref="C33:D33"/>
    <mergeCell ref="B34:I34"/>
    <mergeCell ref="C35:D35"/>
    <mergeCell ref="C36:D36"/>
    <mergeCell ref="B51:I51"/>
    <mergeCell ref="B66:I66"/>
    <mergeCell ref="B68:I68"/>
    <mergeCell ref="B76:I76"/>
    <mergeCell ref="B78:I78"/>
    <mergeCell ref="B81:I81"/>
    <mergeCell ref="B83:I83"/>
    <mergeCell ref="B85:I85"/>
    <mergeCell ref="B122:J122"/>
    <mergeCell ref="B123:J123"/>
    <mergeCell ref="I134:J134"/>
    <mergeCell ref="I135:J135"/>
    <mergeCell ref="I136:J136"/>
    <mergeCell ref="I137:J137"/>
    <mergeCell ref="I138:J138"/>
    <mergeCell ref="B140:E140"/>
    <mergeCell ref="B142:J142"/>
    <mergeCell ref="G125:J125"/>
    <mergeCell ref="G126:J126"/>
    <mergeCell ref="G127:J127"/>
    <mergeCell ref="B129:J129"/>
    <mergeCell ref="I131:J131"/>
    <mergeCell ref="I132:J132"/>
    <mergeCell ref="I133:J133"/>
  </mergeCells>
  <printOptions/>
  <pageMargins bottom="1.0" footer="0.0" header="0.0" left="0.75" right="0.75" top="1.0"/>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2.0"/>
    <col customWidth="1" min="2" max="2" width="18.0"/>
    <col customWidth="1" min="3" max="8" width="14.0"/>
    <col customWidth="1" min="9" max="9" width="22.0"/>
  </cols>
  <sheetData>
    <row r="1" ht="25.5" customHeight="1">
      <c r="B1" s="1411" t="s">
        <v>3527</v>
      </c>
      <c r="C1" s="2"/>
      <c r="D1" s="2"/>
      <c r="E1" s="2"/>
      <c r="F1" s="2"/>
      <c r="G1" s="2"/>
      <c r="H1" s="2"/>
      <c r="I1" s="2"/>
    </row>
    <row r="2" ht="27.75" customHeight="1">
      <c r="B2" s="1412" t="str">
        <f>IF(AND(ISNUMBER(C57),ISNUMBER(C58),ISNUMBER(C59),ABS(F60)&lt;1000),"🟢  FICHIER SAIN — Tous checks OK  ·  Ouvrir session","🔴  ATTENTION — Vérifier checks ci-dessous avant de continuer")</f>
        <v>🔴  ATTENTION — Vérifier checks ci-dessous avant de continuer</v>
      </c>
      <c r="C2" s="2"/>
      <c r="D2" s="2"/>
      <c r="E2" s="1162" t="str">
        <f>IF(AND(E51=0,E61=0,E74=0),"🟢  FICHIER INTÈGRE — Tous les checks sont ✅","🔴  PROBLÈMES DÉTECTÉS — Voir sections ci-dessous")</f>
        <v>🔴  PROBLÈMES DÉTECTÉS — Voir sections ci-dessous</v>
      </c>
      <c r="F2" s="2"/>
      <c r="G2" s="2"/>
      <c r="H2" s="2"/>
      <c r="I2" s="2"/>
    </row>
    <row r="3" ht="15.0" customHeight="1"/>
    <row r="4" ht="18.0" customHeight="1">
      <c r="B4" s="294" t="s">
        <v>3528</v>
      </c>
      <c r="C4" s="2"/>
      <c r="D4" s="2"/>
      <c r="E4" s="2"/>
      <c r="F4" s="2"/>
      <c r="G4" s="2"/>
      <c r="H4" s="2"/>
      <c r="I4" s="2"/>
    </row>
    <row r="5" ht="15.0" customHeight="1">
      <c r="B5" s="1413" t="s">
        <v>3529</v>
      </c>
      <c r="C5" s="2"/>
      <c r="D5" s="2"/>
      <c r="E5" s="2"/>
      <c r="F5" s="2"/>
      <c r="G5" s="2"/>
      <c r="H5" s="2"/>
      <c r="I5" s="2"/>
    </row>
    <row r="6" ht="15.0" customHeight="1">
      <c r="B6" s="30" t="s">
        <v>3530</v>
      </c>
      <c r="C6" s="30" t="s">
        <v>1206</v>
      </c>
      <c r="D6" s="30" t="s">
        <v>1294</v>
      </c>
      <c r="E6" s="30" t="s">
        <v>3531</v>
      </c>
      <c r="F6" s="30" t="s">
        <v>3532</v>
      </c>
      <c r="G6" s="1127" t="s">
        <v>272</v>
      </c>
      <c r="H6" s="2"/>
      <c r="I6" s="30" t="s">
        <v>3533</v>
      </c>
    </row>
    <row r="7" ht="15.75" customHeight="1">
      <c r="B7" s="1056">
        <v>15.0</v>
      </c>
      <c r="C7" s="1056" t="s">
        <v>1247</v>
      </c>
      <c r="D7" s="1056" t="s">
        <v>19</v>
      </c>
      <c r="E7" s="1056" t="s">
        <v>3534</v>
      </c>
      <c r="F7" s="1056" t="s">
        <v>3534</v>
      </c>
      <c r="G7" s="1116" t="str">
        <f>IF(ISNUMBER('📈 PORTEFEUILLE'!G15),IF('📈 PORTEFEUILLE'!G15=0,"✅ QTÉ ZÉRO",IF(ABS('📈 PORTEFEUILLE'!L15-'📈 PORTEFEUILLE'!G15*'📈 PORTEFEUILLE'!I15)&lt;0.05,"✅ OK","🔴 OFFSET DÉTECTÉ")),"✅ N/A")</f>
        <v>✅ OK</v>
      </c>
      <c r="H7" s="2"/>
      <c r="I7" s="1056" t="str">
        <f>IF(G7="🔴 OFFSET DÉTECTÉ","→ Corriger L15: G15*I15","")</f>
        <v/>
      </c>
    </row>
    <row r="8" ht="15.75" customHeight="1">
      <c r="B8" s="1414">
        <v>16.0</v>
      </c>
      <c r="C8" s="1414" t="s">
        <v>2153</v>
      </c>
      <c r="D8" s="1414" t="s">
        <v>19</v>
      </c>
      <c r="E8" s="1414" t="s">
        <v>3535</v>
      </c>
      <c r="F8" s="1414" t="s">
        <v>3535</v>
      </c>
      <c r="G8" s="1118" t="str">
        <f>IF(ISNUMBER('📈 PORTEFEUILLE'!G16),IF('📈 PORTEFEUILLE'!G16=0,"✅ QTÉ ZÉRO",IF(ABS('📈 PORTEFEUILLE'!L16-'📈 PORTEFEUILLE'!G16*'📈 PORTEFEUILLE'!I16)&lt;0.05,"✅ OK","🔴 OFFSET DÉTECTÉ")),"✅ N/A")</f>
        <v>✅ OK</v>
      </c>
      <c r="H8" s="2"/>
      <c r="I8" s="1414" t="str">
        <f>IF(G8="🔴 OFFSET DÉTECTÉ","→ Corriger L16: G16*I16","")</f>
        <v/>
      </c>
    </row>
    <row r="9" ht="15.75" customHeight="1">
      <c r="B9" s="1056">
        <v>17.0</v>
      </c>
      <c r="C9" s="1056" t="s">
        <v>536</v>
      </c>
      <c r="D9" s="1056" t="s">
        <v>19</v>
      </c>
      <c r="E9" s="1056" t="s">
        <v>3536</v>
      </c>
      <c r="F9" s="1056" t="s">
        <v>3536</v>
      </c>
      <c r="G9" s="1116" t="str">
        <f>IF(ISNUMBER('📈 PORTEFEUILLE'!G17),IF('📈 PORTEFEUILLE'!G17=0,"✅ QTÉ ZÉRO",IF(ABS('📈 PORTEFEUILLE'!L17-'📈 PORTEFEUILLE'!G17*'📈 PORTEFEUILLE'!I17)&lt;0.05,"✅ OK","🔴 OFFSET DÉTECTÉ")),"✅ N/A")</f>
        <v>✅ OK</v>
      </c>
      <c r="H9" s="2"/>
      <c r="I9" s="1056" t="str">
        <f>IF(G9="🔴 OFFSET DÉTECTÉ","→ Corriger L17: G17*I17","")</f>
        <v/>
      </c>
    </row>
    <row r="10" ht="15.75" customHeight="1">
      <c r="B10" s="1414">
        <v>18.0</v>
      </c>
      <c r="C10" s="1414" t="s">
        <v>2158</v>
      </c>
      <c r="D10" s="1414" t="s">
        <v>19</v>
      </c>
      <c r="E10" s="1414" t="s">
        <v>3537</v>
      </c>
      <c r="F10" s="1414" t="s">
        <v>3537</v>
      </c>
      <c r="G10" s="1118" t="str">
        <f>IF(ISNUMBER('📈 PORTEFEUILLE'!G18),IF('📈 PORTEFEUILLE'!G18=0,"✅ QTÉ ZÉRO",IF(ABS('📈 PORTEFEUILLE'!L18-'📈 PORTEFEUILLE'!G18*'📈 PORTEFEUILLE'!I18)&lt;0.05,"✅ OK","🔴 OFFSET DÉTECTÉ")),"✅ N/A")</f>
        <v>✅ OK</v>
      </c>
      <c r="H10" s="2"/>
      <c r="I10" s="1414" t="str">
        <f>IF(G10="🔴 OFFSET DÉTECTÉ","→ Corriger L18: G18*I18","")</f>
        <v/>
      </c>
    </row>
    <row r="11" ht="15.75" customHeight="1">
      <c r="B11" s="1056">
        <v>19.0</v>
      </c>
      <c r="C11" s="1056" t="s">
        <v>1223</v>
      </c>
      <c r="D11" s="1056" t="s">
        <v>19</v>
      </c>
      <c r="E11" s="1056" t="s">
        <v>3538</v>
      </c>
      <c r="F11" s="1056" t="s">
        <v>3538</v>
      </c>
      <c r="G11" s="1116" t="str">
        <f>IF(ISNUMBER('📈 PORTEFEUILLE'!G19),IF('📈 PORTEFEUILLE'!G19=0,"✅ QTÉ ZÉRO",IF(ABS('📈 PORTEFEUILLE'!L19-'📈 PORTEFEUILLE'!G19*'📈 PORTEFEUILLE'!I19)&lt;0.05,"✅ OK","🔴 OFFSET DÉTECTÉ")),"✅ N/A")</f>
        <v>✅ OK</v>
      </c>
      <c r="H11" s="2"/>
      <c r="I11" s="1056" t="str">
        <f>IF(G11="🔴 OFFSET DÉTECTÉ","→ Corriger L19: G19*I19","")</f>
        <v/>
      </c>
    </row>
    <row r="12" ht="15.75" customHeight="1">
      <c r="B12" s="1414">
        <v>20.0</v>
      </c>
      <c r="C12" s="1414" t="s">
        <v>2161</v>
      </c>
      <c r="D12" s="1414" t="s">
        <v>19</v>
      </c>
      <c r="E12" s="1414" t="s">
        <v>3539</v>
      </c>
      <c r="F12" s="1414" t="s">
        <v>3539</v>
      </c>
      <c r="G12" s="1118" t="str">
        <f>IF(ISNUMBER('📈 PORTEFEUILLE'!G20),IF('📈 PORTEFEUILLE'!G20=0,"✅ QTÉ ZÉRO",IF(ABS('📈 PORTEFEUILLE'!L20-'📈 PORTEFEUILLE'!G20*'📈 PORTEFEUILLE'!I20)&lt;0.05,"✅ OK","🔴 OFFSET DÉTECTÉ")),"✅ N/A")</f>
        <v>✅ OK</v>
      </c>
      <c r="H12" s="2"/>
      <c r="I12" s="1414" t="str">
        <f>IF(G12="🔴 OFFSET DÉTECTÉ","→ Corriger L20: G20*I20","")</f>
        <v/>
      </c>
    </row>
    <row r="13" ht="15.75" customHeight="1">
      <c r="B13" s="1056">
        <v>21.0</v>
      </c>
      <c r="C13" s="1056" t="s">
        <v>2163</v>
      </c>
      <c r="D13" s="1056" t="s">
        <v>19</v>
      </c>
      <c r="E13" s="1056" t="s">
        <v>3540</v>
      </c>
      <c r="F13" s="1056" t="s">
        <v>3540</v>
      </c>
      <c r="G13" s="1116" t="str">
        <f>IF(ISNUMBER('📈 PORTEFEUILLE'!G21),IF('📈 PORTEFEUILLE'!G21=0,"✅ QTÉ ZÉRO",IF(ABS('📈 PORTEFEUILLE'!L21-'📈 PORTEFEUILLE'!G21*'📈 PORTEFEUILLE'!I21)&lt;0.05,"✅ OK","🔴 OFFSET DÉTECTÉ")),"✅ N/A")</f>
        <v>✅ OK</v>
      </c>
      <c r="H13" s="2"/>
      <c r="I13" s="1056" t="str">
        <f>IF(G13="🔴 OFFSET DÉTECTÉ","→ Corriger L21: G21*I21","")</f>
        <v/>
      </c>
    </row>
    <row r="14" ht="15.75" customHeight="1">
      <c r="B14" s="1414">
        <v>22.0</v>
      </c>
      <c r="C14" s="1414" t="s">
        <v>1219</v>
      </c>
      <c r="D14" s="1414" t="s">
        <v>19</v>
      </c>
      <c r="E14" s="1414" t="s">
        <v>3541</v>
      </c>
      <c r="F14" s="1414" t="s">
        <v>3541</v>
      </c>
      <c r="G14" s="1118" t="str">
        <f>IF(ISNUMBER('📈 PORTEFEUILLE'!G22),IF('📈 PORTEFEUILLE'!G22=0,"✅ QTÉ ZÉRO",IF(ABS('📈 PORTEFEUILLE'!L22-'📈 PORTEFEUILLE'!G22*'📈 PORTEFEUILLE'!I22)&lt;0.05,"✅ OK","🔴 OFFSET DÉTECTÉ")),"✅ N/A")</f>
        <v>✅ OK</v>
      </c>
      <c r="H14" s="2"/>
      <c r="I14" s="1414" t="str">
        <f>IF(G14="🔴 OFFSET DÉTECTÉ","→ Corriger L22: G22*I22","")</f>
        <v/>
      </c>
    </row>
    <row r="15" ht="15.75" customHeight="1">
      <c r="B15" s="1056">
        <v>23.0</v>
      </c>
      <c r="C15" s="1056" t="s">
        <v>2167</v>
      </c>
      <c r="D15" s="1056" t="s">
        <v>19</v>
      </c>
      <c r="E15" s="1056" t="s">
        <v>3542</v>
      </c>
      <c r="F15" s="1056" t="s">
        <v>3542</v>
      </c>
      <c r="G15" s="1116" t="str">
        <f>IF(ISNUMBER('📈 PORTEFEUILLE'!G23),IF('📈 PORTEFEUILLE'!G23=0,"✅ QTÉ ZÉRO",IF(ABS('📈 PORTEFEUILLE'!L23-'📈 PORTEFEUILLE'!G23*'📈 PORTEFEUILLE'!I23)&lt;0.05,"✅ OK","🔴 OFFSET DÉTECTÉ")),"✅ N/A")</f>
        <v>✅ OK</v>
      </c>
      <c r="H15" s="2"/>
      <c r="I15" s="1056" t="str">
        <f>IF(G15="🔴 OFFSET DÉTECTÉ","→ Corriger L23: G23*I23","")</f>
        <v/>
      </c>
    </row>
    <row r="16" ht="15.75" customHeight="1">
      <c r="B16" s="1414">
        <v>24.0</v>
      </c>
      <c r="C16" s="1414" t="s">
        <v>2169</v>
      </c>
      <c r="D16" s="1414" t="s">
        <v>19</v>
      </c>
      <c r="E16" s="1414" t="s">
        <v>3543</v>
      </c>
      <c r="F16" s="1414" t="s">
        <v>3543</v>
      </c>
      <c r="G16" s="1118" t="str">
        <f>IF(ISNUMBER('📈 PORTEFEUILLE'!G24),IF('📈 PORTEFEUILLE'!G24=0,"✅ QTÉ ZÉRO",IF(ABS('📈 PORTEFEUILLE'!L24-'📈 PORTEFEUILLE'!G24*'📈 PORTEFEUILLE'!I24)&lt;0.05,"✅ OK","🔴 OFFSET DÉTECTÉ")),"✅ N/A")</f>
        <v>✅ OK</v>
      </c>
      <c r="H16" s="2"/>
      <c r="I16" s="1414" t="str">
        <f>IF(G16="🔴 OFFSET DÉTECTÉ","→ Corriger L24: G24*I24","")</f>
        <v/>
      </c>
    </row>
    <row r="17" ht="15.75" customHeight="1">
      <c r="B17" s="1056">
        <v>25.0</v>
      </c>
      <c r="C17" s="1056" t="s">
        <v>2171</v>
      </c>
      <c r="D17" s="1056" t="s">
        <v>19</v>
      </c>
      <c r="E17" s="1056" t="s">
        <v>3544</v>
      </c>
      <c r="F17" s="1056" t="s">
        <v>3544</v>
      </c>
      <c r="G17" s="1116" t="str">
        <f>IF(ISNUMBER('📈 PORTEFEUILLE'!G25),IF('📈 PORTEFEUILLE'!G25=0,"✅ QTÉ ZÉRO",IF(ABS('📈 PORTEFEUILLE'!L25-'📈 PORTEFEUILLE'!G25*'📈 PORTEFEUILLE'!I25)&lt;0.05,"✅ OK","🔴 OFFSET DÉTECTÉ")),"✅ N/A")</f>
        <v>✅ OK</v>
      </c>
      <c r="H17" s="2"/>
      <c r="I17" s="1056" t="str">
        <f>IF(G17="🔴 OFFSET DÉTECTÉ","→ Corriger L25: G25*I25","")</f>
        <v/>
      </c>
    </row>
    <row r="18" ht="15.75" customHeight="1">
      <c r="B18" s="1414">
        <v>26.0</v>
      </c>
      <c r="C18" s="1414" t="s">
        <v>2173</v>
      </c>
      <c r="D18" s="1414" t="s">
        <v>19</v>
      </c>
      <c r="E18" s="1414" t="s">
        <v>3545</v>
      </c>
      <c r="F18" s="1414" t="s">
        <v>3545</v>
      </c>
      <c r="G18" s="1118" t="str">
        <f>IF(ISNUMBER('📈 PORTEFEUILLE'!G26),IF('📈 PORTEFEUILLE'!G26=0,"✅ QTÉ ZÉRO",IF(ABS('📈 PORTEFEUILLE'!L26-'📈 PORTEFEUILLE'!G26*'📈 PORTEFEUILLE'!I26)&lt;0.05,"✅ OK","🔴 OFFSET DÉTECTÉ")),"✅ N/A")</f>
        <v>✅ OK</v>
      </c>
      <c r="H18" s="2"/>
      <c r="I18" s="1414" t="str">
        <f>IF(G18="🔴 OFFSET DÉTECTÉ","→ Corriger L26: G26*I26","")</f>
        <v/>
      </c>
    </row>
    <row r="19" ht="15.75" customHeight="1">
      <c r="B19" s="1056">
        <v>27.0</v>
      </c>
      <c r="C19" s="1056" t="s">
        <v>1456</v>
      </c>
      <c r="D19" s="1056" t="s">
        <v>19</v>
      </c>
      <c r="E19" s="1056" t="s">
        <v>3546</v>
      </c>
      <c r="F19" s="1056" t="s">
        <v>3546</v>
      </c>
      <c r="G19" s="1116" t="str">
        <f>IF(ISNUMBER('📈 PORTEFEUILLE'!G27),IF('📈 PORTEFEUILLE'!G27=0,"✅ QTÉ ZÉRO",IF(ABS('📈 PORTEFEUILLE'!L27-'📈 PORTEFEUILLE'!G27*'📈 PORTEFEUILLE'!I27)&lt;0.05,"✅ OK","🔴 OFFSET DÉTECTÉ")),"✅ N/A")</f>
        <v>✅ OK</v>
      </c>
      <c r="H19" s="2"/>
      <c r="I19" s="1056" t="str">
        <f>IF(G19="🔴 OFFSET DÉTECTÉ","→ Corriger L27: G27*I27","")</f>
        <v/>
      </c>
    </row>
    <row r="20" ht="15.75" customHeight="1">
      <c r="B20" s="1414">
        <v>28.0</v>
      </c>
      <c r="C20" s="1414" t="s">
        <v>2178</v>
      </c>
      <c r="D20" s="1414" t="s">
        <v>19</v>
      </c>
      <c r="E20" s="1414" t="s">
        <v>3547</v>
      </c>
      <c r="F20" s="1414" t="s">
        <v>3547</v>
      </c>
      <c r="G20" s="1118" t="str">
        <f>IF(ISNUMBER('📈 PORTEFEUILLE'!G28),IF('📈 PORTEFEUILLE'!G28=0,"✅ QTÉ ZÉRO",IF(ABS('📈 PORTEFEUILLE'!L28-'📈 PORTEFEUILLE'!G28*'📈 PORTEFEUILLE'!I28)&lt;0.05,"✅ OK","🔴 OFFSET DÉTECTÉ")),"✅ N/A")</f>
        <v>✅ OK</v>
      </c>
      <c r="H20" s="2"/>
      <c r="I20" s="1414" t="str">
        <f>IF(G20="🔴 OFFSET DÉTECTÉ","→ Corriger L28: G28*I28","")</f>
        <v/>
      </c>
    </row>
    <row r="21" ht="15.75" customHeight="1">
      <c r="B21" s="1056">
        <v>29.0</v>
      </c>
      <c r="C21" s="1056" t="s">
        <v>1977</v>
      </c>
      <c r="D21" s="1056" t="s">
        <v>19</v>
      </c>
      <c r="E21" s="1056" t="s">
        <v>3548</v>
      </c>
      <c r="F21" s="1056" t="s">
        <v>3548</v>
      </c>
      <c r="G21" s="1116" t="str">
        <f>IF(ISNUMBER('📈 PORTEFEUILLE'!G29),IF('📈 PORTEFEUILLE'!G29=0,"✅ QTÉ ZÉRO",IF(ABS('📈 PORTEFEUILLE'!L29-'📈 PORTEFEUILLE'!G29*'📈 PORTEFEUILLE'!I29)&lt;0.05,"✅ OK","🔴 OFFSET DÉTECTÉ")),"✅ N/A")</f>
        <v>✅ OK</v>
      </c>
      <c r="H21" s="2"/>
      <c r="I21" s="1056" t="str">
        <f>IF(G21="🔴 OFFSET DÉTECTÉ","→ Corriger L29: G29*I29","")</f>
        <v/>
      </c>
    </row>
    <row r="22" ht="15.75" customHeight="1">
      <c r="B22" s="1414">
        <v>30.0</v>
      </c>
      <c r="C22" s="1414" t="s">
        <v>1278</v>
      </c>
      <c r="D22" s="1414" t="s">
        <v>19</v>
      </c>
      <c r="E22" s="1414" t="s">
        <v>3549</v>
      </c>
      <c r="F22" s="1414" t="s">
        <v>3549</v>
      </c>
      <c r="G22" s="1118" t="str">
        <f>IF(ISNUMBER('📈 PORTEFEUILLE'!G30),IF('📈 PORTEFEUILLE'!G30=0,"✅ QTÉ ZÉRO",IF(ABS('📈 PORTEFEUILLE'!L30-'📈 PORTEFEUILLE'!G30*'📈 PORTEFEUILLE'!I30)&lt;0.05,"✅ OK","🔴 OFFSET DÉTECTÉ")),"✅ N/A")</f>
        <v>✅ OK</v>
      </c>
      <c r="H22" s="2"/>
      <c r="I22" s="1414" t="str">
        <f>IF(G22="🔴 OFFSET DÉTECTÉ","→ Corriger L30: G30*I30","")</f>
        <v/>
      </c>
    </row>
    <row r="23" ht="15.75" customHeight="1">
      <c r="B23" s="1056">
        <v>31.0</v>
      </c>
      <c r="C23" s="1056" t="s">
        <v>1284</v>
      </c>
      <c r="D23" s="1056" t="s">
        <v>19</v>
      </c>
      <c r="E23" s="1056" t="s">
        <v>3550</v>
      </c>
      <c r="F23" s="1056" t="s">
        <v>3550</v>
      </c>
      <c r="G23" s="1116" t="str">
        <f>IF(ISNUMBER('📈 PORTEFEUILLE'!G31),IF('📈 PORTEFEUILLE'!G31=0,"✅ QTÉ ZÉRO",IF(ABS('📈 PORTEFEUILLE'!L31-'📈 PORTEFEUILLE'!G31*'📈 PORTEFEUILLE'!I31)&lt;0.05,"✅ OK","🔴 OFFSET DÉTECTÉ")),"✅ N/A")</f>
        <v>✅ OK</v>
      </c>
      <c r="H23" s="2"/>
      <c r="I23" s="1056" t="str">
        <f>IF(G23="🔴 OFFSET DÉTECTÉ","→ Corriger L31: G31*I31","")</f>
        <v/>
      </c>
    </row>
    <row r="24" ht="15.75" customHeight="1">
      <c r="B24" s="1414">
        <v>32.0</v>
      </c>
      <c r="C24" s="1414" t="s">
        <v>1986</v>
      </c>
      <c r="D24" s="1414" t="s">
        <v>19</v>
      </c>
      <c r="E24" s="1414" t="s">
        <v>3551</v>
      </c>
      <c r="F24" s="1414" t="s">
        <v>3551</v>
      </c>
      <c r="G24" s="1118" t="str">
        <f>IF(ISNUMBER('📈 PORTEFEUILLE'!G32),IF('📈 PORTEFEUILLE'!G32=0,"✅ QTÉ ZÉRO",IF(ABS('📈 PORTEFEUILLE'!L32-'📈 PORTEFEUILLE'!G32*'📈 PORTEFEUILLE'!I32)&lt;0.05,"✅ OK","🔴 OFFSET DÉTECTÉ")),"✅ N/A")</f>
        <v>✅ OK</v>
      </c>
      <c r="H24" s="2"/>
      <c r="I24" s="1414" t="str">
        <f>IF(G24="🔴 OFFSET DÉTECTÉ","→ Corriger L32: G32*I32","")</f>
        <v/>
      </c>
    </row>
    <row r="25" ht="15.75" customHeight="1">
      <c r="B25" s="1056">
        <v>33.0</v>
      </c>
      <c r="C25" s="1056" t="s">
        <v>2187</v>
      </c>
      <c r="D25" s="1056" t="s">
        <v>19</v>
      </c>
      <c r="E25" s="1056" t="s">
        <v>3552</v>
      </c>
      <c r="F25" s="1056" t="s">
        <v>3552</v>
      </c>
      <c r="G25" s="1116" t="str">
        <f>IF(ISNUMBER('📈 PORTEFEUILLE'!G33),IF('📈 PORTEFEUILLE'!G33=0,"✅ QTÉ ZÉRO",IF(ABS('📈 PORTEFEUILLE'!L33-'📈 PORTEFEUILLE'!G33*'📈 PORTEFEUILLE'!I33)&lt;0.05,"✅ OK","🔴 OFFSET DÉTECTÉ")),"✅ N/A")</f>
        <v>✅ OK</v>
      </c>
      <c r="H25" s="2"/>
      <c r="I25" s="1056" t="str">
        <f>IF(G25="🔴 OFFSET DÉTECTÉ","→ Corriger L33: G33*I33","")</f>
        <v/>
      </c>
    </row>
    <row r="26" ht="15.75" customHeight="1">
      <c r="B26" s="1414">
        <v>34.0</v>
      </c>
      <c r="C26" s="1414" t="s">
        <v>2190</v>
      </c>
      <c r="D26" s="1414" t="s">
        <v>19</v>
      </c>
      <c r="E26" s="1414" t="s">
        <v>3553</v>
      </c>
      <c r="F26" s="1414" t="s">
        <v>3553</v>
      </c>
      <c r="G26" s="1118" t="str">
        <f>IF(ISNUMBER('📈 PORTEFEUILLE'!G34),IF('📈 PORTEFEUILLE'!G34=0,"✅ QTÉ ZÉRO",IF(ABS('📈 PORTEFEUILLE'!L34-'📈 PORTEFEUILLE'!G34*'📈 PORTEFEUILLE'!I34)&lt;0.05,"✅ OK","🔴 OFFSET DÉTECTÉ")),"✅ N/A")</f>
        <v>✅ OK</v>
      </c>
      <c r="H26" s="2"/>
      <c r="I26" s="1414" t="str">
        <f>IF(G26="🔴 OFFSET DÉTECTÉ","→ Corriger L34: G34*I34","")</f>
        <v/>
      </c>
    </row>
    <row r="27" ht="15.75" customHeight="1">
      <c r="B27" s="1056">
        <v>35.0</v>
      </c>
      <c r="C27" s="1056" t="s">
        <v>3554</v>
      </c>
      <c r="D27" s="1056" t="s">
        <v>3555</v>
      </c>
      <c r="E27" s="1056" t="s">
        <v>3556</v>
      </c>
      <c r="F27" s="1056" t="s">
        <v>3556</v>
      </c>
      <c r="G27" s="1116" t="str">
        <f>IF(ISNUMBER('📈 PORTEFEUILLE'!G35),IF('📈 PORTEFEUILLE'!G35=0,"✅ QTÉ ZÉRO",IF(ABS('📈 PORTEFEUILLE'!L35-'📈 PORTEFEUILLE'!G35*'📈 PORTEFEUILLE'!I35)&lt;0.05,"✅ OK","🔴 OFFSET DÉTECTÉ")),"✅ N/A")</f>
        <v>✅ QTÉ ZÉRO</v>
      </c>
      <c r="H27" s="2"/>
      <c r="I27" s="1056" t="str">
        <f>IF(G27="🔴 OFFSET DÉTECTÉ","→ Corriger L35: G35*I35","")</f>
        <v/>
      </c>
    </row>
    <row r="28" ht="15.75" customHeight="1">
      <c r="B28" s="1414">
        <v>36.0</v>
      </c>
      <c r="C28" s="1414" t="s">
        <v>3557</v>
      </c>
      <c r="D28" s="1414" t="s">
        <v>3558</v>
      </c>
      <c r="E28" s="1414" t="s">
        <v>3559</v>
      </c>
      <c r="F28" s="1414" t="s">
        <v>3559</v>
      </c>
      <c r="G28" s="1118" t="str">
        <f>IF(ISNUMBER('📈 PORTEFEUILLE'!G36),IF('📈 PORTEFEUILLE'!G36=0,"✅ QTÉ ZÉRO",IF(ABS('📈 PORTEFEUILLE'!L36-'📈 PORTEFEUILLE'!G36*'📈 PORTEFEUILLE'!I36)&lt;0.05,"✅ OK","🔴 OFFSET DÉTECTÉ")),"✅ N/A")</f>
        <v>✅ QTÉ ZÉRO</v>
      </c>
      <c r="H28" s="2"/>
      <c r="I28" s="1414" t="str">
        <f>IF(G28="🔴 OFFSET DÉTECTÉ","→ Corriger L36: G36*I36","")</f>
        <v/>
      </c>
    </row>
    <row r="29" ht="15.75" customHeight="1">
      <c r="B29" s="1056">
        <v>37.0</v>
      </c>
      <c r="C29" s="1056" t="s">
        <v>2196</v>
      </c>
      <c r="D29" s="1056" t="s">
        <v>19</v>
      </c>
      <c r="E29" s="1056" t="s">
        <v>3560</v>
      </c>
      <c r="F29" s="1056" t="s">
        <v>3560</v>
      </c>
      <c r="G29" s="1116" t="str">
        <f>IF(ISNUMBER('📈 PORTEFEUILLE'!G37),IF('📈 PORTEFEUILLE'!G37=0,"✅ QTÉ ZÉRO",IF(ABS('📈 PORTEFEUILLE'!L37-'📈 PORTEFEUILLE'!G37*'📈 PORTEFEUILLE'!I37)&lt;0.05,"✅ OK","🔴 OFFSET DÉTECTÉ")),"✅ N/A")</f>
        <v>✅ OK</v>
      </c>
      <c r="H29" s="2"/>
      <c r="I29" s="1056" t="str">
        <f>IF(G29="🔴 OFFSET DÉTECTÉ","→ Corriger L37: G37*I37","")</f>
        <v/>
      </c>
    </row>
    <row r="30" ht="15.75" customHeight="1">
      <c r="B30" s="1414">
        <v>38.0</v>
      </c>
      <c r="C30" s="1414" t="s">
        <v>2198</v>
      </c>
      <c r="D30" s="1414" t="s">
        <v>19</v>
      </c>
      <c r="E30" s="1414" t="s">
        <v>3561</v>
      </c>
      <c r="F30" s="1414" t="s">
        <v>3561</v>
      </c>
      <c r="G30" s="1118" t="str">
        <f>IF(ISNUMBER('📈 PORTEFEUILLE'!G38),IF('📈 PORTEFEUILLE'!G38=0,"✅ QTÉ ZÉRO",IF(ABS('📈 PORTEFEUILLE'!L38-'📈 PORTEFEUILLE'!G38*'📈 PORTEFEUILLE'!I38)&lt;0.05,"✅ OK","🔴 OFFSET DÉTECTÉ")),"✅ N/A")</f>
        <v>✅ OK</v>
      </c>
      <c r="H30" s="2"/>
      <c r="I30" s="1414" t="str">
        <f>IF(G30="🔴 OFFSET DÉTECTÉ","→ Corriger L38: G38*I38","")</f>
        <v/>
      </c>
    </row>
    <row r="31" ht="15.75" customHeight="1">
      <c r="B31" s="1056">
        <v>39.0</v>
      </c>
      <c r="C31" s="1056" t="s">
        <v>1412</v>
      </c>
      <c r="D31" s="1056" t="s">
        <v>19</v>
      </c>
      <c r="E31" s="1056" t="s">
        <v>3562</v>
      </c>
      <c r="F31" s="1056" t="s">
        <v>3562</v>
      </c>
      <c r="G31" s="1116" t="str">
        <f>IF(ISNUMBER('📈 PORTEFEUILLE'!G39),IF('📈 PORTEFEUILLE'!G39=0,"✅ QTÉ ZÉRO",IF(ABS('📈 PORTEFEUILLE'!L39-'📈 PORTEFEUILLE'!G39*'📈 PORTEFEUILLE'!I39)&lt;0.05,"✅ OK","🔴 OFFSET DÉTECTÉ")),"✅ N/A")</f>
        <v>✅ OK</v>
      </c>
      <c r="H31" s="2"/>
      <c r="I31" s="1056" t="str">
        <f>IF(G31="🔴 OFFSET DÉTECTÉ","→ Corriger L39: G39*I39","")</f>
        <v/>
      </c>
    </row>
    <row r="32" ht="15.75" customHeight="1">
      <c r="B32" s="1414">
        <v>40.0</v>
      </c>
      <c r="C32" s="1414" t="s">
        <v>2201</v>
      </c>
      <c r="D32" s="1414" t="s">
        <v>19</v>
      </c>
      <c r="E32" s="1414" t="s">
        <v>3563</v>
      </c>
      <c r="F32" s="1414" t="s">
        <v>3563</v>
      </c>
      <c r="G32" s="1118" t="str">
        <f>IF(ISNUMBER('📈 PORTEFEUILLE'!G40),IF('📈 PORTEFEUILLE'!G40=0,"✅ QTÉ ZÉRO",IF(ABS('📈 PORTEFEUILLE'!L40-'📈 PORTEFEUILLE'!G40*'📈 PORTEFEUILLE'!I40)&lt;0.05,"✅ OK","🔴 OFFSET DÉTECTÉ")),"✅ N/A")</f>
        <v>✅ OK</v>
      </c>
      <c r="H32" s="2"/>
      <c r="I32" s="1414" t="str">
        <f>IF(G32="🔴 OFFSET DÉTECTÉ","→ Corriger L40: G40*I40","")</f>
        <v/>
      </c>
    </row>
    <row r="33" ht="15.75" customHeight="1">
      <c r="B33" s="1056">
        <v>41.0</v>
      </c>
      <c r="C33" s="1056" t="s">
        <v>1289</v>
      </c>
      <c r="D33" s="1056" t="s">
        <v>19</v>
      </c>
      <c r="E33" s="1056" t="s">
        <v>3564</v>
      </c>
      <c r="F33" s="1056" t="s">
        <v>3564</v>
      </c>
      <c r="G33" s="1116" t="str">
        <f>IF(ISNUMBER('📈 PORTEFEUILLE'!G41),IF('📈 PORTEFEUILLE'!G41=0,"✅ QTÉ ZÉRO",IF(ABS('📈 PORTEFEUILLE'!L41-'📈 PORTEFEUILLE'!G41*'📈 PORTEFEUILLE'!I41)&lt;0.05,"✅ OK","🔴 OFFSET DÉTECTÉ")),"✅ N/A")</f>
        <v>✅ OK</v>
      </c>
      <c r="H33" s="2"/>
      <c r="I33" s="1056" t="str">
        <f>IF(G33="🔴 OFFSET DÉTECTÉ","→ Corriger L41: G41*I41","")</f>
        <v/>
      </c>
    </row>
    <row r="34" ht="15.75" customHeight="1">
      <c r="B34" s="1414">
        <v>42.0</v>
      </c>
      <c r="C34" s="1414" t="s">
        <v>2204</v>
      </c>
      <c r="D34" s="1414" t="s">
        <v>19</v>
      </c>
      <c r="E34" s="1414" t="s">
        <v>3565</v>
      </c>
      <c r="F34" s="1414" t="s">
        <v>3565</v>
      </c>
      <c r="G34" s="1118" t="str">
        <f>IF(ISNUMBER('📈 PORTEFEUILLE'!G42),IF('📈 PORTEFEUILLE'!G42=0,"✅ QTÉ ZÉRO",IF(ABS('📈 PORTEFEUILLE'!L42-'📈 PORTEFEUILLE'!G42*'📈 PORTEFEUILLE'!I42)&lt;0.05,"✅ OK","🔴 OFFSET DÉTECTÉ")),"✅ N/A")</f>
        <v>✅ OK</v>
      </c>
      <c r="H34" s="2"/>
      <c r="I34" s="1414" t="str">
        <f>IF(G34="🔴 OFFSET DÉTECTÉ","→ Corriger L42: G42*I42","")</f>
        <v/>
      </c>
    </row>
    <row r="35" ht="15.75" customHeight="1">
      <c r="B35" s="1056">
        <v>47.0</v>
      </c>
      <c r="C35" s="1056" t="s">
        <v>1247</v>
      </c>
      <c r="D35" s="1056" t="s">
        <v>22</v>
      </c>
      <c r="E35" s="1056" t="s">
        <v>3566</v>
      </c>
      <c r="F35" s="1056" t="s">
        <v>3566</v>
      </c>
      <c r="G35" s="1116" t="str">
        <f>IF(ISNUMBER('📈 PORTEFEUILLE'!G47),IF('📈 PORTEFEUILLE'!G47=0,"✅ QTÉ ZÉRO",IF(ABS('📈 PORTEFEUILLE'!L47-'📈 PORTEFEUILLE'!G47*'📈 PORTEFEUILLE'!I47)&lt;0.05,"✅ OK","🔴 OFFSET DÉTECTÉ")),"✅ N/A")</f>
        <v>✅ OK</v>
      </c>
      <c r="H35" s="2"/>
      <c r="I35" s="1056" t="str">
        <f>IF(G35="🔴 OFFSET DÉTECTÉ","→ Corriger L47: G47*I47","")</f>
        <v/>
      </c>
    </row>
    <row r="36" ht="15.75" customHeight="1">
      <c r="B36" s="1414">
        <v>48.0</v>
      </c>
      <c r="C36" s="1414" t="s">
        <v>2158</v>
      </c>
      <c r="D36" s="1414" t="s">
        <v>22</v>
      </c>
      <c r="E36" s="1414" t="s">
        <v>3567</v>
      </c>
      <c r="F36" s="1414" t="s">
        <v>3567</v>
      </c>
      <c r="G36" s="1118" t="str">
        <f>IF(ISNUMBER('📈 PORTEFEUILLE'!G48),IF('📈 PORTEFEUILLE'!G48=0,"✅ QTÉ ZÉRO",IF(ABS('📈 PORTEFEUILLE'!L48-'📈 PORTEFEUILLE'!G48*'📈 PORTEFEUILLE'!I48)&lt;0.05,"✅ OK","🔴 OFFSET DÉTECTÉ")),"✅ N/A")</f>
        <v>✅ OK</v>
      </c>
      <c r="H36" s="2"/>
      <c r="I36" s="1414" t="str">
        <f>IF(G36="🔴 OFFSET DÉTECTÉ","→ Corriger L48: G48*I48","")</f>
        <v/>
      </c>
    </row>
    <row r="37" ht="15.75" customHeight="1">
      <c r="B37" s="1056">
        <v>49.0</v>
      </c>
      <c r="C37" s="1056" t="s">
        <v>2173</v>
      </c>
      <c r="D37" s="1056" t="s">
        <v>22</v>
      </c>
      <c r="E37" s="1056" t="s">
        <v>3568</v>
      </c>
      <c r="F37" s="1056" t="s">
        <v>3568</v>
      </c>
      <c r="G37" s="1116" t="str">
        <f>IF(ISNUMBER('📈 PORTEFEUILLE'!G49),IF('📈 PORTEFEUILLE'!G49=0,"✅ QTÉ ZÉRO",IF(ABS('📈 PORTEFEUILLE'!L49-'📈 PORTEFEUILLE'!G49*'📈 PORTEFEUILLE'!I49)&lt;0.05,"✅ OK","🔴 OFFSET DÉTECTÉ")),"✅ N/A")</f>
        <v>✅ OK</v>
      </c>
      <c r="H37" s="2"/>
      <c r="I37" s="1056" t="str">
        <f>IF(G37="🔴 OFFSET DÉTECTÉ","→ Corriger L49: G49*I49","")</f>
        <v/>
      </c>
    </row>
    <row r="38" ht="15.75" customHeight="1">
      <c r="B38" s="1414">
        <v>50.0</v>
      </c>
      <c r="C38" s="1414" t="s">
        <v>1456</v>
      </c>
      <c r="D38" s="1414" t="s">
        <v>22</v>
      </c>
      <c r="E38" s="1414" t="s">
        <v>3569</v>
      </c>
      <c r="F38" s="1414" t="s">
        <v>3569</v>
      </c>
      <c r="G38" s="1118" t="str">
        <f>IF(ISNUMBER('📈 PORTEFEUILLE'!G50),IF('📈 PORTEFEUILLE'!G50=0,"✅ QTÉ ZÉRO",IF(ABS('📈 PORTEFEUILLE'!L50-'📈 PORTEFEUILLE'!G50*'📈 PORTEFEUILLE'!I50)&lt;0.05,"✅ OK","🔴 OFFSET DÉTECTÉ")),"✅ N/A")</f>
        <v>✅ OK</v>
      </c>
      <c r="H38" s="2"/>
      <c r="I38" s="1414" t="str">
        <f>IF(G38="🔴 OFFSET DÉTECTÉ","→ Corriger L50: G50*I50","")</f>
        <v/>
      </c>
    </row>
    <row r="39" ht="15.75" customHeight="1">
      <c r="B39" s="1056">
        <v>51.0</v>
      </c>
      <c r="C39" s="1056" t="s">
        <v>1977</v>
      </c>
      <c r="D39" s="1056" t="s">
        <v>22</v>
      </c>
      <c r="E39" s="1056" t="s">
        <v>3570</v>
      </c>
      <c r="F39" s="1056" t="s">
        <v>3570</v>
      </c>
      <c r="G39" s="1116" t="str">
        <f>IF(ISNUMBER('📈 PORTEFEUILLE'!G51),IF('📈 PORTEFEUILLE'!G51=0,"✅ QTÉ ZÉRO",IF(ABS('📈 PORTEFEUILLE'!L51-'📈 PORTEFEUILLE'!G51*'📈 PORTEFEUILLE'!I51)&lt;0.05,"✅ OK","🔴 OFFSET DÉTECTÉ")),"✅ N/A")</f>
        <v>✅ OK</v>
      </c>
      <c r="H39" s="2"/>
      <c r="I39" s="1056" t="str">
        <f>IF(G39="🔴 OFFSET DÉTECTÉ","→ Corriger L51: G51*I51","")</f>
        <v/>
      </c>
    </row>
    <row r="40" ht="15.75" customHeight="1">
      <c r="B40" s="1414">
        <v>52.0</v>
      </c>
      <c r="C40" s="1414" t="s">
        <v>1284</v>
      </c>
      <c r="D40" s="1414" t="s">
        <v>22</v>
      </c>
      <c r="E40" s="1414" t="s">
        <v>3571</v>
      </c>
      <c r="F40" s="1414" t="s">
        <v>3571</v>
      </c>
      <c r="G40" s="1118" t="str">
        <f>IF(ISNUMBER('📈 PORTEFEUILLE'!G52),IF('📈 PORTEFEUILLE'!G52=0,"✅ QTÉ ZÉRO",IF(ABS('📈 PORTEFEUILLE'!L52-'📈 PORTEFEUILLE'!G52*'📈 PORTEFEUILLE'!I52)&lt;0.05,"✅ OK","🔴 OFFSET DÉTECTÉ")),"✅ N/A")</f>
        <v>✅ OK</v>
      </c>
      <c r="H40" s="2"/>
      <c r="I40" s="1414" t="str">
        <f>IF(G40="🔴 OFFSET DÉTECTÉ","→ Corriger L52: G52*I52","")</f>
        <v/>
      </c>
    </row>
    <row r="41" ht="15.75" customHeight="1">
      <c r="B41" s="1056">
        <v>53.0</v>
      </c>
      <c r="C41" s="1056" t="s">
        <v>1278</v>
      </c>
      <c r="D41" s="1056" t="s">
        <v>22</v>
      </c>
      <c r="E41" s="1056" t="s">
        <v>3572</v>
      </c>
      <c r="F41" s="1056" t="s">
        <v>3572</v>
      </c>
      <c r="G41" s="1116" t="str">
        <f>IF(ISNUMBER('📈 PORTEFEUILLE'!G53),IF('📈 PORTEFEUILLE'!G53=0,"✅ QTÉ ZÉRO",IF(ABS('📈 PORTEFEUILLE'!L53-'📈 PORTEFEUILLE'!G53*'📈 PORTEFEUILLE'!I53)&lt;0.05,"✅ OK","🔴 OFFSET DÉTECTÉ")),"✅ N/A")</f>
        <v>✅ OK</v>
      </c>
      <c r="H41" s="2"/>
      <c r="I41" s="1056" t="str">
        <f>IF(G41="🔴 OFFSET DÉTECTÉ","→ Corriger L53: G53*I53","")</f>
        <v/>
      </c>
    </row>
    <row r="42" ht="15.75" customHeight="1">
      <c r="B42" s="1414">
        <v>54.0</v>
      </c>
      <c r="C42" s="1414" t="s">
        <v>2198</v>
      </c>
      <c r="D42" s="1414" t="s">
        <v>22</v>
      </c>
      <c r="E42" s="1414" t="s">
        <v>3573</v>
      </c>
      <c r="F42" s="1414" t="s">
        <v>3573</v>
      </c>
      <c r="G42" s="1118" t="str">
        <f>IF(ISNUMBER('📈 PORTEFEUILLE'!G54),IF('📈 PORTEFEUILLE'!G54=0,"✅ QTÉ ZÉRO",IF(ABS('📈 PORTEFEUILLE'!L54-'📈 PORTEFEUILLE'!G54*'📈 PORTEFEUILLE'!I54)&lt;0.05,"✅ OK","🔴 OFFSET DÉTECTÉ")),"✅ N/A")</f>
        <v>✅ OK</v>
      </c>
      <c r="H42" s="2"/>
      <c r="I42" s="1414" t="str">
        <f>IF(G42="🔴 OFFSET DÉTECTÉ","→ Corriger L54: G54*I54","")</f>
        <v/>
      </c>
    </row>
    <row r="43" ht="15.75" customHeight="1">
      <c r="B43" s="1056">
        <v>55.0</v>
      </c>
      <c r="C43" s="1056" t="s">
        <v>1233</v>
      </c>
      <c r="D43" s="1056" t="s">
        <v>22</v>
      </c>
      <c r="E43" s="1056" t="s">
        <v>3574</v>
      </c>
      <c r="F43" s="1056" t="s">
        <v>3574</v>
      </c>
      <c r="G43" s="1116" t="str">
        <f>IF(ISNUMBER('📈 PORTEFEUILLE'!G55),IF('📈 PORTEFEUILLE'!G55=0,"✅ QTÉ ZÉRO",IF(ABS('📈 PORTEFEUILLE'!L55-'📈 PORTEFEUILLE'!G55*'📈 PORTEFEUILLE'!I55)&lt;0.05,"✅ OK","🔴 OFFSET DÉTECTÉ")),"✅ N/A")</f>
        <v>✅ OK</v>
      </c>
      <c r="H43" s="2"/>
      <c r="I43" s="1056" t="str">
        <f>IF(G43="🔴 OFFSET DÉTECTÉ","→ Corriger L55: G55*I55","")</f>
        <v/>
      </c>
    </row>
    <row r="44" ht="15.75" customHeight="1">
      <c r="B44" s="1414">
        <v>56.0</v>
      </c>
      <c r="C44" s="1414" t="s">
        <v>1412</v>
      </c>
      <c r="D44" s="1414" t="s">
        <v>22</v>
      </c>
      <c r="E44" s="1414" t="s">
        <v>3575</v>
      </c>
      <c r="F44" s="1414" t="s">
        <v>3575</v>
      </c>
      <c r="G44" s="1118" t="str">
        <f>IF(ISNUMBER('📈 PORTEFEUILLE'!G56),IF('📈 PORTEFEUILLE'!G56=0,"✅ QTÉ ZÉRO",IF(ABS('📈 PORTEFEUILLE'!L56-'📈 PORTEFEUILLE'!G56*'📈 PORTEFEUILLE'!I56)&lt;0.05,"✅ OK","🔴 OFFSET DÉTECTÉ")),"✅ N/A")</f>
        <v>✅ OK</v>
      </c>
      <c r="H44" s="2"/>
      <c r="I44" s="1414" t="str">
        <f>IF(G44="🔴 OFFSET DÉTECTÉ","→ Corriger L56: G56*I56","")</f>
        <v/>
      </c>
    </row>
    <row r="45" ht="15.75" customHeight="1">
      <c r="B45" s="1056">
        <v>57.0</v>
      </c>
      <c r="C45" s="1056" t="s">
        <v>2196</v>
      </c>
      <c r="D45" s="1056" t="s">
        <v>22</v>
      </c>
      <c r="E45" s="1056" t="s">
        <v>3576</v>
      </c>
      <c r="F45" s="1056" t="s">
        <v>3576</v>
      </c>
      <c r="G45" s="1116" t="str">
        <f>IF(ISNUMBER('📈 PORTEFEUILLE'!G57),IF('📈 PORTEFEUILLE'!G57=0,"✅ QTÉ ZÉRO",IF(ABS('📈 PORTEFEUILLE'!L57-'📈 PORTEFEUILLE'!G57*'📈 PORTEFEUILLE'!I57)&lt;0.05,"✅ OK","🔴 OFFSET DÉTECTÉ")),"✅ N/A")</f>
        <v>✅ OK</v>
      </c>
      <c r="H45" s="2"/>
      <c r="I45" s="1056" t="str">
        <f>IF(G45="🔴 OFFSET DÉTECTÉ","→ Corriger L57: G57*I57","")</f>
        <v/>
      </c>
    </row>
    <row r="46" ht="15.75" customHeight="1">
      <c r="B46" s="1414">
        <v>62.0</v>
      </c>
      <c r="C46" s="1414" t="s">
        <v>548</v>
      </c>
      <c r="D46" s="1414" t="s">
        <v>25</v>
      </c>
      <c r="E46" s="1414" t="s">
        <v>3577</v>
      </c>
      <c r="F46" s="1414" t="s">
        <v>3577</v>
      </c>
      <c r="G46" s="1118" t="str">
        <f>IF(ISNUMBER('📈 PORTEFEUILLE'!G62),IF('📈 PORTEFEUILLE'!G62=0,"✅ QTÉ ZÉRO",IF(ABS('📈 PORTEFEUILLE'!L62-'📈 PORTEFEUILLE'!G62*'📈 PORTEFEUILLE'!I62)&lt;0.05,"✅ OK","🔴 OFFSET DÉTECTÉ")),"✅ N/A")</f>
        <v>✅ OK</v>
      </c>
      <c r="H46" s="2"/>
      <c r="I46" s="1414" t="str">
        <f>IF(G46="🔴 OFFSET DÉTECTÉ","→ Corriger L62: G62*I62","")</f>
        <v/>
      </c>
    </row>
    <row r="47" ht="15.75" customHeight="1">
      <c r="B47" s="1056">
        <v>63.0</v>
      </c>
      <c r="C47" s="1056" t="s">
        <v>2218</v>
      </c>
      <c r="D47" s="1056" t="s">
        <v>25</v>
      </c>
      <c r="E47" s="1056" t="s">
        <v>3578</v>
      </c>
      <c r="F47" s="1056" t="s">
        <v>3578</v>
      </c>
      <c r="G47" s="1116" t="str">
        <f>IF(ISNUMBER('📈 PORTEFEUILLE'!G63),IF('📈 PORTEFEUILLE'!G63=0,"✅ QTÉ ZÉRO",IF(ABS('📈 PORTEFEUILLE'!L63-'📈 PORTEFEUILLE'!G63*'📈 PORTEFEUILLE'!I63)&lt;0.05,"✅ OK","🔴 OFFSET DÉTECTÉ")),"✅ N/A")</f>
        <v>✅ OK</v>
      </c>
      <c r="H47" s="2"/>
      <c r="I47" s="1056" t="str">
        <f>IF(G47="🔴 OFFSET DÉTECTÉ","→ Corriger L63: G63*I63","")</f>
        <v/>
      </c>
    </row>
    <row r="48" ht="15.75" customHeight="1">
      <c r="B48" s="1414">
        <v>64.0</v>
      </c>
      <c r="C48" s="1414" t="s">
        <v>2196</v>
      </c>
      <c r="D48" s="1414" t="s">
        <v>25</v>
      </c>
      <c r="E48" s="1414" t="s">
        <v>3579</v>
      </c>
      <c r="F48" s="1414" t="s">
        <v>3579</v>
      </c>
      <c r="G48" s="1118" t="str">
        <f>IF(ISNUMBER('📈 PORTEFEUILLE'!G64),IF('📈 PORTEFEUILLE'!G64=0,"✅ QTÉ ZÉRO",IF(ABS('📈 PORTEFEUILLE'!L64-'📈 PORTEFEUILLE'!G64*'📈 PORTEFEUILLE'!I64)&lt;0.05,"✅ OK","🔴 OFFSET DÉTECTÉ")),"✅ N/A")</f>
        <v>✅ QTÉ ZÉRO</v>
      </c>
      <c r="H48" s="2"/>
      <c r="I48" s="1414" t="str">
        <f>IF(G48="🔴 OFFSET DÉTECTÉ","→ Corriger L64: G64*I64","")</f>
        <v/>
      </c>
    </row>
    <row r="49" ht="15.75" customHeight="1">
      <c r="B49" s="1056">
        <v>65.0</v>
      </c>
      <c r="C49" s="1056" t="s">
        <v>2221</v>
      </c>
      <c r="D49" s="1056" t="s">
        <v>25</v>
      </c>
      <c r="E49" s="1056" t="s">
        <v>3580</v>
      </c>
      <c r="F49" s="1056" t="s">
        <v>3580</v>
      </c>
      <c r="G49" s="1116" t="str">
        <f>IF(ISNUMBER('📈 PORTEFEUILLE'!G65),IF('📈 PORTEFEUILLE'!G65=0,"✅ QTÉ ZÉRO",IF(ABS('📈 PORTEFEUILLE'!L65-'📈 PORTEFEUILLE'!G65*'📈 PORTEFEUILLE'!I65)&lt;0.05,"✅ OK","🔴 OFFSET DÉTECTÉ")),"✅ N/A")</f>
        <v>✅ N/A</v>
      </c>
      <c r="H49" s="2"/>
      <c r="I49" s="1056" t="str">
        <f>IF(G49="🔴 OFFSET DÉTECTÉ","→ Corriger L65: G65*I65","")</f>
        <v/>
      </c>
    </row>
    <row r="50" ht="15.75" customHeight="1">
      <c r="B50" s="1414">
        <v>66.0</v>
      </c>
      <c r="C50" s="1414" t="s">
        <v>2222</v>
      </c>
      <c r="D50" s="1414" t="s">
        <v>25</v>
      </c>
      <c r="E50" s="1414" t="s">
        <v>3581</v>
      </c>
      <c r="F50" s="1414" t="s">
        <v>3581</v>
      </c>
      <c r="G50" s="1118" t="str">
        <f>IF(ISNUMBER('📈 PORTEFEUILLE'!G66),IF('📈 PORTEFEUILLE'!G66=0,"✅ QTÉ ZÉRO",IF(ABS('📈 PORTEFEUILLE'!L66-'📈 PORTEFEUILLE'!G66*'📈 PORTEFEUILLE'!I66)&lt;0.05,"✅ OK","🔴 OFFSET DÉTECTÉ")),"✅ N/A")</f>
        <v>✅ QTÉ ZÉRO</v>
      </c>
      <c r="H50" s="2"/>
      <c r="I50" s="1414" t="str">
        <f>IF(G50="🔴 OFFSET DÉTECTÉ","→ Corriger L66: G66*I66","")</f>
        <v/>
      </c>
    </row>
    <row r="51" ht="19.5" customHeight="1">
      <c r="B51" s="294" t="s">
        <v>3582</v>
      </c>
      <c r="C51" s="2"/>
      <c r="D51" s="2"/>
      <c r="E51" s="1415">
        <f>COUNTIF(G7:G50,"🔴 OFFSET DÉTECTÉ")</f>
        <v>0</v>
      </c>
      <c r="F51" s="2"/>
      <c r="G51" s="294" t="str">
        <f>IF(E51=0,"✅ 0 OFFSET — FORMULES INTÈGRES","🔴 "&amp;E51&amp;" OFFSET(S) — CORRIGER")</f>
        <v>✅ 0 OFFSET — FORMULES INTÈGRES</v>
      </c>
      <c r="H51" s="2"/>
      <c r="I51" s="2"/>
    </row>
    <row r="52" ht="15.75" customHeight="1"/>
    <row r="53" ht="15.75" customHeight="1"/>
    <row r="54" ht="18.0" customHeight="1">
      <c r="B54" s="294" t="s">
        <v>3583</v>
      </c>
      <c r="C54" s="2"/>
      <c r="D54" s="2"/>
      <c r="E54" s="2"/>
      <c r="F54" s="2"/>
      <c r="G54" s="2"/>
      <c r="H54" s="2"/>
      <c r="I54" s="2"/>
    </row>
    <row r="55" ht="15.0" customHeight="1">
      <c r="B55" s="1413" t="s">
        <v>3584</v>
      </c>
      <c r="C55" s="2"/>
      <c r="D55" s="2"/>
      <c r="E55" s="2"/>
      <c r="F55" s="2"/>
      <c r="G55" s="2"/>
      <c r="H55" s="2"/>
      <c r="I55" s="2"/>
    </row>
    <row r="56" ht="15.0" customHeight="1">
      <c r="B56" s="30" t="s">
        <v>250</v>
      </c>
      <c r="C56" s="1127" t="s">
        <v>3585</v>
      </c>
      <c r="D56" s="2"/>
      <c r="E56" s="30" t="s">
        <v>3586</v>
      </c>
      <c r="F56" s="30" t="s">
        <v>3587</v>
      </c>
      <c r="G56" s="30" t="s">
        <v>3588</v>
      </c>
      <c r="H56" s="1127" t="s">
        <v>272</v>
      </c>
      <c r="I56" s="2"/>
    </row>
    <row r="57" ht="16.5" customHeight="1">
      <c r="B57" s="1056" t="s">
        <v>19</v>
      </c>
      <c r="C57" s="1416">
        <f>'📈 PORTEFEUILLE'!L44</f>
        <v>67855.03</v>
      </c>
      <c r="D57" s="2"/>
      <c r="E57" s="1057">
        <v>69671.86</v>
      </c>
      <c r="F57" s="1417">
        <f t="shared" ref="F57:F60" si="1">C57-E57</f>
        <v>-1816.830004</v>
      </c>
      <c r="G57" s="1056">
        <f t="shared" ref="G57:G60" si="2">IF(E57&gt;0,ABS(C57-E57)/E57,0)</f>
        <v>0.02607695567</v>
      </c>
      <c r="H57" s="1116" t="str">
        <f t="shared" ref="H57:H60" si="3">IF(ABS(F57)&lt;300,"✅ OK (fractions)",IF(ABS(F57)&lt;1000,"🟡 VÉRIFIER","🔴 ERREUR CALCUL"))</f>
        <v>🔴 ERREUR CALCUL</v>
      </c>
      <c r="I57" s="2"/>
    </row>
    <row r="58" ht="16.5" customHeight="1">
      <c r="B58" s="1414" t="s">
        <v>22</v>
      </c>
      <c r="C58" s="1418">
        <f>'📈 PORTEFEUILLE'!L59</f>
        <v>14767.01792</v>
      </c>
      <c r="D58" s="2"/>
      <c r="E58" s="1057">
        <v>14979.21</v>
      </c>
      <c r="F58" s="1419">
        <f t="shared" si="1"/>
        <v>-212.1920802</v>
      </c>
      <c r="G58" s="1414">
        <f t="shared" si="2"/>
        <v>0.01416577244</v>
      </c>
      <c r="H58" s="1118" t="str">
        <f t="shared" si="3"/>
        <v>✅ OK (fractions)</v>
      </c>
      <c r="I58" s="2"/>
    </row>
    <row r="59" ht="16.5" customHeight="1">
      <c r="B59" s="1056" t="s">
        <v>25</v>
      </c>
      <c r="C59" s="1416">
        <f>'📈 PORTEFEUILLE'!L68</f>
        <v>2764.168264</v>
      </c>
      <c r="D59" s="2"/>
      <c r="E59" s="1057">
        <v>2783.58</v>
      </c>
      <c r="F59" s="1417">
        <f t="shared" si="1"/>
        <v>-19.41173588</v>
      </c>
      <c r="G59" s="1056">
        <f t="shared" si="2"/>
        <v>0.006973658341</v>
      </c>
      <c r="H59" s="1116" t="str">
        <f t="shared" si="3"/>
        <v>✅ OK (fractions)</v>
      </c>
      <c r="I59" s="2"/>
    </row>
    <row r="60" ht="16.5" customHeight="1">
      <c r="B60" s="1420" t="s">
        <v>707</v>
      </c>
      <c r="C60" s="1421">
        <f>'📈 PORTEFEUILLE'!L70</f>
        <v>85386.21618</v>
      </c>
      <c r="D60" s="2"/>
      <c r="E60" s="1057">
        <v>87434.65</v>
      </c>
      <c r="F60" s="1422">
        <f t="shared" si="1"/>
        <v>-2048.43382</v>
      </c>
      <c r="G60" s="1420">
        <f t="shared" si="2"/>
        <v>0.02342816973</v>
      </c>
      <c r="H60" s="1423" t="str">
        <f t="shared" si="3"/>
        <v>🔴 ERREUR CALCUL</v>
      </c>
      <c r="I60" s="2"/>
    </row>
    <row r="61" ht="19.5" customHeight="1">
      <c r="B61" s="294" t="s">
        <v>3589</v>
      </c>
      <c r="C61" s="2"/>
      <c r="D61" s="2"/>
      <c r="E61" s="1415">
        <f>COUNTIF(H57:H60,"🔴*")</f>
        <v>2</v>
      </c>
      <c r="F61" s="2"/>
      <c r="G61" s="294" t="str">
        <f>IF(E61=0,"✅ TOTAUX COHÉRENTS","🔴 "&amp;E61&amp;" TOTAL(S) EN ERREUR")</f>
        <v>🔴 2 TOTAL(S) EN ERREUR</v>
      </c>
      <c r="H61" s="2"/>
      <c r="I61" s="2"/>
    </row>
    <row r="62" ht="6.0" customHeight="1"/>
    <row r="63" ht="18.0" customHeight="1">
      <c r="B63" s="294" t="s">
        <v>3590</v>
      </c>
      <c r="C63" s="2"/>
      <c r="D63" s="2"/>
      <c r="E63" s="2"/>
      <c r="F63" s="2"/>
      <c r="G63" s="2"/>
      <c r="H63" s="2"/>
      <c r="I63" s="2"/>
    </row>
    <row r="64" ht="12.75" customHeight="1">
      <c r="B64" s="1424" t="s">
        <v>1771</v>
      </c>
      <c r="C64" s="2"/>
      <c r="D64" s="2"/>
      <c r="E64" s="2"/>
      <c r="F64" s="2"/>
      <c r="G64" s="2"/>
      <c r="H64" s="2"/>
      <c r="I64" s="2"/>
    </row>
    <row r="65" ht="18.75" customHeight="1">
      <c r="B65" s="1425" t="s">
        <v>3591</v>
      </c>
      <c r="C65" s="344"/>
      <c r="D65" s="344"/>
      <c r="E65" s="344"/>
      <c r="F65" s="344"/>
      <c r="G65" s="344"/>
      <c r="H65" s="344"/>
      <c r="I65" s="345"/>
    </row>
    <row r="66" ht="18.75" customHeight="1">
      <c r="B66" s="1426" t="s">
        <v>3592</v>
      </c>
      <c r="C66" s="1427">
        <f>'🔒 VALIDATION'!G60</f>
        <v>0.02342816973</v>
      </c>
      <c r="D66" s="345"/>
      <c r="E66" s="1428" t="s">
        <v>3593</v>
      </c>
      <c r="F66" s="345"/>
      <c r="G66" s="1090"/>
    </row>
    <row r="67" ht="18.75" customHeight="1">
      <c r="B67" s="1429" t="s">
        <v>3594</v>
      </c>
      <c r="C67" s="1430">
        <f>CONFIG!B3</f>
        <v>1.3559</v>
      </c>
      <c r="D67" s="345"/>
      <c r="E67" s="1431" t="s">
        <v>3595</v>
      </c>
      <c r="F67" s="345"/>
      <c r="G67" s="1090"/>
    </row>
    <row r="68" ht="13.5" customHeight="1">
      <c r="B68" s="1432" t="s">
        <v>3596</v>
      </c>
      <c r="C68" s="1090"/>
      <c r="E68" s="1090"/>
    </row>
    <row r="69" ht="13.5" customHeight="1">
      <c r="B69" s="1433" t="s">
        <v>3597</v>
      </c>
      <c r="C69" s="1434" t="s">
        <v>1205</v>
      </c>
      <c r="D69" s="2"/>
      <c r="E69" s="1434" t="s">
        <v>3598</v>
      </c>
      <c r="F69" s="2"/>
      <c r="G69" s="1434" t="s">
        <v>3588</v>
      </c>
      <c r="H69" s="2"/>
      <c r="I69" s="1433" t="s">
        <v>588</v>
      </c>
    </row>
    <row r="70" ht="18.0" customHeight="1">
      <c r="B70" s="1435" t="s">
        <v>3599</v>
      </c>
      <c r="C70" s="1436" t="s">
        <v>1213</v>
      </c>
      <c r="D70" s="345"/>
      <c r="E70" s="1436">
        <f>'🔒 VALIDATION'!E60</f>
        <v>87434.65</v>
      </c>
      <c r="F70" s="345"/>
      <c r="G70" s="1436">
        <f>'🔒 VALIDATION'!G60</f>
        <v>0.02342816973</v>
      </c>
      <c r="H70" s="345"/>
      <c r="I70" s="1437" t="s">
        <v>3600</v>
      </c>
    </row>
    <row r="71" ht="18.0" customHeight="1">
      <c r="B71" s="1438" t="s">
        <v>3601</v>
      </c>
      <c r="C71" s="1439" t="s">
        <v>1246</v>
      </c>
      <c r="D71" s="345"/>
      <c r="E71" s="1439">
        <v>87252.0</v>
      </c>
      <c r="F71" s="345"/>
      <c r="G71" s="1439" t="s">
        <v>3602</v>
      </c>
      <c r="H71" s="345"/>
      <c r="I71" s="1440" t="s">
        <v>3603</v>
      </c>
    </row>
    <row r="72" ht="18.0" customHeight="1">
      <c r="B72" s="1441" t="s">
        <v>3604</v>
      </c>
      <c r="C72" s="1442"/>
      <c r="D72" s="345"/>
      <c r="E72" s="1442"/>
      <c r="F72" s="345"/>
      <c r="G72" s="1442"/>
      <c r="H72" s="345"/>
      <c r="I72" s="1443" t="s">
        <v>3605</v>
      </c>
    </row>
    <row r="73" ht="18.0" customHeight="1">
      <c r="B73" s="1441" t="s">
        <v>3606</v>
      </c>
      <c r="C73" s="1442"/>
      <c r="D73" s="345"/>
      <c r="E73" s="1442"/>
      <c r="F73" s="345"/>
      <c r="G73" s="1442"/>
      <c r="H73" s="345"/>
      <c r="I73" s="1443" t="s">
        <v>3605</v>
      </c>
    </row>
    <row r="74" ht="18.0" customHeight="1">
      <c r="B74" s="1444" t="s">
        <v>3607</v>
      </c>
      <c r="C74" s="344"/>
      <c r="D74" s="345"/>
      <c r="E74" s="1442"/>
      <c r="F74" s="345"/>
      <c r="G74" s="1442"/>
      <c r="H74" s="344"/>
      <c r="I74" s="345"/>
    </row>
    <row r="75" ht="27.75" customHeight="1">
      <c r="B75" s="1445" t="s">
        <v>3608</v>
      </c>
      <c r="C75" s="2"/>
      <c r="D75" s="2"/>
      <c r="E75" s="2"/>
      <c r="F75" s="2"/>
      <c r="G75" s="2"/>
      <c r="H75" s="2"/>
      <c r="I75" s="2"/>
    </row>
    <row r="76" ht="15.75" customHeight="1">
      <c r="B76" s="29" t="s">
        <v>3609</v>
      </c>
    </row>
    <row r="77" ht="18.0" customHeight="1">
      <c r="B77" s="1413" t="s">
        <v>3610</v>
      </c>
      <c r="C77" s="2"/>
      <c r="D77" s="2"/>
      <c r="E77" s="2"/>
      <c r="F77" s="2"/>
      <c r="G77" s="2"/>
      <c r="H77" s="2"/>
      <c r="I77" s="2"/>
    </row>
    <row r="78" ht="15.0" customHeight="1">
      <c r="B78" s="1127" t="s">
        <v>3611</v>
      </c>
      <c r="C78" s="2"/>
      <c r="D78" s="2"/>
      <c r="E78" s="2"/>
      <c r="F78" s="1090"/>
      <c r="I78" s="30" t="s">
        <v>270</v>
      </c>
    </row>
    <row r="79" ht="19.5" customHeight="1">
      <c r="B79" s="1116" t="s">
        <v>3612</v>
      </c>
      <c r="C79" s="2"/>
      <c r="D79" s="2"/>
      <c r="E79" s="2"/>
      <c r="F79" s="1090"/>
      <c r="I79" s="1056" t="s">
        <v>3613</v>
      </c>
    </row>
    <row r="80" ht="19.5" customHeight="1">
      <c r="B80" s="1118" t="s">
        <v>3614</v>
      </c>
      <c r="C80" s="2"/>
      <c r="D80" s="2"/>
      <c r="E80" s="2"/>
      <c r="F80" s="1090"/>
      <c r="I80" s="1414" t="s">
        <v>3615</v>
      </c>
    </row>
    <row r="81" ht="19.5" customHeight="1">
      <c r="B81" s="1116" t="s">
        <v>3616</v>
      </c>
      <c r="C81" s="2"/>
      <c r="D81" s="2"/>
      <c r="E81" s="2"/>
      <c r="F81" s="1090"/>
      <c r="I81" s="1056" t="s">
        <v>3615</v>
      </c>
    </row>
    <row r="82" ht="19.5" customHeight="1">
      <c r="B82" s="1118" t="s">
        <v>3617</v>
      </c>
      <c r="C82" s="2"/>
      <c r="D82" s="2"/>
      <c r="E82" s="2"/>
      <c r="F82" s="1090"/>
      <c r="I82" s="1414" t="s">
        <v>3615</v>
      </c>
    </row>
    <row r="83" ht="19.5" customHeight="1">
      <c r="B83" s="1116" t="s">
        <v>3618</v>
      </c>
      <c r="C83" s="2"/>
      <c r="D83" s="2"/>
      <c r="E83" s="2"/>
      <c r="F83" s="1090"/>
      <c r="I83" s="1056" t="s">
        <v>3619</v>
      </c>
    </row>
    <row r="84" ht="19.5" customHeight="1">
      <c r="B84" s="1118" t="s">
        <v>3620</v>
      </c>
      <c r="C84" s="2"/>
      <c r="D84" s="2"/>
      <c r="E84" s="2"/>
      <c r="F84" s="1090"/>
      <c r="I84" s="1414" t="s">
        <v>3619</v>
      </c>
    </row>
    <row r="85" ht="19.5" customHeight="1">
      <c r="B85" s="1116" t="s">
        <v>3621</v>
      </c>
      <c r="C85" s="2"/>
      <c r="D85" s="2"/>
      <c r="E85" s="2"/>
      <c r="F85" s="1090"/>
      <c r="I85" s="1056" t="s">
        <v>3622</v>
      </c>
    </row>
    <row r="86" ht="15.75" customHeight="1">
      <c r="B86" s="29" t="s">
        <v>3623</v>
      </c>
      <c r="E86" s="1446">
        <f>COUNTIF(G67:G73,"🔴*")</f>
        <v>0</v>
      </c>
      <c r="G86" s="29" t="str">
        <f>IF(E74=0,"✅ CONFIG INTÈGRE","🔴 "&amp;E74&amp;" REF(S) BRISÉE(S)")</f>
        <v>✅ CONFIG INTÈGRE</v>
      </c>
    </row>
    <row r="87" ht="18.0" customHeight="1">
      <c r="B87" s="1090"/>
    </row>
    <row r="88" ht="15.0" customHeight="1">
      <c r="C88" s="1090"/>
      <c r="H88" s="1090"/>
    </row>
    <row r="89" ht="18.0" customHeight="1">
      <c r="B89" s="29" t="s">
        <v>3624</v>
      </c>
      <c r="C89" s="1090"/>
      <c r="H89" s="1090"/>
    </row>
    <row r="90" ht="18.0" customHeight="1">
      <c r="B90" s="30" t="s">
        <v>353</v>
      </c>
      <c r="C90" s="1090"/>
      <c r="H90" s="1090"/>
    </row>
    <row r="91" ht="18.0" customHeight="1">
      <c r="B91" s="1447" t="s">
        <v>3625</v>
      </c>
      <c r="C91" s="1090"/>
      <c r="H91" s="1090"/>
    </row>
    <row r="92" ht="18.0" customHeight="1">
      <c r="B92" s="1448" t="s">
        <v>3626</v>
      </c>
      <c r="C92" s="1090"/>
      <c r="H92" s="1090"/>
    </row>
    <row r="93" ht="18.0" customHeight="1">
      <c r="B93" s="1447" t="s">
        <v>3627</v>
      </c>
      <c r="C93" s="1090"/>
      <c r="H93" s="1090"/>
    </row>
    <row r="94" ht="18.0" customHeight="1">
      <c r="B94" s="1449" t="s">
        <v>3628</v>
      </c>
      <c r="C94" s="1090"/>
      <c r="H94" s="1090"/>
    </row>
    <row r="95" ht="18.0" customHeight="1">
      <c r="B95" s="1447" t="s">
        <v>3629</v>
      </c>
      <c r="C95" s="1090"/>
      <c r="H95" s="1090"/>
    </row>
    <row r="96" ht="15.75" customHeight="1">
      <c r="B96" s="1448" t="s">
        <v>3630</v>
      </c>
      <c r="F96" s="1450" t="str">
        <f>IF(CONFIG!B25&gt;=15000,"✅ "&amp;TEXT(CONFIG!B25,"$#,##0"),"🔴 "&amp;TEXT(CONFIG!B25,"$#,##0")&amp;" — CIBLE $15K")</f>
        <v>🔴 $0 — CIBLE $15K</v>
      </c>
      <c r="I96" s="50" t="s">
        <v>3631</v>
      </c>
    </row>
    <row r="97" ht="15.75" customHeight="1">
      <c r="B97" s="1451" t="s">
        <v>3632</v>
      </c>
      <c r="F97" s="1452" t="str">
        <f>IF(SUMIF('📈 PORTEFEUILLE'!B:B,"PLZ.UN.TO",'📈 PORTEFEUILLE'!G:G)&gt;0,"🔴 PLZ.UN NON VENDU — ~$4,161 immobilisé","✅ PLZ.UN vendu")</f>
        <v>✅ PLZ.UN vendu</v>
      </c>
      <c r="I97" s="1160" t="s">
        <v>3633</v>
      </c>
    </row>
    <row r="98" ht="18.0" customHeight="1">
      <c r="B98" s="1090"/>
    </row>
    <row r="99" ht="18.0" customHeight="1">
      <c r="B99" s="294" t="s">
        <v>3634</v>
      </c>
      <c r="C99" s="2"/>
      <c r="D99" s="2"/>
      <c r="E99" s="2"/>
      <c r="F99" s="2"/>
      <c r="G99" s="2"/>
      <c r="H99" s="2"/>
      <c r="I99" s="2"/>
    </row>
    <row r="100" ht="18.0" customHeight="1">
      <c r="B100" s="1127" t="s">
        <v>269</v>
      </c>
      <c r="C100" s="2"/>
      <c r="D100" s="2"/>
      <c r="E100" s="2"/>
      <c r="F100" s="2"/>
      <c r="G100" s="2"/>
      <c r="H100" s="2"/>
      <c r="I100" s="2"/>
    </row>
    <row r="101" ht="18.0" customHeight="1">
      <c r="B101" s="1453" t="s">
        <v>433</v>
      </c>
      <c r="C101" s="2"/>
      <c r="D101" s="2"/>
      <c r="E101" s="2"/>
      <c r="F101" s="2"/>
      <c r="G101" s="2"/>
      <c r="H101" s="2"/>
      <c r="I101" s="2"/>
    </row>
    <row r="102" ht="18.0" customHeight="1">
      <c r="B102" s="1454" t="s">
        <v>435</v>
      </c>
      <c r="C102" s="2"/>
      <c r="D102" s="2"/>
      <c r="E102" s="2"/>
      <c r="F102" s="2"/>
      <c r="G102" s="2"/>
      <c r="H102" s="2"/>
      <c r="I102" s="2"/>
    </row>
    <row r="103" ht="18.0" customHeight="1">
      <c r="B103" s="1453" t="s">
        <v>438</v>
      </c>
      <c r="C103" s="2"/>
      <c r="D103" s="2"/>
      <c r="E103" s="2"/>
      <c r="F103" s="2"/>
      <c r="G103" s="2"/>
      <c r="H103" s="2"/>
      <c r="I103" s="2"/>
    </row>
    <row r="104" ht="15.75" customHeight="1">
      <c r="B104" s="1420" t="s">
        <v>439</v>
      </c>
      <c r="C104" s="1455" t="s">
        <v>3635</v>
      </c>
      <c r="G104" s="1420" t="s">
        <v>3636</v>
      </c>
      <c r="H104" s="1094" t="s">
        <v>3637</v>
      </c>
    </row>
    <row r="105" ht="15.75" customHeight="1">
      <c r="B105" s="1453" t="s">
        <v>443</v>
      </c>
      <c r="C105" s="2"/>
      <c r="D105" s="2"/>
      <c r="E105" s="2"/>
      <c r="F105" s="2"/>
      <c r="G105" s="2"/>
      <c r="H105" s="2"/>
      <c r="I105" s="2"/>
    </row>
    <row r="106" ht="13.5" customHeight="1">
      <c r="B106" s="1420" t="s">
        <v>447</v>
      </c>
      <c r="C106" s="1455" t="s">
        <v>3638</v>
      </c>
      <c r="G106" s="1420" t="s">
        <v>3639</v>
      </c>
      <c r="H106" s="1094" t="s">
        <v>3640</v>
      </c>
    </row>
    <row r="107" ht="18.0" customHeight="1">
      <c r="B107" s="1456" t="s">
        <v>448</v>
      </c>
      <c r="C107" s="1064" t="s">
        <v>3641</v>
      </c>
      <c r="G107" s="1456" t="s">
        <v>3636</v>
      </c>
      <c r="H107" s="1065" t="s">
        <v>3642</v>
      </c>
    </row>
    <row r="108" ht="18.0" customHeight="1"/>
    <row r="109" ht="18.0" customHeight="1"/>
    <row r="110" ht="18.0" customHeight="1">
      <c r="B110" s="1457" t="s">
        <v>3643</v>
      </c>
    </row>
    <row r="111" ht="18.0" customHeight="1">
      <c r="B111" s="1458" t="s">
        <v>3644</v>
      </c>
    </row>
    <row r="112" ht="15.75" customHeight="1">
      <c r="B112" s="1459" t="s">
        <v>3645</v>
      </c>
    </row>
    <row r="113" ht="15.75" customHeight="1">
      <c r="B113" s="1458" t="s">
        <v>3646</v>
      </c>
    </row>
    <row r="114" ht="15.75" customHeight="1">
      <c r="B114" s="1459" t="s">
        <v>3647</v>
      </c>
    </row>
    <row r="115" ht="15.75" customHeight="1">
      <c r="B115" s="1458" t="s">
        <v>3648</v>
      </c>
    </row>
    <row r="116" ht="15.75" customHeight="1"/>
    <row r="117" ht="15.75" customHeight="1">
      <c r="B117" s="1460" t="s">
        <v>3649</v>
      </c>
    </row>
    <row r="118" ht="15.75" customHeight="1">
      <c r="B118" s="30" t="s">
        <v>1771</v>
      </c>
      <c r="C118" s="30" t="s">
        <v>3650</v>
      </c>
      <c r="D118" s="30" t="s">
        <v>3651</v>
      </c>
      <c r="E118" s="30" t="s">
        <v>2383</v>
      </c>
      <c r="F118" s="30" t="s">
        <v>272</v>
      </c>
      <c r="G118" s="30"/>
      <c r="H118" s="30"/>
      <c r="I118" s="30" t="s">
        <v>353</v>
      </c>
    </row>
    <row r="119" ht="15.75" customHeight="1">
      <c r="B119" s="1461" t="s">
        <v>1945</v>
      </c>
      <c r="C119" s="1462" t="s">
        <v>3652</v>
      </c>
      <c r="D119" s="1462" t="s">
        <v>595</v>
      </c>
      <c r="E119" s="1462" t="s">
        <v>3653</v>
      </c>
      <c r="F119" s="1462" t="s">
        <v>492</v>
      </c>
      <c r="G119" s="1462"/>
      <c r="H119" s="1462"/>
      <c r="I119" s="1462" t="s">
        <v>3654</v>
      </c>
    </row>
    <row r="120" ht="15.75" customHeight="1">
      <c r="B120" s="1461" t="s">
        <v>3655</v>
      </c>
      <c r="C120" s="1462" t="s">
        <v>3656</v>
      </c>
      <c r="D120" s="1462" t="s">
        <v>3657</v>
      </c>
      <c r="E120" s="1462" t="s">
        <v>3653</v>
      </c>
      <c r="F120" s="1462" t="s">
        <v>492</v>
      </c>
      <c r="G120" s="1462"/>
      <c r="H120" s="1462"/>
      <c r="I120" s="1462" t="s">
        <v>3658</v>
      </c>
    </row>
    <row r="121" ht="15.75" customHeight="1">
      <c r="B121" s="1461" t="s">
        <v>3659</v>
      </c>
      <c r="C121" s="1462" t="s">
        <v>3660</v>
      </c>
      <c r="D121" s="1462" t="s">
        <v>3661</v>
      </c>
      <c r="E121" s="1462" t="s">
        <v>1987</v>
      </c>
      <c r="F121" s="1462" t="s">
        <v>492</v>
      </c>
      <c r="G121" s="1462"/>
      <c r="H121" s="1462"/>
      <c r="I121" s="1462" t="s">
        <v>3662</v>
      </c>
    </row>
    <row r="122" ht="15.75" customHeight="1">
      <c r="B122" s="1463" t="s">
        <v>3663</v>
      </c>
      <c r="C122" s="1087" t="s">
        <v>3664</v>
      </c>
      <c r="D122" s="1087" t="s">
        <v>2018</v>
      </c>
      <c r="E122" s="1087" t="s">
        <v>3665</v>
      </c>
      <c r="F122" s="1087" t="s">
        <v>3666</v>
      </c>
      <c r="G122" s="1087"/>
      <c r="H122" s="1087"/>
      <c r="I122" s="1087" t="s">
        <v>3667</v>
      </c>
    </row>
    <row r="123" ht="15.75" customHeight="1">
      <c r="B123" s="1461" t="s">
        <v>3668</v>
      </c>
      <c r="C123" s="1462" t="s">
        <v>3669</v>
      </c>
      <c r="D123" s="1462" t="s">
        <v>3670</v>
      </c>
      <c r="E123" s="1462" t="s">
        <v>3653</v>
      </c>
      <c r="F123" s="1462" t="s">
        <v>492</v>
      </c>
      <c r="G123" s="1462"/>
      <c r="H123" s="1462"/>
      <c r="I123" s="1462" t="s">
        <v>3671</v>
      </c>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9">
    <mergeCell ref="B1:I1"/>
    <mergeCell ref="B2:D2"/>
    <mergeCell ref="E2:I2"/>
    <mergeCell ref="B4:I4"/>
    <mergeCell ref="B5:I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C70:D70"/>
    <mergeCell ref="C71:D71"/>
    <mergeCell ref="E71:F71"/>
    <mergeCell ref="G71:H71"/>
    <mergeCell ref="C72:D72"/>
    <mergeCell ref="E72:F72"/>
    <mergeCell ref="G72:H72"/>
    <mergeCell ref="C73:D73"/>
    <mergeCell ref="E73:F73"/>
    <mergeCell ref="G73:H73"/>
    <mergeCell ref="B74:D74"/>
    <mergeCell ref="E74:F74"/>
    <mergeCell ref="G74:I74"/>
    <mergeCell ref="B75:I75"/>
    <mergeCell ref="B81:E81"/>
    <mergeCell ref="F81:H81"/>
    <mergeCell ref="B82:E82"/>
    <mergeCell ref="F82:H82"/>
    <mergeCell ref="B83:E83"/>
    <mergeCell ref="F83:H83"/>
    <mergeCell ref="F84:H84"/>
    <mergeCell ref="B84:E84"/>
    <mergeCell ref="B85:E85"/>
    <mergeCell ref="F85:H85"/>
    <mergeCell ref="B87:I87"/>
    <mergeCell ref="C88:F88"/>
    <mergeCell ref="H88:I88"/>
    <mergeCell ref="H89:I89"/>
    <mergeCell ref="H92:I92"/>
    <mergeCell ref="H93:I93"/>
    <mergeCell ref="C89:F89"/>
    <mergeCell ref="C90:F90"/>
    <mergeCell ref="H90:I90"/>
    <mergeCell ref="C91:F91"/>
    <mergeCell ref="H91:I91"/>
    <mergeCell ref="C92:F92"/>
    <mergeCell ref="C93:F93"/>
    <mergeCell ref="B101:I101"/>
    <mergeCell ref="B102:I102"/>
    <mergeCell ref="B103:I103"/>
    <mergeCell ref="B105:I105"/>
    <mergeCell ref="C94:F94"/>
    <mergeCell ref="H94:I94"/>
    <mergeCell ref="C95:F95"/>
    <mergeCell ref="H95:I95"/>
    <mergeCell ref="B98:I98"/>
    <mergeCell ref="B99:I99"/>
    <mergeCell ref="B100:I100"/>
    <mergeCell ref="H57:I57"/>
    <mergeCell ref="H58:I58"/>
    <mergeCell ref="H59:I59"/>
    <mergeCell ref="H60:I60"/>
    <mergeCell ref="G61:I61"/>
    <mergeCell ref="G50:H50"/>
    <mergeCell ref="B51:D51"/>
    <mergeCell ref="E51:F51"/>
    <mergeCell ref="G51:I51"/>
    <mergeCell ref="B54:I54"/>
    <mergeCell ref="B55:I55"/>
    <mergeCell ref="H56:I56"/>
    <mergeCell ref="C56:D56"/>
    <mergeCell ref="C57:D57"/>
    <mergeCell ref="C58:D58"/>
    <mergeCell ref="C59:D59"/>
    <mergeCell ref="C60:D60"/>
    <mergeCell ref="B61:D61"/>
    <mergeCell ref="E61:F61"/>
    <mergeCell ref="E67:F67"/>
    <mergeCell ref="G67:H67"/>
    <mergeCell ref="B63:I63"/>
    <mergeCell ref="B64:I64"/>
    <mergeCell ref="B65:I65"/>
    <mergeCell ref="C66:D66"/>
    <mergeCell ref="E66:F66"/>
    <mergeCell ref="G66:H66"/>
    <mergeCell ref="C67:D67"/>
    <mergeCell ref="C68:D68"/>
    <mergeCell ref="E68:F68"/>
    <mergeCell ref="C69:D69"/>
    <mergeCell ref="E69:F69"/>
    <mergeCell ref="G69:H69"/>
    <mergeCell ref="E70:F70"/>
    <mergeCell ref="G70:H70"/>
    <mergeCell ref="B77:I77"/>
    <mergeCell ref="B78:E78"/>
    <mergeCell ref="F78:H78"/>
    <mergeCell ref="B79:E79"/>
    <mergeCell ref="F79:H79"/>
    <mergeCell ref="B80:E80"/>
    <mergeCell ref="F80:H80"/>
  </mergeCells>
  <printOptions/>
  <pageMargins bottom="1.0" footer="0.0" header="0.0" left="0.75" right="0.75" top="1.0"/>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8.0"/>
    <col customWidth="1" min="2" max="2" width="35.0"/>
    <col customWidth="1" min="3" max="3" width="60.0"/>
    <col customWidth="1" min="4" max="4" width="14.0"/>
    <col customWidth="1" min="5" max="5" width="24.0"/>
    <col customWidth="1" min="6" max="8" width="8.71"/>
  </cols>
  <sheetData>
    <row r="1" ht="27.75" customHeight="1">
      <c r="A1" s="1325" t="s">
        <v>3672</v>
      </c>
      <c r="B1" s="2"/>
      <c r="C1" s="2"/>
      <c r="D1" s="767" t="s">
        <v>3673</v>
      </c>
      <c r="E1" s="767" t="s">
        <v>645</v>
      </c>
    </row>
    <row r="2" ht="18.0" customHeight="1"/>
    <row r="3" ht="16.5" customHeight="1">
      <c r="A3" s="836" t="s">
        <v>3674</v>
      </c>
      <c r="B3" s="1464">
        <v>1.3559</v>
      </c>
      <c r="C3" s="1465" t="s">
        <v>3675</v>
      </c>
      <c r="D3" s="1466" t="s">
        <v>3676</v>
      </c>
      <c r="E3" s="59" t="s">
        <v>3677</v>
      </c>
    </row>
    <row r="4" ht="15.0" customHeight="1"/>
    <row r="5" ht="16.5" customHeight="1">
      <c r="A5" s="836" t="s">
        <v>3678</v>
      </c>
      <c r="B5" s="1467"/>
      <c r="C5" s="1465"/>
      <c r="F5" s="93" t="s">
        <v>1206</v>
      </c>
      <c r="G5" s="93" t="s">
        <v>3679</v>
      </c>
    </row>
    <row r="6" ht="16.5" customHeight="1">
      <c r="A6" s="833" t="s">
        <v>3680</v>
      </c>
      <c r="B6" s="1468">
        <v>69600.0</v>
      </c>
      <c r="C6" s="1469" t="s">
        <v>3681</v>
      </c>
      <c r="F6" s="1470" t="s">
        <v>1247</v>
      </c>
      <c r="G6" s="1471">
        <f>IFERROR(__xludf.DUMMYFUNCTION("IFERROR(GOOGLEFINANCE(""TSE:VFV"",""price""),164)"),161.8)</f>
        <v>161.8</v>
      </c>
    </row>
    <row r="7" ht="16.5" customHeight="1">
      <c r="A7" s="836" t="s">
        <v>3682</v>
      </c>
      <c r="B7" s="1468">
        <v>13700.0</v>
      </c>
      <c r="C7" s="1465" t="s">
        <v>3683</v>
      </c>
      <c r="F7" s="1470" t="s">
        <v>2153</v>
      </c>
      <c r="G7" s="1471">
        <f>IFERROR(__xludf.DUMMYFUNCTION("IFERROR(GOOGLEFINANCE(""GOOG"",""price""),307.889)"),301.46)</f>
        <v>301.46</v>
      </c>
    </row>
    <row r="8" ht="16.5" customHeight="1">
      <c r="A8" s="833" t="s">
        <v>3684</v>
      </c>
      <c r="B8" s="1468">
        <v>37008.0</v>
      </c>
      <c r="C8" s="1469" t="s">
        <v>3685</v>
      </c>
      <c r="F8" s="1470" t="s">
        <v>536</v>
      </c>
      <c r="G8" s="1471">
        <f>IFERROR(__xludf.DUMMYFUNCTION("IFERROR(GOOGLEFINANCE(""AVGO"",""price""),343.65)"),322.16)</f>
        <v>322.16</v>
      </c>
    </row>
    <row r="9" ht="14.25" customHeight="1">
      <c r="F9" s="1470" t="s">
        <v>2158</v>
      </c>
      <c r="G9" s="1471">
        <f>IFERROR(__xludf.DUMMYFUNCTION("IFERROR(GOOGLEFINANCE(""AMZN"",""price""),214.8)"),207.67)</f>
        <v>207.67</v>
      </c>
    </row>
    <row r="10" ht="16.5" customHeight="1">
      <c r="A10" s="833" t="s">
        <v>3686</v>
      </c>
      <c r="B10" s="941">
        <v>4000.0</v>
      </c>
      <c r="C10" s="1469"/>
      <c r="F10" s="1470" t="s">
        <v>1223</v>
      </c>
      <c r="G10" s="1471">
        <f>IFERROR(__xludf.DUMMYFUNCTION("IFERROR(GOOGLEFINANCE(""SMH"",""price""),397.05)"),387.33)</f>
        <v>387.33</v>
      </c>
    </row>
    <row r="11" ht="16.5" customHeight="1">
      <c r="A11" s="836" t="s">
        <v>3687</v>
      </c>
      <c r="B11" s="1472">
        <v>0.5298</v>
      </c>
      <c r="C11" s="1465"/>
      <c r="F11" s="1470" t="s">
        <v>2161</v>
      </c>
      <c r="G11" s="1471">
        <f>IFERROR(__xludf.DUMMYFUNCTION("IFERROR(GOOGLEFINANCE(""META"",""price""),654.8)"),613.71)</f>
        <v>613.71</v>
      </c>
    </row>
    <row r="12" ht="14.25" customHeight="1">
      <c r="F12" s="1470" t="s">
        <v>2163</v>
      </c>
      <c r="G12" s="1471">
        <f>IFERROR(__xludf.DUMMYFUNCTION("IFERROR(GOOGLEFINANCE(""TSE:ENB"",""price""),72.96)"),74.28)</f>
        <v>74.28</v>
      </c>
    </row>
    <row r="13" ht="16.5" customHeight="1">
      <c r="A13" s="836" t="s">
        <v>3688</v>
      </c>
      <c r="B13" s="1467"/>
      <c r="C13" s="1465"/>
      <c r="F13" s="1470" t="s">
        <v>1219</v>
      </c>
      <c r="G13" s="1471">
        <f>IFERROR(__xludf.DUMMYFUNCTION("IFERROR(GOOGLEFINANCE(""GEV"",""price""),842.85)"),805.02)</f>
        <v>805.02</v>
      </c>
    </row>
    <row r="14" ht="16.5" customHeight="1">
      <c r="A14" s="833" t="s">
        <v>3689</v>
      </c>
      <c r="B14" s="1473">
        <v>40000.0</v>
      </c>
      <c r="C14" s="1469"/>
      <c r="F14" s="1470" t="s">
        <v>2178</v>
      </c>
      <c r="G14" s="1471">
        <f>IFERROR(__xludf.DUMMYFUNCTION("IFERROR(GOOGLEFINANCE(""SPGI"",""price""),435.69)"),422.49)</f>
        <v>422.49</v>
      </c>
    </row>
    <row r="15" ht="16.5" customHeight="1">
      <c r="A15" s="836" t="s">
        <v>3690</v>
      </c>
      <c r="B15" s="1474">
        <v>60000.0</v>
      </c>
      <c r="C15" s="1465"/>
      <c r="F15" s="1470" t="s">
        <v>2167</v>
      </c>
      <c r="G15" s="1471">
        <f>IFERROR(__xludf.DUMMYFUNCTION("IFERROR(GOOGLEFINANCE(""MSFT"",""price""),405.78)"),395.55)</f>
        <v>395.55</v>
      </c>
    </row>
    <row r="16" ht="16.5" customHeight="1">
      <c r="A16" s="833" t="s">
        <v>3691</v>
      </c>
      <c r="B16" s="1473">
        <f>B14+B15</f>
        <v>100000</v>
      </c>
      <c r="C16" s="1469"/>
      <c r="F16" s="1470" t="s">
        <v>2169</v>
      </c>
      <c r="G16" s="1471">
        <f>IFERROR(__xludf.DUMMYFUNCTION("IFERROR(GOOGLEFINANCE(""NVDA"",""price""),184.7603)"),180.25)</f>
        <v>180.25</v>
      </c>
    </row>
    <row r="17" ht="14.25" customHeight="1">
      <c r="B17" s="1475" t="s">
        <v>3692</v>
      </c>
      <c r="C17" s="1475" t="s">
        <v>3693</v>
      </c>
      <c r="F17" s="1470" t="s">
        <v>2171</v>
      </c>
      <c r="G17" s="1471">
        <f>IFERROR(__xludf.DUMMYFUNCTION("IFERROR(GOOGLEFINANCE(""TSLA"",""price""),399.75)"),391.2)</f>
        <v>391.2</v>
      </c>
    </row>
    <row r="18" ht="19.5" customHeight="1">
      <c r="A18" s="1179" t="s">
        <v>3694</v>
      </c>
      <c r="B18" s="2"/>
      <c r="C18" s="2"/>
      <c r="D18" s="2"/>
      <c r="F18" s="1470" t="s">
        <v>2173</v>
      </c>
      <c r="G18" s="1471">
        <f>IFERROR(__xludf.DUMMYFUNCTION("IFERROR(GOOGLEFINANCE(""QQQM"",""price""),250.5191)"),244.45)</f>
        <v>244.45</v>
      </c>
    </row>
    <row r="19" ht="14.25" customHeight="1">
      <c r="A19" s="1476" t="s">
        <v>3695</v>
      </c>
      <c r="B19" s="1477" t="s">
        <v>3696</v>
      </c>
      <c r="C19" s="1478" t="s">
        <v>3697</v>
      </c>
      <c r="D19" s="2"/>
      <c r="F19" s="1470" t="s">
        <v>1456</v>
      </c>
      <c r="G19" s="1471">
        <f>IFERROR(__xludf.DUMMYFUNCTION("IFERROR(GOOGLEFINANCE(""TSE:XEQT"",""price""),40.54)"),39.85)</f>
        <v>39.85</v>
      </c>
    </row>
    <row r="20" ht="14.25" customHeight="1">
      <c r="A20" s="1479" t="s">
        <v>3698</v>
      </c>
      <c r="B20" s="1480">
        <v>2100000.0</v>
      </c>
      <c r="C20" s="1481" t="s">
        <v>3699</v>
      </c>
      <c r="D20" s="2"/>
      <c r="F20" s="1470" t="s">
        <v>1977</v>
      </c>
      <c r="G20" s="1471">
        <f>IFERROR(__xludf.DUMMYFUNCTION("IFERROR(GOOGLEFINANCE(""TSE:TD"",""price""),130.25)"),128.05)</f>
        <v>128.05</v>
      </c>
    </row>
    <row r="21" ht="14.25" customHeight="1">
      <c r="A21" s="1476" t="s">
        <v>2976</v>
      </c>
      <c r="B21" s="1482">
        <v>55.0</v>
      </c>
      <c r="C21" s="1483" t="s">
        <v>3700</v>
      </c>
      <c r="D21" s="2"/>
      <c r="F21" s="1470" t="s">
        <v>1278</v>
      </c>
      <c r="G21" s="1471">
        <f>IFERROR(__xludf.DUMMYFUNCTION("IFERROR(GOOGLEFINANCE(""TSE:ZLB"",""price""),59.32)"),59.04)</f>
        <v>59.04</v>
      </c>
    </row>
    <row r="22" ht="14.25" customHeight="1">
      <c r="A22" s="1479" t="s">
        <v>3701</v>
      </c>
      <c r="B22" s="1480">
        <v>27000.0</v>
      </c>
      <c r="C22" s="1481" t="s">
        <v>3702</v>
      </c>
      <c r="D22" s="2"/>
      <c r="F22" s="1470" t="s">
        <v>1284</v>
      </c>
      <c r="G22" s="1471">
        <f>IFERROR(__xludf.DUMMYFUNCTION("IFERROR(GOOGLEFINANCE(""TSE:H"",""price""),59.15)"),60.09)</f>
        <v>60.09</v>
      </c>
    </row>
    <row r="23" ht="14.25" customHeight="1">
      <c r="A23" s="1476" t="s">
        <v>3703</v>
      </c>
      <c r="B23" s="1484">
        <v>10000.0</v>
      </c>
      <c r="C23" s="1483" t="s">
        <v>3702</v>
      </c>
      <c r="D23" s="2"/>
      <c r="F23" s="1470" t="s">
        <v>1986</v>
      </c>
      <c r="G23" s="1471">
        <f>IFERROR(__xludf.DUMMYFUNCTION("IFERROR(GOOGLEFINANCE(""TSE:T"",""price""),18.62)"),18.01)</f>
        <v>18.01</v>
      </c>
    </row>
    <row r="24" ht="26.25" customHeight="1">
      <c r="A24" s="1479" t="s">
        <v>3704</v>
      </c>
      <c r="B24" s="1485">
        <v>300.0</v>
      </c>
      <c r="C24" s="1481" t="s">
        <v>3705</v>
      </c>
      <c r="D24" s="2"/>
      <c r="F24" s="1470" t="s">
        <v>2187</v>
      </c>
      <c r="G24" s="1471">
        <f>IFERROR(__xludf.DUMMYFUNCTION("IFERROR(GOOGLEFINANCE(""QTUM"",""price""),113.25)"),109.37)</f>
        <v>109.37</v>
      </c>
    </row>
    <row r="25" ht="26.25" customHeight="1">
      <c r="A25" s="1476" t="s">
        <v>3706</v>
      </c>
      <c r="B25" s="1485">
        <v>0.0</v>
      </c>
      <c r="C25" s="1483" t="s">
        <v>3707</v>
      </c>
      <c r="D25" s="2"/>
      <c r="F25" s="1470" t="s">
        <v>2190</v>
      </c>
      <c r="G25" s="1471">
        <f>IFERROR(__xludf.DUMMYFUNCTION("IFERROR(GOOGLEFINANCE(""TSE:HURA"",""price""),60.43)"),57.54)</f>
        <v>57.54</v>
      </c>
    </row>
    <row r="26" ht="14.25" customHeight="1">
      <c r="A26" s="1479" t="s">
        <v>3708</v>
      </c>
      <c r="B26" s="1486" t="s">
        <v>1920</v>
      </c>
      <c r="C26" s="1481" t="s">
        <v>3709</v>
      </c>
      <c r="D26" s="2"/>
      <c r="F26" s="1470" t="s">
        <v>1233</v>
      </c>
      <c r="G26" s="1471">
        <f>IFERROR(__xludf.DUMMYFUNCTION("IFERROR(GOOGLEFINANCE(""TSE:REI-UN"",""price""),IFERROR(GOOGLEFINANCE(""TSE:REI.UN"",""price""),19.02))"),19.02)</f>
        <v>19.02</v>
      </c>
    </row>
    <row r="27" ht="14.25" customHeight="1">
      <c r="A27" s="1476" t="s">
        <v>3710</v>
      </c>
      <c r="B27" s="1485">
        <v>0.0</v>
      </c>
      <c r="C27" s="1483" t="s">
        <v>3711</v>
      </c>
      <c r="D27" s="2"/>
      <c r="F27" s="1470" t="s">
        <v>1240</v>
      </c>
      <c r="G27" s="1471">
        <f>IFERROR(__xludf.DUMMYFUNCTION("IFERROR(GOOGLEFINANCE(""TSE:PLZ-UN"",""price""),IFERROR(GOOGLEFINANCE(""TSE:PLZ.UN"",""price""),IFERROR(VALUE(IMPORTXML(""https://finance.yahoo.com/quote/PLZ-UN.TO/"",""//fin-streamer[@data-field='regularMarketPrice']/@value"")),4.26)))"),4.26)</f>
        <v>4.26</v>
      </c>
      <c r="H27" s="1487" t="s">
        <v>3712</v>
      </c>
    </row>
    <row r="28" ht="14.25" customHeight="1">
      <c r="A28" s="1479" t="s">
        <v>3713</v>
      </c>
      <c r="B28" s="1480">
        <v>4000.0</v>
      </c>
      <c r="C28" s="1481" t="s">
        <v>3714</v>
      </c>
      <c r="D28" s="2"/>
      <c r="F28" s="1470" t="s">
        <v>2196</v>
      </c>
      <c r="G28" s="1471">
        <f>IFERROR(__xludf.DUMMYFUNCTION("IFERROR(GOOGLEFINANCE(""TSE:XEI"",""price""),35.51)"),35.89)</f>
        <v>35.89</v>
      </c>
    </row>
    <row r="29" ht="14.25" customHeight="1">
      <c r="A29" s="1476" t="s">
        <v>3715</v>
      </c>
      <c r="B29" s="1488" t="s">
        <v>1968</v>
      </c>
      <c r="C29" s="1483" t="s">
        <v>3716</v>
      </c>
      <c r="D29" s="2"/>
      <c r="F29" s="1470" t="s">
        <v>2198</v>
      </c>
      <c r="G29" s="1471">
        <f>IFERROR(__xludf.DUMMYFUNCTION("IFERROR(GOOGLEFINANCE(""TSE:SRU-UN"",""price""),IFERROR(GOOGLEFINANCE(""TSE:SRU.UN"",""price""),26.84))"),26.84)</f>
        <v>26.84</v>
      </c>
    </row>
    <row r="30" ht="15.0" customHeight="1">
      <c r="A30" s="1489" t="s">
        <v>3717</v>
      </c>
      <c r="B30" s="1490" t="s">
        <v>3718</v>
      </c>
      <c r="C30" s="1491" t="s">
        <v>3719</v>
      </c>
      <c r="D30" s="1492" t="s">
        <v>1438</v>
      </c>
      <c r="E30" s="59" t="s">
        <v>3720</v>
      </c>
      <c r="F30" s="1470" t="s">
        <v>1412</v>
      </c>
      <c r="G30" s="1471">
        <f>IFERROR(__xludf.DUMMYFUNCTION("IFERROR(GOOGLEFINANCE(""TSE:XIC"",""price""),53.25)"),52.08)</f>
        <v>52.08</v>
      </c>
    </row>
    <row r="31" ht="15.0" customHeight="1">
      <c r="A31" s="1493" t="s">
        <v>3721</v>
      </c>
      <c r="B31" s="1494">
        <v>0.28</v>
      </c>
      <c r="C31" s="1491" t="s">
        <v>3722</v>
      </c>
      <c r="D31" s="1466" t="s">
        <v>1213</v>
      </c>
      <c r="E31" s="59" t="s">
        <v>3723</v>
      </c>
      <c r="F31" s="1470" t="s">
        <v>2201</v>
      </c>
      <c r="G31" s="1471">
        <f>IFERROR(__xludf.DUMMYFUNCTION("IFERROR(GOOGLEFINANCE(""TSE:ZRE"",""price""),22.65)"),22.33)</f>
        <v>22.33</v>
      </c>
    </row>
    <row r="32" ht="15.0" customHeight="1">
      <c r="A32" s="1489" t="s">
        <v>3724</v>
      </c>
      <c r="B32" s="1495">
        <f>B46</f>
        <v>0.9633353658</v>
      </c>
      <c r="C32" s="1496" t="s">
        <v>3725</v>
      </c>
      <c r="D32" s="1466" t="s">
        <v>1213</v>
      </c>
      <c r="E32" s="59" t="s">
        <v>3726</v>
      </c>
      <c r="F32" s="1470" t="s">
        <v>1289</v>
      </c>
      <c r="G32" s="1471">
        <f>IFERROR(__xludf.DUMMYFUNCTION("IFERROR(GOOGLEFINANCE(""TSE:MFC"",""price""),45.88)"),45.9)</f>
        <v>45.9</v>
      </c>
    </row>
    <row r="33" ht="15.0" customHeight="1">
      <c r="A33" s="1493" t="s">
        <v>3727</v>
      </c>
      <c r="B33" s="1497">
        <v>2300.0</v>
      </c>
      <c r="C33" s="1498" t="s">
        <v>3728</v>
      </c>
      <c r="D33" s="1466" t="s">
        <v>1213</v>
      </c>
      <c r="E33" s="59" t="s">
        <v>3729</v>
      </c>
      <c r="F33" s="1470" t="s">
        <v>2204</v>
      </c>
      <c r="G33" s="1471">
        <f>IFERROR(__xludf.DUMMYFUNCTION("IFERROR(GOOGLEFINANCE(""TSE:VDU"",""price""),56.29)"),55.07)</f>
        <v>55.07</v>
      </c>
    </row>
    <row r="34" ht="15.0" customHeight="1">
      <c r="A34" s="1489" t="s">
        <v>3730</v>
      </c>
      <c r="B34" s="1499">
        <v>2000.0</v>
      </c>
      <c r="C34" s="1500" t="s">
        <v>3731</v>
      </c>
      <c r="D34" s="1466" t="s">
        <v>3732</v>
      </c>
      <c r="E34" s="59" t="s">
        <v>3729</v>
      </c>
      <c r="F34" s="1470" t="s">
        <v>548</v>
      </c>
      <c r="G34" s="1471">
        <f>IFERROR(__xludf.DUMMYFUNCTION("IFERROR(GOOGLEFINANCE(""SCHD"",""price""),30.9195)"),30.8)</f>
        <v>30.8</v>
      </c>
    </row>
    <row r="35" ht="26.25" customHeight="1">
      <c r="A35" s="1476" t="s">
        <v>3733</v>
      </c>
      <c r="B35" s="1501">
        <v>140000.0</v>
      </c>
      <c r="C35" s="1502" t="s">
        <v>3734</v>
      </c>
      <c r="D35" s="1492" t="s">
        <v>1438</v>
      </c>
      <c r="E35" s="59" t="s">
        <v>3735</v>
      </c>
      <c r="F35" s="1470" t="s">
        <v>2218</v>
      </c>
      <c r="G35" s="1471">
        <f>IFERROR(__xludf.DUMMYFUNCTION("IFERROR(GOOGLEFINANCE(""JEPI"",""price""),58.27)"),57.09)</f>
        <v>57.09</v>
      </c>
    </row>
    <row r="36" ht="15.0" customHeight="1">
      <c r="A36" s="294" t="s">
        <v>3736</v>
      </c>
      <c r="B36" s="2"/>
      <c r="C36" s="2"/>
      <c r="F36" s="1503" t="s">
        <v>3737</v>
      </c>
      <c r="G36" s="1504">
        <f>IFERROR(__xludf.DUMMYFUNCTION("IFERROR(GOOGLEFINANCE(""INDEXSP:.INX"",""price""),6771.86)"),6632.19)</f>
        <v>6632.19</v>
      </c>
    </row>
    <row r="37" ht="15.0" customHeight="1">
      <c r="A37" s="1505" t="s">
        <v>3738</v>
      </c>
      <c r="B37" s="1057">
        <v>230.66</v>
      </c>
      <c r="C37" s="1506" t="s">
        <v>3739</v>
      </c>
      <c r="D37" s="1466" t="s">
        <v>3732</v>
      </c>
      <c r="E37" s="59" t="s">
        <v>3677</v>
      </c>
      <c r="F37" s="1503" t="s">
        <v>3740</v>
      </c>
      <c r="G37" s="1504">
        <f>IFERROR(__xludf.DUMMYFUNCTION("IFERROR(GOOGLEFINANCE(""INDEXTSI:OSPTX"",""price""),33171.49)"),32541.93)</f>
        <v>32541.93</v>
      </c>
    </row>
    <row r="38" ht="15.0" customHeight="1">
      <c r="A38" s="1507" t="s">
        <v>3741</v>
      </c>
      <c r="B38" s="1057">
        <v>15.13</v>
      </c>
      <c r="C38" s="1508" t="s">
        <v>3739</v>
      </c>
      <c r="D38" s="1466" t="s">
        <v>3732</v>
      </c>
      <c r="E38" s="59" t="s">
        <v>3677</v>
      </c>
      <c r="F38" s="1503" t="s">
        <v>3742</v>
      </c>
      <c r="G38" s="1504">
        <f>IFERROR(__xludf.DUMMYFUNCTION("IFERROR(GOOGLEFINANCE(""SPY"",""price""),0)"),662.29)</f>
        <v>662.29</v>
      </c>
    </row>
    <row r="39" ht="15.0" customHeight="1">
      <c r="A39" s="1505" t="s">
        <v>3743</v>
      </c>
      <c r="B39" s="1057">
        <v>1.26</v>
      </c>
      <c r="C39" s="1506" t="s">
        <v>3744</v>
      </c>
      <c r="D39" s="1466" t="s">
        <v>3732</v>
      </c>
      <c r="E39" s="59" t="s">
        <v>3677</v>
      </c>
    </row>
    <row r="40" ht="3.75" customHeight="1"/>
    <row r="41" ht="18.0" customHeight="1">
      <c r="A41" s="112" t="s">
        <v>3745</v>
      </c>
      <c r="B41" s="1509">
        <f>B39/B3</f>
        <v>0.9292720702</v>
      </c>
      <c r="C41" s="1510" t="s">
        <v>3746</v>
      </c>
    </row>
    <row r="42" ht="18.0" customHeight="1">
      <c r="A42" s="112" t="s">
        <v>3747</v>
      </c>
      <c r="B42" s="1511">
        <f>B37/B3</f>
        <v>170.1157903</v>
      </c>
    </row>
    <row r="43" ht="16.5" customHeight="1">
      <c r="A43" s="1512" t="s">
        <v>3748</v>
      </c>
      <c r="C43" s="1090"/>
    </row>
    <row r="44" ht="16.5" customHeight="1">
      <c r="A44" s="1513" t="s">
        <v>3749</v>
      </c>
      <c r="B44" s="1514">
        <f>SUMIF('🔍 ANALYSE TRIABLE'!K8:K48,"USD",'🔍 ANALYSE TRIABLE'!L8:L48)</f>
        <v>2708811.76</v>
      </c>
      <c r="C44" s="1090"/>
    </row>
    <row r="45" ht="16.5" customHeight="1">
      <c r="A45" s="1513" t="s">
        <v>3750</v>
      </c>
      <c r="B45" s="1514">
        <f>SUMIF('🔍 ANALYSE TRIABLE'!K8:K48,"CAD",'🔍 ANALYSE TRIABLE'!L8:L48)</f>
        <v>103097.6291</v>
      </c>
      <c r="C45" s="1090"/>
    </row>
    <row r="46" ht="16.5" customHeight="1">
      <c r="A46" s="1515" t="s">
        <v>3751</v>
      </c>
      <c r="B46" s="1516">
        <f>IFERROR(B44/(B44+B45),0)</f>
        <v>0.9633353658</v>
      </c>
      <c r="C46" s="1090" t="s">
        <v>3752</v>
      </c>
    </row>
    <row r="47" ht="16.5" customHeight="1">
      <c r="A47" s="1517" t="s">
        <v>3753</v>
      </c>
      <c r="B47" s="1513" t="str">
        <f>IF(B46&gt;0.65,"🔴 SUREXPOSÉ USD — Rééquilibrer",IF(B46&gt;0.6,"🟡 LIMITE — Surveiller","✅ OK — Dans les cibles"))</f>
        <v>🔴 SUREXPOSÉ USD — Rééquilibrer</v>
      </c>
      <c r="C47" s="1090"/>
    </row>
    <row r="48" ht="16.5" customHeight="1">
      <c r="A48" s="1518" t="s">
        <v>3754</v>
      </c>
      <c r="B48" s="1519">
        <f>IFERROR((G6/164)-1,0)</f>
        <v>-0.01341463415</v>
      </c>
      <c r="C48" s="1520" t="s">
        <v>3755</v>
      </c>
      <c r="D48" s="2"/>
      <c r="E48" s="2"/>
    </row>
    <row r="49" ht="16.5" customHeight="1">
      <c r="A49" s="1518" t="s">
        <v>3756</v>
      </c>
      <c r="B49" s="1521">
        <f>IFERROR((G36/6927.91)-1,0)</f>
        <v>-0.04268531202</v>
      </c>
      <c r="C49" s="1522" t="s">
        <v>3757</v>
      </c>
      <c r="D49" s="2"/>
      <c r="E49" s="2"/>
    </row>
    <row r="50" ht="6.0" customHeight="1">
      <c r="A50" s="1518" t="s">
        <v>3758</v>
      </c>
      <c r="B50" s="1521">
        <f>IFERROR((G37/31728.33)-1,0)</f>
        <v>0.0256426985</v>
      </c>
      <c r="C50" s="1523" t="s">
        <v>3759</v>
      </c>
    </row>
    <row r="51" ht="13.5" customHeight="1">
      <c r="A51" s="61" t="s">
        <v>3760</v>
      </c>
      <c r="B51" s="112" t="s">
        <v>3488</v>
      </c>
      <c r="C51" s="1510" t="s">
        <v>3761</v>
      </c>
    </row>
    <row r="52" ht="16.5" customHeight="1">
      <c r="A52" s="1518" t="s">
        <v>3762</v>
      </c>
      <c r="B52" s="1524" t="s">
        <v>3763</v>
      </c>
      <c r="C52" s="2"/>
      <c r="D52" s="2"/>
      <c r="E52" s="2"/>
    </row>
    <row r="53" ht="16.5" customHeight="1">
      <c r="A53" s="1518" t="s">
        <v>3764</v>
      </c>
      <c r="B53" s="1525" t="s">
        <v>3765</v>
      </c>
      <c r="C53" s="2"/>
      <c r="D53" s="2"/>
      <c r="E53" s="2"/>
    </row>
    <row r="54" ht="16.5" customHeight="1">
      <c r="B54" s="1090"/>
    </row>
    <row r="55" ht="16.5" customHeight="1">
      <c r="A55" s="1526" t="s">
        <v>3766</v>
      </c>
      <c r="B55" s="1090"/>
    </row>
    <row r="56" ht="16.5" customHeight="1">
      <c r="A56" s="1527" t="s">
        <v>3767</v>
      </c>
      <c r="B56" s="1528" t="s">
        <v>3768</v>
      </c>
      <c r="C56" s="2"/>
      <c r="D56" s="2"/>
      <c r="E56" s="2"/>
    </row>
    <row r="57" ht="6.0" customHeight="1">
      <c r="A57" s="1527" t="s">
        <v>3769</v>
      </c>
    </row>
    <row r="58" ht="13.5" customHeight="1">
      <c r="A58" s="1529" t="s">
        <v>3770</v>
      </c>
      <c r="B58" s="2"/>
      <c r="C58" s="2"/>
      <c r="D58" s="2"/>
      <c r="E58" s="2"/>
    </row>
    <row r="59" ht="15.75" customHeight="1">
      <c r="A59" s="1527" t="s">
        <v>3771</v>
      </c>
      <c r="B59" s="1530" t="s">
        <v>3772</v>
      </c>
    </row>
    <row r="60" ht="16.5" customHeight="1">
      <c r="A60" s="1527" t="s">
        <v>3773</v>
      </c>
      <c r="B60" s="1530" t="s">
        <v>3774</v>
      </c>
    </row>
    <row r="61" ht="16.5" customHeight="1"/>
    <row r="62" ht="16.5" customHeight="1">
      <c r="A62" s="1526" t="s">
        <v>3775</v>
      </c>
    </row>
    <row r="63" ht="16.5" customHeight="1">
      <c r="A63" s="105" t="s">
        <v>1206</v>
      </c>
      <c r="B63" s="105" t="s">
        <v>270</v>
      </c>
      <c r="C63" s="105" t="s">
        <v>310</v>
      </c>
      <c r="D63" s="105" t="s">
        <v>250</v>
      </c>
      <c r="E63" s="105" t="s">
        <v>3776</v>
      </c>
    </row>
    <row r="64" ht="6.0" customHeight="1">
      <c r="A64" s="1531" t="s">
        <v>434</v>
      </c>
    </row>
    <row r="65" ht="13.5" customHeight="1">
      <c r="A65" s="1532" t="s">
        <v>434</v>
      </c>
      <c r="B65" s="2"/>
      <c r="C65" s="2"/>
      <c r="D65" s="2"/>
      <c r="E65" s="2"/>
    </row>
    <row r="66" ht="16.5" customHeight="1">
      <c r="A66" s="1531" t="s">
        <v>434</v>
      </c>
      <c r="B66" s="1531" t="s">
        <v>434</v>
      </c>
      <c r="C66" s="1533" t="s">
        <v>434</v>
      </c>
      <c r="D66" s="2"/>
      <c r="E66" s="2"/>
    </row>
    <row r="67" ht="16.5" customHeight="1">
      <c r="A67" s="1534" t="s">
        <v>434</v>
      </c>
      <c r="B67" s="1534" t="s">
        <v>434</v>
      </c>
      <c r="C67" s="1532" t="s">
        <v>434</v>
      </c>
      <c r="D67" s="2"/>
      <c r="E67" s="2"/>
    </row>
    <row r="68" ht="16.5" customHeight="1">
      <c r="C68" s="1090"/>
    </row>
    <row r="69" ht="16.5" customHeight="1">
      <c r="A69" s="1526" t="s">
        <v>3777</v>
      </c>
      <c r="C69" s="1090"/>
    </row>
    <row r="70" ht="16.5" customHeight="1">
      <c r="A70" s="1535" t="s">
        <v>3778</v>
      </c>
      <c r="B70" s="43" t="s">
        <v>3779</v>
      </c>
      <c r="C70" s="1536" t="s">
        <v>3780</v>
      </c>
      <c r="D70" s="2"/>
      <c r="E70" s="2"/>
    </row>
    <row r="71" ht="6.0" customHeight="1">
      <c r="A71" s="1535" t="s">
        <v>3781</v>
      </c>
      <c r="B71" s="1537" t="s">
        <v>3782</v>
      </c>
    </row>
    <row r="72" ht="13.5" customHeight="1">
      <c r="A72" s="1538" t="s">
        <v>3783</v>
      </c>
      <c r="B72" s="2"/>
      <c r="C72" s="2"/>
      <c r="D72" s="2"/>
      <c r="E72" s="2"/>
    </row>
    <row r="73" ht="15.75" customHeight="1">
      <c r="A73" s="1535" t="s">
        <v>3784</v>
      </c>
      <c r="B73" s="43" t="s">
        <v>3785</v>
      </c>
      <c r="C73" s="1539" t="s">
        <v>3786</v>
      </c>
    </row>
    <row r="74" ht="18.0" customHeight="1">
      <c r="A74" s="1535" t="s">
        <v>3787</v>
      </c>
      <c r="B74" s="1540" t="s">
        <v>3788</v>
      </c>
      <c r="C74" s="1539" t="s">
        <v>3789</v>
      </c>
    </row>
    <row r="75" ht="18.0" customHeight="1"/>
    <row r="76" ht="18.0" customHeight="1">
      <c r="A76" s="1541" t="s">
        <v>3790</v>
      </c>
    </row>
    <row r="77" ht="15.75" customHeight="1">
      <c r="A77" s="1542" t="s">
        <v>1771</v>
      </c>
      <c r="B77" s="2"/>
      <c r="C77" s="2"/>
      <c r="D77" s="2"/>
      <c r="E77" s="2"/>
    </row>
    <row r="78" ht="6.0" customHeight="1">
      <c r="A78" s="1518" t="s">
        <v>3791</v>
      </c>
    </row>
    <row r="79" ht="13.5" customHeight="1">
      <c r="A79" s="1543" t="s">
        <v>3792</v>
      </c>
      <c r="B79" s="2"/>
      <c r="C79" s="2"/>
      <c r="D79" s="2"/>
      <c r="E79" s="2"/>
    </row>
    <row r="80" ht="16.5" customHeight="1">
      <c r="A80" s="1518" t="s">
        <v>3793</v>
      </c>
      <c r="B80" s="1544">
        <v>14050.0</v>
      </c>
      <c r="C80" s="1545">
        <v>14050.0</v>
      </c>
      <c r="D80" s="2"/>
      <c r="E80" s="2"/>
    </row>
    <row r="81" ht="16.5" customHeight="1">
      <c r="A81" s="1546" t="s">
        <v>3794</v>
      </c>
      <c r="C81" s="1090"/>
    </row>
    <row r="82" ht="16.5" customHeight="1">
      <c r="C82" s="1090"/>
    </row>
    <row r="83" ht="16.5" customHeight="1">
      <c r="A83" s="1526" t="s">
        <v>3795</v>
      </c>
      <c r="C83" s="1090"/>
    </row>
    <row r="84" ht="16.5" customHeight="1">
      <c r="A84" s="1547" t="s">
        <v>3796</v>
      </c>
      <c r="B84" s="1548" t="s">
        <v>3456</v>
      </c>
      <c r="C84" s="1520" t="s">
        <v>3797</v>
      </c>
      <c r="D84" s="2"/>
      <c r="E84" s="2"/>
    </row>
    <row r="85" ht="6.0" customHeight="1">
      <c r="A85" s="1547" t="s">
        <v>3798</v>
      </c>
    </row>
    <row r="86" ht="13.5" customHeight="1">
      <c r="A86" s="1549" t="s">
        <v>3799</v>
      </c>
      <c r="B86" s="2"/>
      <c r="C86" s="2"/>
      <c r="D86" s="2"/>
      <c r="E86" s="2"/>
    </row>
    <row r="87" ht="15.75" customHeight="1">
      <c r="A87" s="1547" t="s">
        <v>3800</v>
      </c>
      <c r="B87" s="1548" t="s">
        <v>3456</v>
      </c>
      <c r="C87" s="1523" t="s">
        <v>3801</v>
      </c>
    </row>
    <row r="88" ht="15.75" customHeight="1">
      <c r="A88" s="1547" t="s">
        <v>3802</v>
      </c>
      <c r="B88" s="1548" t="s">
        <v>3456</v>
      </c>
      <c r="C88" s="1523" t="s">
        <v>3803</v>
      </c>
    </row>
    <row r="89" ht="15.75" customHeight="1"/>
    <row r="90" ht="15.75" customHeight="1">
      <c r="A90" s="1526" t="s">
        <v>3804</v>
      </c>
    </row>
    <row r="91" ht="15.75" customHeight="1">
      <c r="A91" s="1550" t="s">
        <v>1206</v>
      </c>
      <c r="B91" s="1550" t="s">
        <v>250</v>
      </c>
      <c r="C91" s="1550" t="s">
        <v>1805</v>
      </c>
      <c r="D91" s="1550" t="s">
        <v>1205</v>
      </c>
      <c r="E91" s="1550" t="s">
        <v>3805</v>
      </c>
    </row>
    <row r="92" ht="15.75" customHeight="1">
      <c r="A92" s="1551" t="s">
        <v>2163</v>
      </c>
      <c r="B92" s="1552" t="s">
        <v>19</v>
      </c>
      <c r="C92" s="1553" t="s">
        <v>3806</v>
      </c>
      <c r="D92" s="1552" t="s">
        <v>2638</v>
      </c>
      <c r="E92" s="1554" t="s">
        <v>3807</v>
      </c>
    </row>
    <row r="93" ht="15.75" customHeight="1">
      <c r="A93" s="1555" t="s">
        <v>2196</v>
      </c>
      <c r="B93" s="156" t="s">
        <v>19</v>
      </c>
      <c r="C93" s="1556" t="s">
        <v>3808</v>
      </c>
      <c r="D93" s="156" t="s">
        <v>2638</v>
      </c>
      <c r="E93" s="1557" t="s">
        <v>3809</v>
      </c>
    </row>
    <row r="94" ht="15.75" customHeight="1">
      <c r="A94" s="1551" t="s">
        <v>2866</v>
      </c>
      <c r="B94" s="1552" t="s">
        <v>19</v>
      </c>
      <c r="C94" s="1553" t="s">
        <v>3810</v>
      </c>
      <c r="D94" s="1552" t="s">
        <v>2638</v>
      </c>
      <c r="E94" s="1554" t="s">
        <v>3809</v>
      </c>
    </row>
    <row r="95" ht="15.75" customHeight="1">
      <c r="A95" s="1555" t="s">
        <v>548</v>
      </c>
      <c r="B95" s="156" t="s">
        <v>25</v>
      </c>
      <c r="C95" s="1556" t="s">
        <v>3811</v>
      </c>
      <c r="D95" s="156" t="s">
        <v>2429</v>
      </c>
      <c r="E95" s="1557" t="s">
        <v>3812</v>
      </c>
    </row>
    <row r="96" ht="15.75" customHeight="1">
      <c r="A96" s="1551" t="s">
        <v>2218</v>
      </c>
      <c r="B96" s="1552" t="s">
        <v>25</v>
      </c>
      <c r="C96" s="1553" t="s">
        <v>3813</v>
      </c>
      <c r="D96" s="1552" t="s">
        <v>1810</v>
      </c>
      <c r="E96" s="1554" t="s">
        <v>3814</v>
      </c>
    </row>
    <row r="97" ht="15.75" customHeight="1">
      <c r="A97" s="1555" t="s">
        <v>1977</v>
      </c>
    </row>
    <row r="98" ht="13.5" customHeight="1">
      <c r="A98" s="1558" t="s">
        <v>1289</v>
      </c>
      <c r="B98" s="2"/>
      <c r="C98" s="2"/>
      <c r="D98" s="2"/>
      <c r="E98" s="2"/>
    </row>
    <row r="99" ht="6.0" customHeight="1">
      <c r="A99" s="1555" t="s">
        <v>2870</v>
      </c>
    </row>
    <row r="100" ht="13.5" customHeight="1">
      <c r="A100" s="1559" t="s">
        <v>3456</v>
      </c>
      <c r="B100" s="2"/>
      <c r="C100" s="2"/>
      <c r="D100" s="2"/>
      <c r="E100" s="2"/>
    </row>
    <row r="101" ht="16.5" customHeight="1">
      <c r="A101" s="1534" t="s">
        <v>3456</v>
      </c>
      <c r="B101" s="156"/>
      <c r="C101" s="1560"/>
    </row>
    <row r="102" ht="16.5" customHeight="1">
      <c r="A102" s="1561" t="s">
        <v>3815</v>
      </c>
    </row>
    <row r="103" ht="16.5" customHeight="1"/>
    <row r="104" ht="16.5" customHeight="1">
      <c r="A104" s="1526" t="s">
        <v>3816</v>
      </c>
    </row>
    <row r="105" ht="16.5" customHeight="1">
      <c r="A105" s="1562" t="s">
        <v>3817</v>
      </c>
      <c r="B105" s="1563" t="s">
        <v>3818</v>
      </c>
      <c r="C105" s="1564" t="s">
        <v>3819</v>
      </c>
    </row>
    <row r="106" ht="16.5" customHeight="1">
      <c r="A106" s="1562" t="s">
        <v>1073</v>
      </c>
      <c r="B106" s="1563" t="s">
        <v>1930</v>
      </c>
      <c r="C106" s="1564" t="s">
        <v>3820</v>
      </c>
    </row>
    <row r="107" ht="16.5" customHeight="1">
      <c r="A107" s="1562" t="s">
        <v>3821</v>
      </c>
      <c r="B107" s="1563" t="s">
        <v>3822</v>
      </c>
      <c r="C107" s="1564" t="s">
        <v>3823</v>
      </c>
    </row>
    <row r="108" ht="16.5" customHeight="1">
      <c r="A108" s="1562" t="s">
        <v>3824</v>
      </c>
      <c r="B108" s="1563" t="s">
        <v>3825</v>
      </c>
      <c r="C108" s="1564" t="s">
        <v>3826</v>
      </c>
    </row>
    <row r="109" ht="16.5" customHeight="1">
      <c r="A109" s="1562" t="s">
        <v>3827</v>
      </c>
      <c r="B109" s="1563" t="s">
        <v>3828</v>
      </c>
      <c r="C109" s="1564" t="s">
        <v>3829</v>
      </c>
    </row>
    <row r="110" ht="16.5" customHeight="1">
      <c r="A110" s="1562" t="s">
        <v>3830</v>
      </c>
      <c r="B110" s="1563" t="s">
        <v>3831</v>
      </c>
      <c r="C110" s="1564" t="s">
        <v>3832</v>
      </c>
    </row>
    <row r="111" ht="16.5" customHeight="1">
      <c r="A111" s="1562" t="s">
        <v>339</v>
      </c>
      <c r="B111" s="1563" t="s">
        <v>3833</v>
      </c>
      <c r="C111" s="1564" t="s">
        <v>3834</v>
      </c>
    </row>
    <row r="112" ht="15.75" customHeight="1">
      <c r="A112" s="1562" t="s">
        <v>3835</v>
      </c>
      <c r="B112" s="1563" t="s">
        <v>3660</v>
      </c>
      <c r="C112" s="1564" t="s">
        <v>3836</v>
      </c>
    </row>
    <row r="113" ht="15.75" customHeight="1">
      <c r="A113" s="1565" t="s">
        <v>2015</v>
      </c>
      <c r="B113" s="1566" t="s">
        <v>3837</v>
      </c>
      <c r="C113" s="1567" t="s">
        <v>3838</v>
      </c>
    </row>
    <row r="114" ht="15.75" customHeight="1">
      <c r="A114" s="1562" t="s">
        <v>3839</v>
      </c>
      <c r="B114" s="1563" t="s">
        <v>3840</v>
      </c>
      <c r="C114" s="1564" t="s">
        <v>3841</v>
      </c>
    </row>
    <row r="115" ht="15.75" customHeight="1">
      <c r="A115" s="1565" t="s">
        <v>522</v>
      </c>
      <c r="B115" s="1566" t="s">
        <v>3842</v>
      </c>
      <c r="C115" s="1567" t="s">
        <v>3843</v>
      </c>
    </row>
    <row r="116" ht="15.75" customHeight="1"/>
    <row r="117" ht="21.75" customHeight="1">
      <c r="A117" s="1316" t="s">
        <v>3844</v>
      </c>
      <c r="B117" s="1317"/>
      <c r="C117" s="1317"/>
      <c r="D117" s="1317"/>
      <c r="E117" s="1317"/>
      <c r="F117" s="1317"/>
    </row>
    <row r="118" ht="31.5" customHeight="1">
      <c r="A118" s="1568" t="s">
        <v>2960</v>
      </c>
      <c r="B118" s="1568" t="s">
        <v>3845</v>
      </c>
      <c r="C118" s="1568" t="s">
        <v>3846</v>
      </c>
      <c r="D118" s="1568" t="s">
        <v>3847</v>
      </c>
      <c r="E118" s="1568" t="s">
        <v>588</v>
      </c>
    </row>
    <row r="119" ht="15.75" customHeight="1">
      <c r="A119" s="1318" t="s">
        <v>3848</v>
      </c>
      <c r="B119" s="1569">
        <v>2800.0</v>
      </c>
      <c r="C119" s="1569">
        <v>3300.0</v>
      </c>
      <c r="D119" s="1569">
        <v>3800.0</v>
      </c>
      <c r="E119" s="1570" t="s">
        <v>3849</v>
      </c>
    </row>
    <row r="120" ht="15.75" customHeight="1">
      <c r="A120" s="1318" t="s">
        <v>3850</v>
      </c>
      <c r="B120" s="1571">
        <v>26.0</v>
      </c>
      <c r="C120" s="1571">
        <v>26.0</v>
      </c>
      <c r="D120" s="1571">
        <v>26.0</v>
      </c>
      <c r="E120" s="1570" t="s">
        <v>3851</v>
      </c>
    </row>
    <row r="121" ht="15.75" customHeight="1">
      <c r="A121" s="1318" t="s">
        <v>3852</v>
      </c>
      <c r="B121" s="1572">
        <f t="shared" ref="B121:D121" si="1">B119*26</f>
        <v>72800</v>
      </c>
      <c r="C121" s="1572">
        <f t="shared" si="1"/>
        <v>85800</v>
      </c>
      <c r="D121" s="1572">
        <f t="shared" si="1"/>
        <v>98800</v>
      </c>
      <c r="E121" s="1570" t="s">
        <v>3853</v>
      </c>
    </row>
    <row r="122" ht="15.75" customHeight="1">
      <c r="A122" s="1318" t="s">
        <v>3854</v>
      </c>
      <c r="B122" s="1572">
        <f t="shared" ref="B122:D122" si="2">B121/12</f>
        <v>6066.666667</v>
      </c>
      <c r="C122" s="1572">
        <f t="shared" si="2"/>
        <v>7150</v>
      </c>
      <c r="D122" s="1572">
        <f t="shared" si="2"/>
        <v>8233.333333</v>
      </c>
      <c r="E122" s="1570" t="s">
        <v>3855</v>
      </c>
    </row>
    <row r="123" ht="15.75" customHeight="1">
      <c r="A123" s="1318" t="s">
        <v>1065</v>
      </c>
      <c r="B123" s="1573">
        <v>700.0</v>
      </c>
      <c r="C123" s="1573">
        <v>700.0</v>
      </c>
      <c r="D123" s="1573">
        <v>700.0</v>
      </c>
      <c r="E123" s="1570" t="s">
        <v>3856</v>
      </c>
    </row>
    <row r="124" ht="15.75" customHeight="1">
      <c r="A124" s="1318" t="s">
        <v>3857</v>
      </c>
      <c r="B124" s="1572">
        <f t="shared" ref="B124:D124" si="3">B122-700</f>
        <v>5366.666667</v>
      </c>
      <c r="C124" s="1572">
        <f t="shared" si="3"/>
        <v>6450</v>
      </c>
      <c r="D124" s="1572">
        <f t="shared" si="3"/>
        <v>7533.333333</v>
      </c>
      <c r="E124" s="1570" t="s">
        <v>3858</v>
      </c>
    </row>
    <row r="125" ht="15.75" customHeight="1">
      <c r="A125" s="1318" t="s">
        <v>3859</v>
      </c>
      <c r="B125" s="1573">
        <v>3500.0</v>
      </c>
      <c r="C125" s="1573">
        <v>3500.0</v>
      </c>
      <c r="D125" s="1573">
        <v>3500.0</v>
      </c>
      <c r="E125" s="1570" t="s">
        <v>3860</v>
      </c>
    </row>
    <row r="126" ht="21.75" customHeight="1">
      <c r="A126" s="1574" t="s">
        <v>3861</v>
      </c>
      <c r="B126" s="1575">
        <f t="shared" ref="B126:D126" si="4">B124-3500</f>
        <v>1866.666667</v>
      </c>
      <c r="C126" s="1575">
        <f t="shared" si="4"/>
        <v>2950</v>
      </c>
      <c r="D126" s="1575">
        <f t="shared" si="4"/>
        <v>4033.333333</v>
      </c>
      <c r="E126" s="1570" t="s">
        <v>3862</v>
      </c>
    </row>
    <row r="127" ht="15.75" customHeight="1">
      <c r="A127" s="1318" t="s">
        <v>3863</v>
      </c>
      <c r="B127" s="1576">
        <f t="shared" ref="B127:D127" si="5">3500/B122</f>
        <v>0.5769230769</v>
      </c>
      <c r="C127" s="1576">
        <f t="shared" si="5"/>
        <v>0.4895104895</v>
      </c>
      <c r="D127" s="1576">
        <f t="shared" si="5"/>
        <v>0.4251012146</v>
      </c>
      <c r="E127" s="1570" t="s">
        <v>3864</v>
      </c>
    </row>
    <row r="128" ht="15.75" customHeight="1">
      <c r="A128" s="1318" t="s">
        <v>3865</v>
      </c>
      <c r="B128" s="1572">
        <f t="shared" ref="B128:D128" si="6">B124</f>
        <v>5366.666667</v>
      </c>
      <c r="C128" s="1572">
        <f t="shared" si="6"/>
        <v>6450</v>
      </c>
      <c r="D128" s="1572">
        <f t="shared" si="6"/>
        <v>7533.333333</v>
      </c>
      <c r="E128" s="1570" t="s">
        <v>3866</v>
      </c>
    </row>
    <row r="129" ht="15.75" customHeight="1">
      <c r="A129" s="1577"/>
      <c r="B129" s="1578"/>
      <c r="C129" s="1579"/>
    </row>
    <row r="130" ht="54.75" customHeight="1">
      <c r="A130" s="1580" t="s">
        <v>3867</v>
      </c>
      <c r="B130" s="1323"/>
      <c r="C130" s="1581"/>
      <c r="D130" s="1582"/>
      <c r="E130" s="1582"/>
    </row>
    <row r="131" ht="15.75" customHeight="1"/>
    <row r="132" ht="21.75" customHeight="1">
      <c r="A132" s="1583"/>
      <c r="B132" s="1584"/>
      <c r="C132" s="1583"/>
      <c r="D132" s="1583"/>
    </row>
    <row r="133" ht="15.75" customHeight="1">
      <c r="A133" s="1577"/>
      <c r="B133" s="1585"/>
      <c r="C133" s="1579"/>
    </row>
    <row r="134" ht="15.75" customHeight="1">
      <c r="A134" s="1577"/>
      <c r="B134" s="1586"/>
      <c r="C134" s="1579"/>
    </row>
    <row r="135" ht="15.75" customHeight="1">
      <c r="A135" s="1577"/>
      <c r="B135" s="1578"/>
      <c r="C135" s="1579"/>
    </row>
    <row r="136" ht="15.75" customHeight="1">
      <c r="A136" s="1577"/>
      <c r="B136" s="1587"/>
      <c r="C136" s="1579"/>
    </row>
    <row r="137" ht="15.75" customHeight="1">
      <c r="A137" s="1577"/>
      <c r="B137" s="1588"/>
      <c r="C137" s="1579"/>
    </row>
    <row r="138" ht="15.75" customHeight="1">
      <c r="A138" s="1577"/>
      <c r="B138" s="1588"/>
      <c r="C138" s="1579"/>
    </row>
    <row r="139" ht="15.75" customHeight="1"/>
    <row r="140" ht="21.75" customHeight="1">
      <c r="A140" s="1583"/>
      <c r="B140" s="1584"/>
      <c r="C140" s="1583"/>
      <c r="D140" s="1583"/>
    </row>
    <row r="141" ht="15.75" customHeight="1">
      <c r="A141" s="1577"/>
      <c r="B141" s="1589"/>
      <c r="C141" s="1579"/>
    </row>
    <row r="142" ht="15.75" customHeight="1">
      <c r="A142" s="1577"/>
      <c r="B142" s="1589"/>
      <c r="C142" s="1579"/>
    </row>
    <row r="143" ht="15.75" customHeight="1">
      <c r="A143" s="1577"/>
      <c r="B143" s="1589"/>
      <c r="C143" s="1579"/>
    </row>
    <row r="144" ht="15.75" customHeight="1">
      <c r="A144" s="1577"/>
      <c r="B144" s="1590"/>
      <c r="C144" s="1579"/>
    </row>
    <row r="145" ht="21.75" customHeight="1">
      <c r="A145" s="1591" t="s">
        <v>3868</v>
      </c>
      <c r="B145" s="1592"/>
      <c r="C145" s="1593"/>
      <c r="D145" s="1594"/>
      <c r="E145" s="1594"/>
      <c r="F145" s="1594"/>
    </row>
    <row r="146" ht="15.75" customHeight="1">
      <c r="A146" s="1595" t="s">
        <v>3869</v>
      </c>
      <c r="B146" s="1595" t="s">
        <v>3870</v>
      </c>
      <c r="C146" s="1595" t="s">
        <v>270</v>
      </c>
      <c r="D146" s="1595" t="s">
        <v>3871</v>
      </c>
      <c r="E146" s="1595" t="s">
        <v>3872</v>
      </c>
    </row>
    <row r="147" ht="25.5" customHeight="1">
      <c r="A147" s="1596" t="s">
        <v>536</v>
      </c>
      <c r="B147" s="1597" t="s">
        <v>3873</v>
      </c>
      <c r="C147" s="1598" t="s">
        <v>3874</v>
      </c>
      <c r="D147" s="1599" t="s">
        <v>3875</v>
      </c>
      <c r="E147" s="1600" t="s">
        <v>3876</v>
      </c>
    </row>
    <row r="148" ht="25.5" customHeight="1">
      <c r="A148" s="1596" t="s">
        <v>1219</v>
      </c>
      <c r="B148" s="1597" t="s">
        <v>3877</v>
      </c>
      <c r="C148" s="1598" t="s">
        <v>3878</v>
      </c>
      <c r="D148" s="1599" t="s">
        <v>3879</v>
      </c>
      <c r="E148" s="1600" t="s">
        <v>3880</v>
      </c>
    </row>
    <row r="149" ht="25.5" customHeight="1">
      <c r="A149" s="1596" t="s">
        <v>1223</v>
      </c>
      <c r="B149" s="1597" t="s">
        <v>3881</v>
      </c>
      <c r="C149" s="1598" t="s">
        <v>3882</v>
      </c>
      <c r="D149" s="1599" t="s">
        <v>3883</v>
      </c>
      <c r="E149" s="1600" t="s">
        <v>3884</v>
      </c>
    </row>
    <row r="150" ht="25.5" customHeight="1">
      <c r="A150" s="1574" t="s">
        <v>3885</v>
      </c>
      <c r="B150" s="1601" t="s">
        <v>3886</v>
      </c>
      <c r="C150" s="1574" t="s">
        <v>3887</v>
      </c>
      <c r="D150" s="1599" t="s">
        <v>3888</v>
      </c>
      <c r="E150" s="1600" t="s">
        <v>3889</v>
      </c>
    </row>
    <row r="151" ht="25.5" customHeight="1">
      <c r="A151" s="1574" t="s">
        <v>3890</v>
      </c>
      <c r="B151" s="1601" t="s">
        <v>3891</v>
      </c>
      <c r="C151" s="1574" t="s">
        <v>3892</v>
      </c>
      <c r="D151" s="1599" t="s">
        <v>3883</v>
      </c>
      <c r="E151" s="1600" t="s">
        <v>3893</v>
      </c>
    </row>
    <row r="152" ht="15.75" customHeight="1"/>
    <row r="153" ht="45.0" customHeight="1">
      <c r="A153" s="1580" t="s">
        <v>3894</v>
      </c>
      <c r="B153" s="1582"/>
      <c r="C153" s="1582"/>
      <c r="D153" s="1582"/>
      <c r="E153" s="1582"/>
    </row>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A1:C1"/>
    <mergeCell ref="A18:D18"/>
    <mergeCell ref="C19:D19"/>
    <mergeCell ref="C20:D20"/>
    <mergeCell ref="C21:D21"/>
    <mergeCell ref="C22:D22"/>
    <mergeCell ref="C23:D23"/>
    <mergeCell ref="C24:D24"/>
    <mergeCell ref="C25:D25"/>
    <mergeCell ref="C26:D26"/>
    <mergeCell ref="C27:D27"/>
    <mergeCell ref="C28:D28"/>
    <mergeCell ref="C29:D29"/>
    <mergeCell ref="A36:C36"/>
    <mergeCell ref="C43:E43"/>
    <mergeCell ref="C44:E44"/>
    <mergeCell ref="C45:E45"/>
    <mergeCell ref="C46:E46"/>
    <mergeCell ref="C47:E47"/>
    <mergeCell ref="C48:E48"/>
    <mergeCell ref="C49:E49"/>
    <mergeCell ref="B52:E52"/>
    <mergeCell ref="B53:E53"/>
    <mergeCell ref="B54:E54"/>
    <mergeCell ref="B55:E55"/>
    <mergeCell ref="B56:E56"/>
    <mergeCell ref="A58:E58"/>
    <mergeCell ref="A65:E65"/>
    <mergeCell ref="C66:E66"/>
    <mergeCell ref="C67:E67"/>
    <mergeCell ref="C68:E68"/>
    <mergeCell ref="C69:E69"/>
    <mergeCell ref="C70:E70"/>
    <mergeCell ref="A72:E72"/>
    <mergeCell ref="A77:E77"/>
    <mergeCell ref="A98:E98"/>
    <mergeCell ref="A100:E100"/>
    <mergeCell ref="A79:E79"/>
    <mergeCell ref="C80:E80"/>
    <mergeCell ref="C81:E81"/>
    <mergeCell ref="C82:E82"/>
    <mergeCell ref="C83:E83"/>
    <mergeCell ref="C84:E84"/>
    <mergeCell ref="A86:E86"/>
  </mergeCells>
  <printOptions/>
  <pageMargins bottom="1.0" footer="0.0" header="0.0" left="0.75" right="0.75" top="1.0"/>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700"/>
    <pageSetUpPr/>
  </sheetPr>
  <sheetViews>
    <sheetView workbookViewId="0"/>
  </sheetViews>
  <sheetFormatPr customHeight="1" defaultColWidth="14.43" defaultRowHeight="15.0"/>
  <cols>
    <col customWidth="1" min="1" max="1" width="3.0"/>
    <col customWidth="1" min="2" max="2" width="130.0"/>
    <col customWidth="1" min="3" max="6" width="8.71"/>
  </cols>
  <sheetData>
    <row r="1" ht="25.5" customHeight="1">
      <c r="B1" s="1602" t="s">
        <v>3895</v>
      </c>
    </row>
    <row r="2" ht="21.75" customHeight="1">
      <c r="B2" s="1603" t="s">
        <v>3896</v>
      </c>
    </row>
    <row r="3" ht="18.0" customHeight="1">
      <c r="B3" s="1604" t="s">
        <v>3897</v>
      </c>
    </row>
    <row r="4" ht="12.75" customHeight="1">
      <c r="B4" s="1605" t="s">
        <v>3898</v>
      </c>
    </row>
    <row r="5" ht="12.75" customHeight="1">
      <c r="B5" s="1605" t="s">
        <v>3899</v>
      </c>
    </row>
    <row r="6" ht="12.75" customHeight="1">
      <c r="B6" s="1605" t="s">
        <v>3900</v>
      </c>
    </row>
    <row r="7" ht="12.75" customHeight="1">
      <c r="B7" s="1605" t="s">
        <v>3901</v>
      </c>
    </row>
    <row r="8" ht="12.75" customHeight="1">
      <c r="B8" s="1605" t="s">
        <v>3902</v>
      </c>
    </row>
    <row r="9" ht="12.75" customHeight="1">
      <c r="B9" s="1605" t="s">
        <v>3903</v>
      </c>
    </row>
    <row r="10" ht="12.75" customHeight="1">
      <c r="B10" s="1605" t="s">
        <v>3904</v>
      </c>
    </row>
    <row r="11" ht="12.75" customHeight="1">
      <c r="B11" s="1605" t="s">
        <v>3901</v>
      </c>
    </row>
    <row r="12" ht="12.75" customHeight="1">
      <c r="B12" s="1605" t="s">
        <v>3905</v>
      </c>
    </row>
    <row r="13" ht="12.75" customHeight="1">
      <c r="B13" s="1605" t="s">
        <v>3906</v>
      </c>
    </row>
    <row r="14" ht="12.75" customHeight="1">
      <c r="B14" s="1605" t="s">
        <v>3898</v>
      </c>
    </row>
    <row r="15" ht="12.75" customHeight="1">
      <c r="B15" s="1605"/>
    </row>
    <row r="16" ht="12.75" customHeight="1">
      <c r="B16" s="1605" t="s">
        <v>3907</v>
      </c>
    </row>
    <row r="17" ht="12.75" customHeight="1">
      <c r="B17" s="1605" t="s">
        <v>3908</v>
      </c>
    </row>
    <row r="18" ht="12.75" customHeight="1">
      <c r="B18" s="1605" t="s">
        <v>3909</v>
      </c>
    </row>
    <row r="19" ht="12.75" customHeight="1">
      <c r="B19" s="1605" t="s">
        <v>3910</v>
      </c>
    </row>
    <row r="20" ht="12.75" customHeight="1">
      <c r="B20" s="1605" t="s">
        <v>3911</v>
      </c>
    </row>
    <row r="21" ht="12.75" customHeight="1">
      <c r="B21" s="1605" t="s">
        <v>3912</v>
      </c>
    </row>
    <row r="22" ht="12.75" customHeight="1">
      <c r="B22" s="1605" t="s">
        <v>3913</v>
      </c>
    </row>
    <row r="23" ht="12.75" customHeight="1">
      <c r="B23" s="1605" t="s">
        <v>3914</v>
      </c>
    </row>
    <row r="24" ht="12.75" customHeight="1">
      <c r="B24" s="1605" t="s">
        <v>3915</v>
      </c>
    </row>
    <row r="25" ht="12.75" customHeight="1">
      <c r="B25" s="1605" t="s">
        <v>3916</v>
      </c>
    </row>
    <row r="26" ht="12.75" customHeight="1">
      <c r="B26" s="1605" t="s">
        <v>3917</v>
      </c>
    </row>
    <row r="27" ht="12.75" customHeight="1">
      <c r="B27" s="1605" t="s">
        <v>3918</v>
      </c>
    </row>
    <row r="28" ht="12.75" customHeight="1">
      <c r="B28" s="1605" t="s">
        <v>3919</v>
      </c>
    </row>
    <row r="29" ht="12.75" customHeight="1">
      <c r="B29" s="1605" t="s">
        <v>3920</v>
      </c>
    </row>
    <row r="30" ht="12.75" customHeight="1">
      <c r="B30" s="1605" t="s">
        <v>3921</v>
      </c>
    </row>
    <row r="31" ht="12.75" customHeight="1">
      <c r="B31" s="1605" t="s">
        <v>3916</v>
      </c>
    </row>
    <row r="32" ht="12.75" customHeight="1">
      <c r="B32" s="1605" t="s">
        <v>3922</v>
      </c>
    </row>
    <row r="33" ht="12.75" customHeight="1">
      <c r="B33" s="1605" t="s">
        <v>3923</v>
      </c>
    </row>
    <row r="34" ht="12.75" customHeight="1">
      <c r="B34" s="1605" t="s">
        <v>3924</v>
      </c>
    </row>
    <row r="35" ht="12.75" customHeight="1">
      <c r="B35" s="1605" t="s">
        <v>3925</v>
      </c>
    </row>
    <row r="36" ht="12.75" customHeight="1">
      <c r="B36" s="1605" t="s">
        <v>3926</v>
      </c>
    </row>
    <row r="37" ht="12.75" customHeight="1">
      <c r="B37" s="1605" t="s">
        <v>3927</v>
      </c>
    </row>
    <row r="38" ht="12.75" customHeight="1">
      <c r="B38" s="1605" t="s">
        <v>3928</v>
      </c>
    </row>
    <row r="39" ht="12.75" customHeight="1">
      <c r="B39" s="1605" t="s">
        <v>3929</v>
      </c>
    </row>
    <row r="40" ht="12.75" customHeight="1">
      <c r="B40" s="1605" t="s">
        <v>3930</v>
      </c>
    </row>
    <row r="41" ht="12.75" customHeight="1">
      <c r="B41" s="1605" t="s">
        <v>3931</v>
      </c>
    </row>
    <row r="42" ht="12.75" customHeight="1">
      <c r="B42" s="1605" t="s">
        <v>3932</v>
      </c>
    </row>
    <row r="43" ht="12.75" customHeight="1">
      <c r="B43" s="1605" t="s">
        <v>3933</v>
      </c>
    </row>
    <row r="44" ht="12.75" customHeight="1">
      <c r="B44" s="1605" t="s">
        <v>3916</v>
      </c>
    </row>
    <row r="45" ht="12.75" customHeight="1">
      <c r="B45" s="1605" t="s">
        <v>3934</v>
      </c>
    </row>
    <row r="46" ht="12.75" customHeight="1">
      <c r="B46" s="1605" t="s">
        <v>3935</v>
      </c>
    </row>
    <row r="47" ht="12.75" customHeight="1">
      <c r="B47" s="1605" t="s">
        <v>3936</v>
      </c>
    </row>
    <row r="48" ht="12.75" customHeight="1">
      <c r="B48" s="1605" t="s">
        <v>3937</v>
      </c>
    </row>
    <row r="49" ht="12.75" customHeight="1">
      <c r="B49" s="1605"/>
    </row>
    <row r="50" ht="12.75" customHeight="1">
      <c r="B50" s="1605" t="s">
        <v>3898</v>
      </c>
    </row>
    <row r="51" ht="12.75" customHeight="1">
      <c r="B51" s="1605" t="s">
        <v>3938</v>
      </c>
    </row>
    <row r="52" ht="12.75" customHeight="1">
      <c r="B52" s="1605" t="s">
        <v>3898</v>
      </c>
    </row>
    <row r="53" ht="12.75" customHeight="1">
      <c r="B53" s="1605" t="s">
        <v>3939</v>
      </c>
    </row>
    <row r="54" ht="12.75" customHeight="1">
      <c r="B54" s="1605" t="s">
        <v>3940</v>
      </c>
    </row>
    <row r="55" ht="12.75" customHeight="1">
      <c r="B55" s="1605" t="s">
        <v>3941</v>
      </c>
    </row>
    <row r="56" ht="12.75" customHeight="1">
      <c r="B56" s="1605" t="s">
        <v>3942</v>
      </c>
    </row>
    <row r="57" ht="12.75" customHeight="1">
      <c r="B57" s="1605" t="s">
        <v>3937</v>
      </c>
    </row>
    <row r="58" ht="12.75" customHeight="1">
      <c r="B58" s="1605"/>
    </row>
    <row r="59" ht="12.75" customHeight="1">
      <c r="B59" s="1605" t="s">
        <v>3943</v>
      </c>
    </row>
    <row r="60" ht="12.75" customHeight="1">
      <c r="B60" s="1605" t="s">
        <v>3944</v>
      </c>
    </row>
    <row r="61" ht="12.75" customHeight="1">
      <c r="B61" s="1605" t="s">
        <v>3937</v>
      </c>
    </row>
    <row r="62" ht="12.75" customHeight="1">
      <c r="B62" s="1605"/>
    </row>
    <row r="63" ht="12.75" customHeight="1">
      <c r="B63" s="1605" t="s">
        <v>3945</v>
      </c>
    </row>
    <row r="64" ht="12.75" customHeight="1">
      <c r="B64" s="1605" t="s">
        <v>3946</v>
      </c>
    </row>
    <row r="65" ht="12.75" customHeight="1">
      <c r="B65" s="1605" t="s">
        <v>3947</v>
      </c>
    </row>
    <row r="66" ht="12.75" customHeight="1">
      <c r="B66" s="1605" t="s">
        <v>3948</v>
      </c>
    </row>
    <row r="67" ht="12.75" customHeight="1">
      <c r="B67" s="1605" t="s">
        <v>3949</v>
      </c>
    </row>
    <row r="68" ht="12.75" customHeight="1">
      <c r="B68" s="1605" t="s">
        <v>3950</v>
      </c>
    </row>
    <row r="69" ht="12.75" customHeight="1">
      <c r="B69" s="1605" t="s">
        <v>3951</v>
      </c>
    </row>
    <row r="70" ht="12.75" customHeight="1">
      <c r="B70" s="1605" t="s">
        <v>3952</v>
      </c>
    </row>
    <row r="71" ht="12.75" customHeight="1">
      <c r="B71" s="1605" t="s">
        <v>3953</v>
      </c>
    </row>
    <row r="72" ht="12.75" customHeight="1">
      <c r="B72" s="1605" t="s">
        <v>3937</v>
      </c>
    </row>
    <row r="73" ht="12.75" customHeight="1">
      <c r="B73" s="1605"/>
    </row>
    <row r="74" ht="12.75" customHeight="1">
      <c r="B74" s="1605" t="s">
        <v>3898</v>
      </c>
    </row>
    <row r="75" ht="12.75" customHeight="1">
      <c r="B75" s="1605" t="s">
        <v>3954</v>
      </c>
    </row>
    <row r="76" ht="12.75" customHeight="1">
      <c r="B76" s="1605" t="s">
        <v>3898</v>
      </c>
    </row>
    <row r="77" ht="12.75" customHeight="1">
      <c r="B77" s="1605" t="s">
        <v>3955</v>
      </c>
    </row>
    <row r="78" ht="12.75" customHeight="1">
      <c r="B78" s="1605" t="s">
        <v>3956</v>
      </c>
    </row>
    <row r="79" ht="12.75" customHeight="1">
      <c r="B79" s="1605" t="s">
        <v>3957</v>
      </c>
    </row>
    <row r="80" ht="12.75" customHeight="1">
      <c r="B80" s="1605" t="s">
        <v>3937</v>
      </c>
    </row>
    <row r="81" ht="12.75" customHeight="1">
      <c r="B81" s="1605"/>
    </row>
    <row r="82" ht="12.75" customHeight="1">
      <c r="B82" s="1605" t="s">
        <v>3958</v>
      </c>
    </row>
    <row r="83" ht="12.75" customHeight="1">
      <c r="B83" s="1605" t="s">
        <v>3959</v>
      </c>
    </row>
    <row r="84" ht="12.75" customHeight="1">
      <c r="B84" s="1605" t="s">
        <v>3960</v>
      </c>
    </row>
    <row r="85" ht="12.75" customHeight="1">
      <c r="B85" s="1605" t="s">
        <v>3937</v>
      </c>
    </row>
    <row r="86" ht="12.75" customHeight="1">
      <c r="B86" s="1605"/>
    </row>
    <row r="87" ht="12.75" customHeight="1">
      <c r="B87" s="1605" t="s">
        <v>3961</v>
      </c>
    </row>
    <row r="88" ht="12.75" customHeight="1">
      <c r="B88" s="1605" t="s">
        <v>3962</v>
      </c>
    </row>
    <row r="89" ht="12.75" customHeight="1">
      <c r="B89" s="1605" t="s">
        <v>3963</v>
      </c>
    </row>
    <row r="90" ht="12.75" customHeight="1">
      <c r="B90" s="1605" t="s">
        <v>3937</v>
      </c>
    </row>
    <row r="91" ht="12.75" customHeight="1">
      <c r="B91" s="1605"/>
    </row>
    <row r="92" ht="12.75" customHeight="1">
      <c r="B92" s="1605" t="s">
        <v>3964</v>
      </c>
    </row>
    <row r="93" ht="12.75" customHeight="1">
      <c r="B93" s="1605" t="s">
        <v>3965</v>
      </c>
    </row>
    <row r="94" ht="12.75" customHeight="1">
      <c r="B94" s="1605" t="s">
        <v>3966</v>
      </c>
    </row>
    <row r="95" ht="12.75" customHeight="1">
      <c r="B95" s="1605" t="s">
        <v>3967</v>
      </c>
    </row>
    <row r="96" ht="12.75" customHeight="1">
      <c r="B96" s="1605" t="s">
        <v>3968</v>
      </c>
    </row>
    <row r="97" ht="12.75" customHeight="1">
      <c r="B97" s="1605" t="s">
        <v>3969</v>
      </c>
    </row>
    <row r="98" ht="12.75" customHeight="1">
      <c r="B98" s="1605" t="s">
        <v>3937</v>
      </c>
    </row>
    <row r="99" ht="12.75" customHeight="1">
      <c r="B99" s="1605"/>
    </row>
    <row r="100" ht="12.75" customHeight="1">
      <c r="B100" s="1605" t="s">
        <v>3970</v>
      </c>
    </row>
    <row r="101" ht="12.75" customHeight="1">
      <c r="B101" s="1605" t="s">
        <v>3971</v>
      </c>
    </row>
    <row r="102" ht="12.75" customHeight="1">
      <c r="B102" s="1605" t="s">
        <v>3965</v>
      </c>
    </row>
    <row r="103" ht="12.75" customHeight="1">
      <c r="B103" s="1605" t="s">
        <v>3972</v>
      </c>
    </row>
    <row r="104" ht="12.75" customHeight="1">
      <c r="B104" s="1605" t="s">
        <v>3973</v>
      </c>
    </row>
    <row r="105" ht="12.75" customHeight="1">
      <c r="B105" s="1605" t="s">
        <v>3966</v>
      </c>
    </row>
    <row r="106" ht="12.75" customHeight="1">
      <c r="B106" s="1605" t="s">
        <v>3967</v>
      </c>
    </row>
    <row r="107" ht="12.75" customHeight="1">
      <c r="B107" s="1605" t="s">
        <v>3968</v>
      </c>
    </row>
    <row r="108" ht="12.75" customHeight="1">
      <c r="B108" s="1605" t="s">
        <v>3974</v>
      </c>
    </row>
    <row r="109" ht="12.75" customHeight="1">
      <c r="B109" s="1605" t="s">
        <v>3937</v>
      </c>
    </row>
    <row r="110" ht="12.75" customHeight="1">
      <c r="B110" s="1605"/>
    </row>
    <row r="111" ht="12.75" customHeight="1">
      <c r="B111" s="1605" t="s">
        <v>3898</v>
      </c>
    </row>
    <row r="112" ht="12.75" customHeight="1">
      <c r="B112" s="1605" t="s">
        <v>3975</v>
      </c>
    </row>
    <row r="113" ht="12.75" customHeight="1">
      <c r="B113" s="1605" t="s">
        <v>3976</v>
      </c>
    </row>
    <row r="114" ht="12.75" customHeight="1">
      <c r="B114" s="1605" t="s">
        <v>3977</v>
      </c>
    </row>
    <row r="115" ht="12.75" customHeight="1">
      <c r="B115" s="1605" t="s">
        <v>3898</v>
      </c>
    </row>
    <row r="116" ht="12.75" customHeight="1">
      <c r="B116" s="1605" t="s">
        <v>3978</v>
      </c>
    </row>
    <row r="117" ht="12.75" customHeight="1">
      <c r="B117" s="1605" t="s">
        <v>3979</v>
      </c>
    </row>
    <row r="118" ht="12.75" customHeight="1">
      <c r="B118" s="1605" t="s">
        <v>3980</v>
      </c>
    </row>
    <row r="119" ht="12.75" customHeight="1">
      <c r="B119" s="1605" t="s">
        <v>3937</v>
      </c>
    </row>
    <row r="120" ht="12.75" customHeight="1">
      <c r="B120" s="1605"/>
    </row>
    <row r="121" ht="12.75" customHeight="1">
      <c r="B121" s="1605" t="s">
        <v>3981</v>
      </c>
    </row>
    <row r="122" ht="12.75" customHeight="1">
      <c r="B122" s="1605" t="s">
        <v>3982</v>
      </c>
    </row>
    <row r="123" ht="12.75" customHeight="1">
      <c r="B123" s="1605" t="s">
        <v>3983</v>
      </c>
    </row>
    <row r="124" ht="12.75" customHeight="1">
      <c r="B124" s="1605" t="s">
        <v>3937</v>
      </c>
    </row>
    <row r="125" ht="12.75" customHeight="1">
      <c r="B125" s="1605"/>
    </row>
    <row r="126" ht="12.75" customHeight="1">
      <c r="B126" s="1605" t="s">
        <v>3984</v>
      </c>
    </row>
    <row r="127" ht="12.75" customHeight="1">
      <c r="B127" s="1605" t="s">
        <v>3985</v>
      </c>
    </row>
    <row r="128" ht="12.75" customHeight="1">
      <c r="B128" s="1605" t="s">
        <v>3986</v>
      </c>
    </row>
    <row r="129" ht="12.75" customHeight="1">
      <c r="B129" s="1605" t="s">
        <v>3937</v>
      </c>
    </row>
    <row r="130" ht="12.75" customHeight="1">
      <c r="B130" s="1605"/>
    </row>
    <row r="131" ht="12.75" customHeight="1">
      <c r="B131" s="1605" t="s">
        <v>3987</v>
      </c>
    </row>
    <row r="132" ht="12.75" customHeight="1">
      <c r="B132" s="1605" t="s">
        <v>3988</v>
      </c>
    </row>
    <row r="133" ht="12.75" customHeight="1">
      <c r="B133" s="1605" t="s">
        <v>3966</v>
      </c>
    </row>
    <row r="134" ht="12.75" customHeight="1">
      <c r="B134" s="1605" t="s">
        <v>3967</v>
      </c>
    </row>
    <row r="135" ht="12.75" customHeight="1">
      <c r="B135" s="1605" t="s">
        <v>3968</v>
      </c>
    </row>
    <row r="136" ht="12.75" customHeight="1">
      <c r="B136" s="1605" t="s">
        <v>3989</v>
      </c>
    </row>
    <row r="137" ht="12.75" customHeight="1">
      <c r="B137" s="1605" t="s">
        <v>3937</v>
      </c>
    </row>
    <row r="138" ht="12.75" customHeight="1">
      <c r="B138" s="1605"/>
    </row>
    <row r="139" ht="12.75" customHeight="1">
      <c r="B139" s="1605" t="s">
        <v>3990</v>
      </c>
    </row>
    <row r="140" ht="12.75" customHeight="1">
      <c r="B140" s="1605" t="s">
        <v>3988</v>
      </c>
    </row>
    <row r="141" ht="12.75" customHeight="1">
      <c r="B141" s="1605" t="s">
        <v>3966</v>
      </c>
    </row>
    <row r="142" ht="12.75" customHeight="1">
      <c r="B142" s="1605" t="s">
        <v>3967</v>
      </c>
    </row>
    <row r="143" ht="12.75" customHeight="1">
      <c r="B143" s="1605" t="s">
        <v>3968</v>
      </c>
    </row>
    <row r="144" ht="12.75" customHeight="1">
      <c r="B144" s="1605" t="s">
        <v>3991</v>
      </c>
    </row>
    <row r="145" ht="12.75" customHeight="1">
      <c r="B145" s="1605" t="s">
        <v>3937</v>
      </c>
    </row>
    <row r="146" ht="12.75" customHeight="1">
      <c r="B146" s="1605"/>
    </row>
    <row r="147" ht="12.75" customHeight="1">
      <c r="B147" s="1605" t="s">
        <v>3898</v>
      </c>
    </row>
    <row r="148" ht="12.75" customHeight="1">
      <c r="B148" s="1605" t="s">
        <v>3992</v>
      </c>
    </row>
    <row r="149" ht="12.75" customHeight="1">
      <c r="B149" s="1605" t="s">
        <v>3898</v>
      </c>
    </row>
    <row r="150" ht="12.75" customHeight="1">
      <c r="B150" s="1605" t="s">
        <v>3993</v>
      </c>
    </row>
    <row r="151" ht="12.75" customHeight="1">
      <c r="B151" s="1605" t="s">
        <v>3940</v>
      </c>
    </row>
    <row r="152" ht="12.75" customHeight="1">
      <c r="B152" s="1605" t="s">
        <v>3994</v>
      </c>
    </row>
    <row r="153" ht="12.75" customHeight="1">
      <c r="B153" s="1605" t="s">
        <v>3995</v>
      </c>
    </row>
    <row r="154" ht="12.75" customHeight="1">
      <c r="B154" s="1605" t="s">
        <v>3937</v>
      </c>
    </row>
    <row r="155" ht="12.75" customHeight="1">
      <c r="B155" s="1605" t="s">
        <v>3996</v>
      </c>
    </row>
    <row r="156" ht="12.75" customHeight="1">
      <c r="B156" s="1605" t="s">
        <v>3997</v>
      </c>
    </row>
    <row r="157" ht="12.75" customHeight="1">
      <c r="B157" s="1605" t="s">
        <v>3998</v>
      </c>
    </row>
    <row r="158" ht="12.75" customHeight="1">
      <c r="B158" s="1605" t="s">
        <v>3999</v>
      </c>
    </row>
    <row r="159" ht="12.75" customHeight="1">
      <c r="B159" s="1605" t="s">
        <v>4000</v>
      </c>
    </row>
    <row r="160" ht="12.75" customHeight="1">
      <c r="B160" s="1605" t="s">
        <v>4001</v>
      </c>
    </row>
    <row r="161" ht="12.75" customHeight="1">
      <c r="B161" s="1605" t="s">
        <v>4002</v>
      </c>
    </row>
    <row r="162" ht="12.75" customHeight="1">
      <c r="B162" s="1605" t="s">
        <v>4003</v>
      </c>
    </row>
    <row r="163" ht="12.75" customHeight="1">
      <c r="B163" s="1605" t="s">
        <v>4004</v>
      </c>
    </row>
    <row r="164" ht="12.75" customHeight="1">
      <c r="B164" s="1605" t="s">
        <v>4005</v>
      </c>
    </row>
    <row r="165" ht="12.75" customHeight="1">
      <c r="B165" s="1605" t="s">
        <v>4006</v>
      </c>
    </row>
    <row r="166" ht="12.75" customHeight="1">
      <c r="B166" s="1605"/>
    </row>
    <row r="167" ht="12.75" customHeight="1">
      <c r="B167" s="1605" t="s">
        <v>3898</v>
      </c>
    </row>
    <row r="168" ht="12.75" customHeight="1">
      <c r="B168" s="1605" t="s">
        <v>4007</v>
      </c>
    </row>
    <row r="169" ht="12.75" customHeight="1">
      <c r="B169" s="1605" t="s">
        <v>3898</v>
      </c>
    </row>
    <row r="170" ht="12.75" customHeight="1">
      <c r="B170" s="1605" t="s">
        <v>4008</v>
      </c>
    </row>
    <row r="171" ht="12.75" customHeight="1">
      <c r="B171" s="1605" t="s">
        <v>4009</v>
      </c>
    </row>
    <row r="172" ht="12.75" customHeight="1">
      <c r="B172" s="1605" t="s">
        <v>4010</v>
      </c>
    </row>
    <row r="173" ht="12.75" customHeight="1">
      <c r="B173" s="1605" t="s">
        <v>4011</v>
      </c>
    </row>
    <row r="174" ht="12.75" customHeight="1">
      <c r="B174" s="1605" t="s">
        <v>4012</v>
      </c>
    </row>
    <row r="175" ht="12.75" customHeight="1">
      <c r="B175" s="1605" t="s">
        <v>4013</v>
      </c>
    </row>
    <row r="176" ht="12.75" customHeight="1">
      <c r="B176" s="1605" t="s">
        <v>4014</v>
      </c>
    </row>
    <row r="177" ht="12.75" customHeight="1">
      <c r="B177" s="1605" t="s">
        <v>4015</v>
      </c>
    </row>
    <row r="178" ht="12.75" customHeight="1">
      <c r="B178" s="1605" t="s">
        <v>4016</v>
      </c>
    </row>
    <row r="179" ht="12.75" customHeight="1">
      <c r="B179" s="1605" t="s">
        <v>4017</v>
      </c>
    </row>
    <row r="180" ht="12.75" customHeight="1">
      <c r="B180" s="1605" t="s">
        <v>4018</v>
      </c>
    </row>
    <row r="181" ht="12.75" customHeight="1">
      <c r="B181" s="1605" t="s">
        <v>4019</v>
      </c>
    </row>
    <row r="182" ht="12.75" customHeight="1">
      <c r="B182" s="1605" t="s">
        <v>4020</v>
      </c>
    </row>
    <row r="183" ht="12.75" customHeight="1">
      <c r="B183" s="1605" t="s">
        <v>4021</v>
      </c>
    </row>
    <row r="184" ht="12.75" customHeight="1">
      <c r="B184" s="1605" t="s">
        <v>4022</v>
      </c>
    </row>
    <row r="185" ht="12.75" customHeight="1">
      <c r="B185" s="1605" t="s">
        <v>3937</v>
      </c>
    </row>
    <row r="186" ht="12.75" customHeight="1">
      <c r="B186" s="1605"/>
    </row>
    <row r="187" ht="12.75" customHeight="1">
      <c r="B187" s="1605" t="s">
        <v>3898</v>
      </c>
    </row>
    <row r="188" ht="12.75" customHeight="1">
      <c r="B188" s="1605" t="s">
        <v>4023</v>
      </c>
    </row>
    <row r="189" ht="12.75" customHeight="1">
      <c r="B189" s="1605" t="s">
        <v>3898</v>
      </c>
    </row>
    <row r="190" ht="12.75" customHeight="1">
      <c r="B190" s="1605" t="s">
        <v>4024</v>
      </c>
    </row>
    <row r="191" ht="12.75" customHeight="1">
      <c r="B191" s="1605" t="s">
        <v>4025</v>
      </c>
    </row>
    <row r="192" ht="12.75" customHeight="1">
      <c r="B192" s="1605" t="s">
        <v>4026</v>
      </c>
    </row>
    <row r="193" ht="12.75" customHeight="1">
      <c r="B193" s="1605" t="s">
        <v>4027</v>
      </c>
    </row>
    <row r="194" ht="12.75" customHeight="1">
      <c r="B194" s="1605" t="s">
        <v>4009</v>
      </c>
    </row>
    <row r="195" ht="12.75" customHeight="1">
      <c r="B195" s="1605" t="s">
        <v>4010</v>
      </c>
    </row>
    <row r="196" ht="12.75" customHeight="1">
      <c r="B196" s="1605" t="s">
        <v>4011</v>
      </c>
    </row>
    <row r="197" ht="12.75" customHeight="1">
      <c r="B197" s="1605" t="s">
        <v>4013</v>
      </c>
    </row>
    <row r="198" ht="12.75" customHeight="1">
      <c r="B198" s="1605" t="s">
        <v>4028</v>
      </c>
    </row>
    <row r="199" ht="12.75" customHeight="1">
      <c r="B199" s="1605" t="s">
        <v>4019</v>
      </c>
    </row>
    <row r="200" ht="12.75" customHeight="1">
      <c r="B200" s="1605" t="s">
        <v>4029</v>
      </c>
    </row>
    <row r="201" ht="12.75" customHeight="1">
      <c r="B201" s="1605" t="s">
        <v>4021</v>
      </c>
    </row>
    <row r="202" ht="12.75" customHeight="1">
      <c r="B202" s="1605" t="s">
        <v>4030</v>
      </c>
    </row>
    <row r="203" ht="12.75" customHeight="1">
      <c r="B203" s="1605" t="s">
        <v>3937</v>
      </c>
    </row>
    <row r="204" ht="12.75" customHeight="1">
      <c r="B204" s="1605"/>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6.0"/>
    <col customWidth="1" min="2" max="2" width="12.0"/>
    <col customWidth="1" min="3" max="3" width="16.0"/>
    <col customWidth="1" min="4" max="4" width="12.0"/>
    <col customWidth="1" min="5" max="5" width="16.0"/>
    <col customWidth="1" min="6" max="6" width="12.0"/>
    <col customWidth="1" min="7" max="7" width="16.0"/>
    <col customWidth="1" min="8" max="8" width="12.0"/>
    <col customWidth="1" min="9" max="9" width="16.0"/>
    <col customWidth="1" min="10" max="10" width="12.0"/>
    <col customWidth="1" min="11" max="11" width="16.0"/>
    <col customWidth="1" min="12" max="12" width="12.0"/>
    <col customWidth="1" min="13" max="13" width="10.0"/>
    <col customWidth="1" min="14" max="14" width="13.0"/>
    <col customWidth="1" min="15" max="16" width="15.0"/>
  </cols>
  <sheetData>
    <row r="1" ht="27.75" customHeight="1">
      <c r="A1" s="1606" t="s">
        <v>4031</v>
      </c>
      <c r="B1" s="2"/>
      <c r="C1" s="2"/>
      <c r="D1" s="2"/>
      <c r="E1" s="2"/>
      <c r="F1" s="2"/>
      <c r="G1" s="2"/>
      <c r="H1" s="2"/>
      <c r="I1" s="2"/>
      <c r="J1" s="2"/>
      <c r="K1" s="2"/>
      <c r="L1" s="2"/>
      <c r="M1" s="2"/>
      <c r="N1" s="2"/>
      <c r="O1" s="2"/>
      <c r="P1" s="2"/>
    </row>
    <row r="2" ht="18.0" customHeight="1">
      <c r="A2" s="1607" t="s">
        <v>4032</v>
      </c>
      <c r="B2" s="2"/>
      <c r="C2" s="2"/>
      <c r="D2" s="2"/>
      <c r="E2" s="2"/>
      <c r="F2" s="2"/>
      <c r="G2" s="2"/>
      <c r="H2" s="2"/>
      <c r="I2" s="2"/>
      <c r="J2" s="2"/>
      <c r="K2" s="2"/>
      <c r="L2" s="2"/>
      <c r="M2" s="2"/>
      <c r="N2" s="2"/>
      <c r="O2" s="2"/>
      <c r="P2" s="2"/>
    </row>
    <row r="3" ht="15.75" customHeight="1">
      <c r="A3" s="1608" t="s">
        <v>4033</v>
      </c>
      <c r="B3" s="2"/>
      <c r="C3" s="2"/>
      <c r="D3" s="2"/>
      <c r="E3" s="2"/>
      <c r="F3" s="2"/>
      <c r="G3" s="2"/>
      <c r="H3" s="2"/>
      <c r="I3" s="2"/>
      <c r="J3" s="2"/>
      <c r="K3" s="2"/>
      <c r="L3" s="2"/>
      <c r="M3" s="2"/>
      <c r="N3" s="2"/>
      <c r="O3" s="2"/>
      <c r="P3" s="2"/>
    </row>
    <row r="4" ht="6.0" customHeight="1"/>
    <row r="5" ht="31.5" customHeight="1">
      <c r="A5" s="1609" t="s">
        <v>4034</v>
      </c>
      <c r="B5" s="1609" t="s">
        <v>4035</v>
      </c>
      <c r="C5" s="1609" t="s">
        <v>4036</v>
      </c>
      <c r="D5" s="1609" t="s">
        <v>4037</v>
      </c>
      <c r="E5" s="1609" t="s">
        <v>4038</v>
      </c>
      <c r="F5" s="1609" t="s">
        <v>431</v>
      </c>
      <c r="G5" s="1609" t="s">
        <v>4039</v>
      </c>
      <c r="H5" s="1609" t="s">
        <v>4040</v>
      </c>
      <c r="I5" s="1609" t="s">
        <v>4041</v>
      </c>
      <c r="J5" s="1609" t="s">
        <v>4042</v>
      </c>
      <c r="K5" s="1609" t="s">
        <v>4043</v>
      </c>
      <c r="L5" s="1609" t="s">
        <v>4044</v>
      </c>
      <c r="M5" s="1609" t="s">
        <v>272</v>
      </c>
      <c r="N5" s="1609" t="s">
        <v>4045</v>
      </c>
      <c r="O5" s="1609" t="s">
        <v>4046</v>
      </c>
      <c r="P5" s="1609" t="s">
        <v>4047</v>
      </c>
    </row>
    <row r="6" ht="27.75" customHeight="1">
      <c r="A6" s="1610">
        <v>1.0</v>
      </c>
      <c r="B6" s="1611">
        <v>1.0</v>
      </c>
      <c r="C6" s="1612" t="s">
        <v>4048</v>
      </c>
      <c r="D6" s="1613"/>
      <c r="E6" s="1613" t="s">
        <v>4049</v>
      </c>
      <c r="F6" s="1613" t="s">
        <v>4050</v>
      </c>
      <c r="G6" s="1614">
        <v>99.0</v>
      </c>
      <c r="H6" s="1615" t="s">
        <v>4051</v>
      </c>
      <c r="I6" s="1616" t="s">
        <v>492</v>
      </c>
      <c r="J6" s="1617" t="s">
        <v>2091</v>
      </c>
      <c r="K6" s="1613" t="s">
        <v>4052</v>
      </c>
      <c r="L6" s="1617" t="s">
        <v>4053</v>
      </c>
      <c r="M6" s="1611" t="s">
        <v>4054</v>
      </c>
      <c r="N6" s="1613" t="s">
        <v>4055</v>
      </c>
      <c r="O6" s="1618"/>
      <c r="P6" s="1618"/>
    </row>
    <row r="7" ht="27.75" customHeight="1">
      <c r="A7" s="1619">
        <v>2.0</v>
      </c>
      <c r="B7" s="1620">
        <v>76.0</v>
      </c>
      <c r="C7" s="1621" t="s">
        <v>4056</v>
      </c>
      <c r="D7" s="1622" t="s">
        <v>4057</v>
      </c>
      <c r="E7" s="1622" t="s">
        <v>4058</v>
      </c>
      <c r="F7" s="1622" t="s">
        <v>4059</v>
      </c>
      <c r="G7" s="1623">
        <v>99.0</v>
      </c>
      <c r="H7" s="1624" t="s">
        <v>4051</v>
      </c>
      <c r="I7" s="1625" t="s">
        <v>4060</v>
      </c>
      <c r="J7" s="1626" t="s">
        <v>2086</v>
      </c>
      <c r="K7" s="1622" t="s">
        <v>4061</v>
      </c>
      <c r="L7" s="1626" t="s">
        <v>4062</v>
      </c>
      <c r="M7" s="1620" t="s">
        <v>4054</v>
      </c>
      <c r="N7" s="1622" t="s">
        <v>4055</v>
      </c>
      <c r="O7" s="1618"/>
      <c r="P7" s="1618"/>
    </row>
    <row r="8" ht="27.75" customHeight="1">
      <c r="A8" s="1610">
        <v>3.0</v>
      </c>
      <c r="B8" s="1611">
        <v>77.0</v>
      </c>
      <c r="C8" s="1612" t="s">
        <v>4063</v>
      </c>
      <c r="D8" s="1613" t="s">
        <v>4064</v>
      </c>
      <c r="E8" s="1613" t="s">
        <v>4058</v>
      </c>
      <c r="F8" s="1613" t="s">
        <v>4065</v>
      </c>
      <c r="G8" s="1614">
        <v>99.0</v>
      </c>
      <c r="H8" s="1615" t="s">
        <v>4051</v>
      </c>
      <c r="I8" s="1627" t="s">
        <v>4066</v>
      </c>
      <c r="J8" s="1617" t="s">
        <v>2086</v>
      </c>
      <c r="K8" s="1613" t="s">
        <v>4067</v>
      </c>
      <c r="L8" s="1617" t="s">
        <v>4068</v>
      </c>
      <c r="M8" s="1611" t="s">
        <v>4054</v>
      </c>
      <c r="N8" s="1613" t="s">
        <v>4055</v>
      </c>
      <c r="O8" s="1618"/>
      <c r="P8" s="1618"/>
    </row>
    <row r="9" ht="27.75" customHeight="1">
      <c r="A9" s="1619">
        <v>4.0</v>
      </c>
      <c r="B9" s="1620">
        <v>116.0</v>
      </c>
      <c r="C9" s="1621" t="s">
        <v>4069</v>
      </c>
      <c r="D9" s="1622" t="s">
        <v>4070</v>
      </c>
      <c r="E9" s="1622" t="s">
        <v>4071</v>
      </c>
      <c r="F9" s="1622" t="s">
        <v>4072</v>
      </c>
      <c r="G9" s="1623">
        <v>99.0</v>
      </c>
      <c r="H9" s="1624" t="s">
        <v>4051</v>
      </c>
      <c r="I9" s="1628" t="s">
        <v>492</v>
      </c>
      <c r="J9" s="1626" t="s">
        <v>4073</v>
      </c>
      <c r="K9" s="1622" t="s">
        <v>4074</v>
      </c>
      <c r="L9" s="1626" t="s">
        <v>4075</v>
      </c>
      <c r="M9" s="1620" t="s">
        <v>4054</v>
      </c>
      <c r="N9" s="1622" t="s">
        <v>4055</v>
      </c>
      <c r="O9" s="1618"/>
      <c r="P9" s="1618"/>
    </row>
    <row r="10" ht="27.75" customHeight="1">
      <c r="A10" s="1610">
        <v>5.0</v>
      </c>
      <c r="B10" s="1611">
        <v>3.0</v>
      </c>
      <c r="C10" s="1612" t="s">
        <v>4076</v>
      </c>
      <c r="D10" s="1613" t="s">
        <v>4077</v>
      </c>
      <c r="E10" s="1613" t="s">
        <v>4049</v>
      </c>
      <c r="F10" s="1613" t="s">
        <v>4078</v>
      </c>
      <c r="G10" s="1614">
        <v>98.0</v>
      </c>
      <c r="H10" s="1615" t="s">
        <v>4051</v>
      </c>
      <c r="I10" s="1616" t="s">
        <v>492</v>
      </c>
      <c r="J10" s="1617" t="s">
        <v>2091</v>
      </c>
      <c r="K10" s="1613" t="s">
        <v>4079</v>
      </c>
      <c r="L10" s="1617" t="s">
        <v>4080</v>
      </c>
      <c r="M10" s="1611" t="s">
        <v>4054</v>
      </c>
      <c r="N10" s="1613" t="s">
        <v>4055</v>
      </c>
      <c r="O10" s="1618"/>
      <c r="P10" s="1618"/>
    </row>
    <row r="11" ht="27.75" customHeight="1">
      <c r="A11" s="1619">
        <v>6.0</v>
      </c>
      <c r="B11" s="1620">
        <v>78.0</v>
      </c>
      <c r="C11" s="1621" t="s">
        <v>4081</v>
      </c>
      <c r="D11" s="1622" t="s">
        <v>4082</v>
      </c>
      <c r="E11" s="1622" t="s">
        <v>4058</v>
      </c>
      <c r="F11" s="1622" t="s">
        <v>4059</v>
      </c>
      <c r="G11" s="1623">
        <v>98.0</v>
      </c>
      <c r="H11" s="1624" t="s">
        <v>4051</v>
      </c>
      <c r="I11" s="1625" t="s">
        <v>4083</v>
      </c>
      <c r="J11" s="1626" t="s">
        <v>2086</v>
      </c>
      <c r="K11" s="1622" t="s">
        <v>4084</v>
      </c>
      <c r="L11" s="1626" t="s">
        <v>4085</v>
      </c>
      <c r="M11" s="1620" t="s">
        <v>4054</v>
      </c>
      <c r="N11" s="1622" t="s">
        <v>4055</v>
      </c>
      <c r="O11" s="1618"/>
      <c r="P11" s="1618"/>
    </row>
    <row r="12" ht="27.75" customHeight="1">
      <c r="A12" s="1610">
        <v>7.0</v>
      </c>
      <c r="B12" s="1611">
        <v>79.0</v>
      </c>
      <c r="C12" s="1612" t="s">
        <v>4086</v>
      </c>
      <c r="D12" s="1613" t="s">
        <v>4087</v>
      </c>
      <c r="E12" s="1613" t="s">
        <v>4058</v>
      </c>
      <c r="F12" s="1613" t="s">
        <v>4059</v>
      </c>
      <c r="G12" s="1614">
        <v>98.0</v>
      </c>
      <c r="H12" s="1615" t="s">
        <v>4051</v>
      </c>
      <c r="I12" s="1627" t="s">
        <v>4083</v>
      </c>
      <c r="J12" s="1617" t="s">
        <v>2086</v>
      </c>
      <c r="K12" s="1613" t="s">
        <v>4088</v>
      </c>
      <c r="L12" s="1617" t="s">
        <v>4089</v>
      </c>
      <c r="M12" s="1611" t="s">
        <v>4054</v>
      </c>
      <c r="N12" s="1613" t="s">
        <v>4055</v>
      </c>
      <c r="O12" s="1618"/>
      <c r="P12" s="1618"/>
    </row>
    <row r="13" ht="27.75" customHeight="1">
      <c r="A13" s="1619">
        <v>8.0</v>
      </c>
      <c r="B13" s="1620">
        <v>2.0</v>
      </c>
      <c r="C13" s="1621" t="s">
        <v>4090</v>
      </c>
      <c r="D13" s="1622" t="s">
        <v>4091</v>
      </c>
      <c r="E13" s="1622" t="s">
        <v>4049</v>
      </c>
      <c r="F13" s="1622" t="s">
        <v>4078</v>
      </c>
      <c r="G13" s="1623">
        <v>97.0</v>
      </c>
      <c r="H13" s="1624" t="s">
        <v>4051</v>
      </c>
      <c r="I13" s="1628" t="s">
        <v>492</v>
      </c>
      <c r="J13" s="1626" t="s">
        <v>2091</v>
      </c>
      <c r="K13" s="1622" t="s">
        <v>4092</v>
      </c>
      <c r="L13" s="1626" t="s">
        <v>4093</v>
      </c>
      <c r="M13" s="1620" t="s">
        <v>4054</v>
      </c>
      <c r="N13" s="1622" t="s">
        <v>4055</v>
      </c>
      <c r="O13" s="1618"/>
      <c r="P13" s="1618"/>
    </row>
    <row r="14" ht="27.75" customHeight="1">
      <c r="A14" s="1610">
        <v>9.0</v>
      </c>
      <c r="B14" s="1611">
        <v>5.0</v>
      </c>
      <c r="C14" s="1612" t="s">
        <v>4094</v>
      </c>
      <c r="D14" s="1613" t="s">
        <v>4095</v>
      </c>
      <c r="E14" s="1613" t="s">
        <v>4049</v>
      </c>
      <c r="F14" s="1613" t="s">
        <v>4096</v>
      </c>
      <c r="G14" s="1614">
        <v>97.0</v>
      </c>
      <c r="H14" s="1615" t="s">
        <v>4051</v>
      </c>
      <c r="I14" s="1627" t="s">
        <v>4097</v>
      </c>
      <c r="J14" s="1617" t="s">
        <v>2086</v>
      </c>
      <c r="K14" s="1613" t="s">
        <v>4098</v>
      </c>
      <c r="L14" s="1617" t="s">
        <v>4099</v>
      </c>
      <c r="M14" s="1611" t="s">
        <v>4054</v>
      </c>
      <c r="N14" s="1613" t="s">
        <v>4055</v>
      </c>
      <c r="O14" s="1618"/>
      <c r="P14" s="1618"/>
    </row>
    <row r="15" ht="27.75" customHeight="1">
      <c r="A15" s="1619">
        <v>10.0</v>
      </c>
      <c r="B15" s="1620">
        <v>27.0</v>
      </c>
      <c r="C15" s="1621" t="s">
        <v>4100</v>
      </c>
      <c r="D15" s="1622" t="s">
        <v>4101</v>
      </c>
      <c r="E15" s="1622" t="s">
        <v>4102</v>
      </c>
      <c r="F15" s="1622" t="s">
        <v>4103</v>
      </c>
      <c r="G15" s="1623">
        <v>97.0</v>
      </c>
      <c r="H15" s="1624" t="s">
        <v>4051</v>
      </c>
      <c r="I15" s="1628" t="s">
        <v>492</v>
      </c>
      <c r="J15" s="1626" t="s">
        <v>2091</v>
      </c>
      <c r="K15" s="1622" t="s">
        <v>4104</v>
      </c>
      <c r="L15" s="1626" t="s">
        <v>4105</v>
      </c>
      <c r="M15" s="1620" t="s">
        <v>4054</v>
      </c>
      <c r="N15" s="1622" t="s">
        <v>4055</v>
      </c>
      <c r="O15" s="1618"/>
      <c r="P15" s="1618"/>
    </row>
    <row r="16" ht="27.75" customHeight="1">
      <c r="A16" s="1610">
        <v>11.0</v>
      </c>
      <c r="B16" s="1611">
        <v>28.0</v>
      </c>
      <c r="C16" s="1612" t="s">
        <v>4106</v>
      </c>
      <c r="D16" s="1613" t="s">
        <v>4107</v>
      </c>
      <c r="E16" s="1613" t="s">
        <v>4102</v>
      </c>
      <c r="F16" s="1613" t="s">
        <v>4108</v>
      </c>
      <c r="G16" s="1614">
        <v>97.0</v>
      </c>
      <c r="H16" s="1615" t="s">
        <v>4051</v>
      </c>
      <c r="I16" s="1616" t="s">
        <v>492</v>
      </c>
      <c r="J16" s="1617" t="s">
        <v>2091</v>
      </c>
      <c r="K16" s="1613" t="s">
        <v>4109</v>
      </c>
      <c r="L16" s="1617" t="s">
        <v>4110</v>
      </c>
      <c r="M16" s="1611" t="s">
        <v>4054</v>
      </c>
      <c r="N16" s="1613" t="s">
        <v>4055</v>
      </c>
      <c r="O16" s="1618"/>
      <c r="P16" s="1618"/>
    </row>
    <row r="17" ht="27.75" customHeight="1">
      <c r="A17" s="1619">
        <v>12.0</v>
      </c>
      <c r="B17" s="1620">
        <v>29.0</v>
      </c>
      <c r="C17" s="1621" t="s">
        <v>4111</v>
      </c>
      <c r="D17" s="1622" t="s">
        <v>4112</v>
      </c>
      <c r="E17" s="1622" t="s">
        <v>4102</v>
      </c>
      <c r="F17" s="1622" t="s">
        <v>4113</v>
      </c>
      <c r="G17" s="1623">
        <v>97.0</v>
      </c>
      <c r="H17" s="1624" t="s">
        <v>4051</v>
      </c>
      <c r="I17" s="1628" t="s">
        <v>492</v>
      </c>
      <c r="J17" s="1626" t="s">
        <v>2091</v>
      </c>
      <c r="K17" s="1622" t="s">
        <v>4114</v>
      </c>
      <c r="L17" s="1626" t="s">
        <v>4115</v>
      </c>
      <c r="M17" s="1620" t="s">
        <v>4054</v>
      </c>
      <c r="N17" s="1622" t="s">
        <v>4055</v>
      </c>
      <c r="O17" s="1618"/>
      <c r="P17" s="1618"/>
    </row>
    <row r="18" ht="27.75" customHeight="1">
      <c r="A18" s="1610">
        <v>13.0</v>
      </c>
      <c r="B18" s="1611">
        <v>30.0</v>
      </c>
      <c r="C18" s="1612" t="s">
        <v>4116</v>
      </c>
      <c r="D18" s="1613" t="s">
        <v>4117</v>
      </c>
      <c r="E18" s="1613" t="s">
        <v>4102</v>
      </c>
      <c r="F18" s="1613" t="s">
        <v>4118</v>
      </c>
      <c r="G18" s="1614">
        <v>97.0</v>
      </c>
      <c r="H18" s="1615" t="s">
        <v>4051</v>
      </c>
      <c r="I18" s="1616" t="s">
        <v>492</v>
      </c>
      <c r="J18" s="1617" t="s">
        <v>2091</v>
      </c>
      <c r="K18" s="1613" t="s">
        <v>4119</v>
      </c>
      <c r="L18" s="1617" t="s">
        <v>4120</v>
      </c>
      <c r="M18" s="1611" t="s">
        <v>4054</v>
      </c>
      <c r="N18" s="1613" t="s">
        <v>4055</v>
      </c>
      <c r="O18" s="1618"/>
      <c r="P18" s="1618"/>
    </row>
    <row r="19" ht="27.75" customHeight="1">
      <c r="A19" s="1619">
        <v>14.0</v>
      </c>
      <c r="B19" s="1620">
        <v>31.0</v>
      </c>
      <c r="C19" s="1621" t="s">
        <v>4121</v>
      </c>
      <c r="D19" s="1622" t="s">
        <v>4122</v>
      </c>
      <c r="E19" s="1622" t="s">
        <v>4102</v>
      </c>
      <c r="F19" s="1622" t="s">
        <v>4123</v>
      </c>
      <c r="G19" s="1623">
        <v>97.0</v>
      </c>
      <c r="H19" s="1624" t="s">
        <v>4051</v>
      </c>
      <c r="I19" s="1628" t="s">
        <v>492</v>
      </c>
      <c r="J19" s="1626" t="s">
        <v>2091</v>
      </c>
      <c r="K19" s="1622" t="s">
        <v>4124</v>
      </c>
      <c r="L19" s="1626" t="s">
        <v>4125</v>
      </c>
      <c r="M19" s="1620" t="s">
        <v>4054</v>
      </c>
      <c r="N19" s="1622" t="s">
        <v>4055</v>
      </c>
      <c r="O19" s="1618"/>
      <c r="P19" s="1618"/>
    </row>
    <row r="20" ht="27.75" customHeight="1">
      <c r="A20" s="1610">
        <v>15.0</v>
      </c>
      <c r="B20" s="1611">
        <v>32.0</v>
      </c>
      <c r="C20" s="1612" t="s">
        <v>4126</v>
      </c>
      <c r="D20" s="1613" t="s">
        <v>4127</v>
      </c>
      <c r="E20" s="1613" t="s">
        <v>4102</v>
      </c>
      <c r="F20" s="1613" t="s">
        <v>4128</v>
      </c>
      <c r="G20" s="1614">
        <v>97.0</v>
      </c>
      <c r="H20" s="1615" t="s">
        <v>4051</v>
      </c>
      <c r="I20" s="1616" t="s">
        <v>492</v>
      </c>
      <c r="J20" s="1617" t="s">
        <v>2091</v>
      </c>
      <c r="K20" s="1613" t="s">
        <v>4129</v>
      </c>
      <c r="L20" s="1617" t="s">
        <v>4130</v>
      </c>
      <c r="M20" s="1611" t="s">
        <v>4054</v>
      </c>
      <c r="N20" s="1613" t="s">
        <v>4055</v>
      </c>
      <c r="O20" s="1618"/>
      <c r="P20" s="1618"/>
    </row>
    <row r="21" ht="27.75" customHeight="1">
      <c r="A21" s="1619">
        <v>16.0</v>
      </c>
      <c r="B21" s="1620">
        <v>52.0</v>
      </c>
      <c r="C21" s="1621" t="s">
        <v>4131</v>
      </c>
      <c r="D21" s="1622" t="s">
        <v>4132</v>
      </c>
      <c r="E21" s="1622" t="s">
        <v>4133</v>
      </c>
      <c r="F21" s="1622" t="s">
        <v>4134</v>
      </c>
      <c r="G21" s="1623">
        <v>97.0</v>
      </c>
      <c r="H21" s="1624" t="s">
        <v>4051</v>
      </c>
      <c r="I21" s="1628" t="s">
        <v>492</v>
      </c>
      <c r="J21" s="1626" t="s">
        <v>2091</v>
      </c>
      <c r="K21" s="1622" t="s">
        <v>4135</v>
      </c>
      <c r="L21" s="1626" t="s">
        <v>4136</v>
      </c>
      <c r="M21" s="1620" t="s">
        <v>4054</v>
      </c>
      <c r="N21" s="1622" t="s">
        <v>4055</v>
      </c>
      <c r="O21" s="1618"/>
      <c r="P21" s="1618"/>
    </row>
    <row r="22" ht="27.75" customHeight="1">
      <c r="A22" s="1610">
        <v>17.0</v>
      </c>
      <c r="B22" s="1611">
        <v>53.0</v>
      </c>
      <c r="C22" s="1612" t="s">
        <v>4137</v>
      </c>
      <c r="D22" s="1613" t="s">
        <v>4138</v>
      </c>
      <c r="E22" s="1613" t="s">
        <v>4133</v>
      </c>
      <c r="F22" s="1613" t="s">
        <v>4139</v>
      </c>
      <c r="G22" s="1614">
        <v>97.0</v>
      </c>
      <c r="H22" s="1615" t="s">
        <v>4051</v>
      </c>
      <c r="I22" s="1616" t="s">
        <v>492</v>
      </c>
      <c r="J22" s="1617" t="s">
        <v>2091</v>
      </c>
      <c r="K22" s="1613" t="s">
        <v>4140</v>
      </c>
      <c r="L22" s="1617" t="s">
        <v>4141</v>
      </c>
      <c r="M22" s="1611" t="s">
        <v>4054</v>
      </c>
      <c r="N22" s="1613" t="s">
        <v>4055</v>
      </c>
      <c r="O22" s="1618"/>
      <c r="P22" s="1618"/>
    </row>
    <row r="23" ht="27.75" customHeight="1">
      <c r="A23" s="1619">
        <v>18.0</v>
      </c>
      <c r="B23" s="1620">
        <v>80.0</v>
      </c>
      <c r="C23" s="1621" t="s">
        <v>4142</v>
      </c>
      <c r="D23" s="1622"/>
      <c r="E23" s="1622" t="s">
        <v>4058</v>
      </c>
      <c r="F23" s="1622" t="s">
        <v>4143</v>
      </c>
      <c r="G23" s="1623">
        <v>97.0</v>
      </c>
      <c r="H23" s="1624" t="s">
        <v>4051</v>
      </c>
      <c r="I23" s="1625" t="s">
        <v>4083</v>
      </c>
      <c r="J23" s="1626" t="s">
        <v>2086</v>
      </c>
      <c r="K23" s="1622" t="s">
        <v>4144</v>
      </c>
      <c r="L23" s="1626" t="s">
        <v>4145</v>
      </c>
      <c r="M23" s="1620" t="s">
        <v>4054</v>
      </c>
      <c r="N23" s="1622" t="s">
        <v>4055</v>
      </c>
      <c r="O23" s="1618"/>
      <c r="P23" s="1618"/>
    </row>
    <row r="24" ht="27.75" customHeight="1">
      <c r="A24" s="1610">
        <v>19.0</v>
      </c>
      <c r="B24" s="1611">
        <v>186.0</v>
      </c>
      <c r="C24" s="1612" t="s">
        <v>2650</v>
      </c>
      <c r="D24" s="1613" t="s">
        <v>4146</v>
      </c>
      <c r="E24" s="1613" t="s">
        <v>4147</v>
      </c>
      <c r="F24" s="1613" t="s">
        <v>4148</v>
      </c>
      <c r="G24" s="1614">
        <v>97.0</v>
      </c>
      <c r="H24" s="1615" t="s">
        <v>4051</v>
      </c>
      <c r="I24" s="1616" t="s">
        <v>492</v>
      </c>
      <c r="J24" s="1617" t="s">
        <v>4073</v>
      </c>
      <c r="K24" s="1613" t="s">
        <v>4149</v>
      </c>
      <c r="L24" s="1617" t="s">
        <v>4150</v>
      </c>
      <c r="M24" s="1611" t="s">
        <v>4054</v>
      </c>
      <c r="N24" s="1613" t="s">
        <v>4055</v>
      </c>
      <c r="O24" s="1618"/>
      <c r="P24" s="1618"/>
    </row>
    <row r="25" ht="27.75" customHeight="1">
      <c r="A25" s="1629">
        <v>20.0</v>
      </c>
      <c r="B25" s="1630">
        <v>21.0</v>
      </c>
      <c r="C25" s="1631" t="s">
        <v>4151</v>
      </c>
      <c r="D25" s="1632" t="s">
        <v>4152</v>
      </c>
      <c r="E25" s="1632" t="s">
        <v>4102</v>
      </c>
      <c r="F25" s="1632" t="s">
        <v>4153</v>
      </c>
      <c r="G25" s="1633">
        <v>96.0</v>
      </c>
      <c r="H25" s="1634" t="s">
        <v>4154</v>
      </c>
      <c r="I25" s="1635" t="s">
        <v>492</v>
      </c>
      <c r="J25" s="1636" t="s">
        <v>2091</v>
      </c>
      <c r="K25" s="1632" t="s">
        <v>4155</v>
      </c>
      <c r="L25" s="1636" t="s">
        <v>4156</v>
      </c>
      <c r="M25" s="1630" t="s">
        <v>4054</v>
      </c>
      <c r="N25" s="1632" t="s">
        <v>4055</v>
      </c>
      <c r="O25" s="1618"/>
      <c r="P25" s="1618"/>
    </row>
    <row r="26" ht="27.75" customHeight="1">
      <c r="A26" s="1637">
        <v>21.0</v>
      </c>
      <c r="B26" s="1638">
        <v>36.0</v>
      </c>
      <c r="C26" s="1639" t="s">
        <v>4157</v>
      </c>
      <c r="D26" s="1640" t="s">
        <v>4158</v>
      </c>
      <c r="E26" s="1640" t="s">
        <v>4102</v>
      </c>
      <c r="F26" s="1640" t="s">
        <v>4159</v>
      </c>
      <c r="G26" s="1641">
        <v>96.0</v>
      </c>
      <c r="H26" s="1642" t="s">
        <v>4154</v>
      </c>
      <c r="I26" s="1643" t="s">
        <v>492</v>
      </c>
      <c r="J26" s="1644" t="s">
        <v>2091</v>
      </c>
      <c r="K26" s="1640" t="s">
        <v>4160</v>
      </c>
      <c r="L26" s="1644" t="s">
        <v>4161</v>
      </c>
      <c r="M26" s="1638" t="s">
        <v>4054</v>
      </c>
      <c r="N26" s="1640" t="s">
        <v>4055</v>
      </c>
      <c r="O26" s="1618"/>
      <c r="P26" s="1618"/>
    </row>
    <row r="27" ht="27.75" customHeight="1">
      <c r="A27" s="1629">
        <v>22.0</v>
      </c>
      <c r="B27" s="1630">
        <v>37.0</v>
      </c>
      <c r="C27" s="1631" t="s">
        <v>4162</v>
      </c>
      <c r="D27" s="1632" t="s">
        <v>4163</v>
      </c>
      <c r="E27" s="1632" t="s">
        <v>4102</v>
      </c>
      <c r="F27" s="1632" t="s">
        <v>4164</v>
      </c>
      <c r="G27" s="1633">
        <v>96.0</v>
      </c>
      <c r="H27" s="1634" t="s">
        <v>4154</v>
      </c>
      <c r="I27" s="1635" t="s">
        <v>492</v>
      </c>
      <c r="J27" s="1636" t="s">
        <v>2091</v>
      </c>
      <c r="K27" s="1632" t="s">
        <v>4165</v>
      </c>
      <c r="L27" s="1636" t="s">
        <v>4166</v>
      </c>
      <c r="M27" s="1630" t="s">
        <v>4054</v>
      </c>
      <c r="N27" s="1632" t="s">
        <v>4055</v>
      </c>
      <c r="O27" s="1618"/>
      <c r="P27" s="1618"/>
    </row>
    <row r="28" ht="27.75" customHeight="1">
      <c r="A28" s="1637">
        <v>23.0</v>
      </c>
      <c r="B28" s="1638">
        <v>38.0</v>
      </c>
      <c r="C28" s="1639" t="s">
        <v>4167</v>
      </c>
      <c r="D28" s="1640" t="s">
        <v>4168</v>
      </c>
      <c r="E28" s="1640" t="s">
        <v>4102</v>
      </c>
      <c r="F28" s="1640" t="s">
        <v>4169</v>
      </c>
      <c r="G28" s="1641">
        <v>96.0</v>
      </c>
      <c r="H28" s="1642" t="s">
        <v>4154</v>
      </c>
      <c r="I28" s="1643" t="s">
        <v>492</v>
      </c>
      <c r="J28" s="1644" t="s">
        <v>2091</v>
      </c>
      <c r="K28" s="1640" t="s">
        <v>4170</v>
      </c>
      <c r="L28" s="1644" t="s">
        <v>4171</v>
      </c>
      <c r="M28" s="1638" t="s">
        <v>4054</v>
      </c>
      <c r="N28" s="1640" t="s">
        <v>4055</v>
      </c>
      <c r="O28" s="1618"/>
      <c r="P28" s="1618"/>
    </row>
    <row r="29" ht="27.75" customHeight="1">
      <c r="A29" s="1629">
        <v>24.0</v>
      </c>
      <c r="B29" s="1630">
        <v>39.0</v>
      </c>
      <c r="C29" s="1631" t="s">
        <v>4172</v>
      </c>
      <c r="D29" s="1632" t="s">
        <v>4173</v>
      </c>
      <c r="E29" s="1632" t="s">
        <v>4102</v>
      </c>
      <c r="F29" s="1632" t="s">
        <v>4174</v>
      </c>
      <c r="G29" s="1633">
        <v>96.0</v>
      </c>
      <c r="H29" s="1634" t="s">
        <v>4154</v>
      </c>
      <c r="I29" s="1635" t="s">
        <v>492</v>
      </c>
      <c r="J29" s="1636" t="s">
        <v>2091</v>
      </c>
      <c r="K29" s="1632" t="s">
        <v>4175</v>
      </c>
      <c r="L29" s="1636" t="s">
        <v>4176</v>
      </c>
      <c r="M29" s="1630" t="s">
        <v>4054</v>
      </c>
      <c r="N29" s="1632" t="s">
        <v>4055</v>
      </c>
      <c r="O29" s="1618"/>
      <c r="P29" s="1618"/>
    </row>
    <row r="30" ht="27.75" customHeight="1">
      <c r="A30" s="1637">
        <v>25.0</v>
      </c>
      <c r="B30" s="1638">
        <v>46.0</v>
      </c>
      <c r="C30" s="1639" t="s">
        <v>4177</v>
      </c>
      <c r="D30" s="1640" t="s">
        <v>4178</v>
      </c>
      <c r="E30" s="1640" t="s">
        <v>4133</v>
      </c>
      <c r="F30" s="1640" t="s">
        <v>4179</v>
      </c>
      <c r="G30" s="1641">
        <v>96.0</v>
      </c>
      <c r="H30" s="1642" t="s">
        <v>4154</v>
      </c>
      <c r="I30" s="1643" t="s">
        <v>492</v>
      </c>
      <c r="J30" s="1644" t="s">
        <v>2091</v>
      </c>
      <c r="K30" s="1640" t="s">
        <v>4180</v>
      </c>
      <c r="L30" s="1644" t="s">
        <v>4181</v>
      </c>
      <c r="M30" s="1638" t="s">
        <v>4054</v>
      </c>
      <c r="N30" s="1640" t="s">
        <v>4055</v>
      </c>
      <c r="O30" s="1618"/>
      <c r="P30" s="1618"/>
    </row>
    <row r="31" ht="27.75" customHeight="1">
      <c r="A31" s="1629">
        <v>26.0</v>
      </c>
      <c r="B31" s="1630">
        <v>47.0</v>
      </c>
      <c r="C31" s="1631" t="s">
        <v>4182</v>
      </c>
      <c r="D31" s="1632" t="s">
        <v>4183</v>
      </c>
      <c r="E31" s="1632" t="s">
        <v>4133</v>
      </c>
      <c r="F31" s="1632" t="s">
        <v>4184</v>
      </c>
      <c r="G31" s="1633">
        <v>96.0</v>
      </c>
      <c r="H31" s="1634" t="s">
        <v>4154</v>
      </c>
      <c r="I31" s="1635" t="s">
        <v>492</v>
      </c>
      <c r="J31" s="1636" t="s">
        <v>2091</v>
      </c>
      <c r="K31" s="1632" t="s">
        <v>4185</v>
      </c>
      <c r="L31" s="1636" t="s">
        <v>4186</v>
      </c>
      <c r="M31" s="1630" t="s">
        <v>4054</v>
      </c>
      <c r="N31" s="1632" t="s">
        <v>4055</v>
      </c>
      <c r="O31" s="1618"/>
      <c r="P31" s="1618"/>
    </row>
    <row r="32" ht="27.75" customHeight="1">
      <c r="A32" s="1637">
        <v>27.0</v>
      </c>
      <c r="B32" s="1638">
        <v>57.0</v>
      </c>
      <c r="C32" s="1639" t="s">
        <v>4187</v>
      </c>
      <c r="D32" s="1640" t="s">
        <v>4188</v>
      </c>
      <c r="E32" s="1640" t="s">
        <v>4133</v>
      </c>
      <c r="F32" s="1640" t="s">
        <v>4134</v>
      </c>
      <c r="G32" s="1641">
        <v>96.0</v>
      </c>
      <c r="H32" s="1642" t="s">
        <v>4154</v>
      </c>
      <c r="I32" s="1643" t="s">
        <v>492</v>
      </c>
      <c r="J32" s="1644" t="s">
        <v>2091</v>
      </c>
      <c r="K32" s="1640" t="s">
        <v>4189</v>
      </c>
      <c r="L32" s="1644" t="s">
        <v>4190</v>
      </c>
      <c r="M32" s="1638" t="s">
        <v>4054</v>
      </c>
      <c r="N32" s="1640" t="s">
        <v>4055</v>
      </c>
      <c r="O32" s="1618"/>
      <c r="P32" s="1618"/>
    </row>
    <row r="33" ht="27.75" customHeight="1">
      <c r="A33" s="1629">
        <v>28.0</v>
      </c>
      <c r="B33" s="1630">
        <v>58.0</v>
      </c>
      <c r="C33" s="1631" t="s">
        <v>4191</v>
      </c>
      <c r="D33" s="1632"/>
      <c r="E33" s="1632" t="s">
        <v>4133</v>
      </c>
      <c r="F33" s="1632" t="s">
        <v>4192</v>
      </c>
      <c r="G33" s="1633">
        <v>96.0</v>
      </c>
      <c r="H33" s="1634" t="s">
        <v>4154</v>
      </c>
      <c r="I33" s="1645" t="s">
        <v>4193</v>
      </c>
      <c r="J33" s="1636" t="s">
        <v>2086</v>
      </c>
      <c r="K33" s="1632" t="s">
        <v>4194</v>
      </c>
      <c r="L33" s="1636" t="s">
        <v>4195</v>
      </c>
      <c r="M33" s="1630" t="s">
        <v>4054</v>
      </c>
      <c r="N33" s="1632" t="s">
        <v>4055</v>
      </c>
      <c r="O33" s="1618"/>
      <c r="P33" s="1618"/>
    </row>
    <row r="34" ht="27.75" customHeight="1">
      <c r="A34" s="1637">
        <v>29.0</v>
      </c>
      <c r="B34" s="1638">
        <v>64.0</v>
      </c>
      <c r="C34" s="1639" t="s">
        <v>4196</v>
      </c>
      <c r="D34" s="1640" t="s">
        <v>4197</v>
      </c>
      <c r="E34" s="1640" t="s">
        <v>4198</v>
      </c>
      <c r="F34" s="1640" t="s">
        <v>4059</v>
      </c>
      <c r="G34" s="1641">
        <v>96.0</v>
      </c>
      <c r="H34" s="1642" t="s">
        <v>4154</v>
      </c>
      <c r="I34" s="1646" t="s">
        <v>2851</v>
      </c>
      <c r="J34" s="1644" t="s">
        <v>2086</v>
      </c>
      <c r="K34" s="1640" t="s">
        <v>4199</v>
      </c>
      <c r="L34" s="1644" t="s">
        <v>4200</v>
      </c>
      <c r="M34" s="1638" t="s">
        <v>4054</v>
      </c>
      <c r="N34" s="1640" t="s">
        <v>4055</v>
      </c>
      <c r="O34" s="1618"/>
      <c r="P34" s="1618"/>
    </row>
    <row r="35" ht="27.75" customHeight="1">
      <c r="A35" s="1629">
        <v>30.0</v>
      </c>
      <c r="B35" s="1630">
        <v>81.0</v>
      </c>
      <c r="C35" s="1631" t="s">
        <v>4201</v>
      </c>
      <c r="D35" s="1632" t="s">
        <v>4202</v>
      </c>
      <c r="E35" s="1632" t="s">
        <v>4058</v>
      </c>
      <c r="F35" s="1632" t="s">
        <v>4203</v>
      </c>
      <c r="G35" s="1633">
        <v>96.0</v>
      </c>
      <c r="H35" s="1634" t="s">
        <v>4154</v>
      </c>
      <c r="I35" s="1645" t="s">
        <v>4066</v>
      </c>
      <c r="J35" s="1636" t="s">
        <v>2086</v>
      </c>
      <c r="K35" s="1632" t="s">
        <v>4204</v>
      </c>
      <c r="L35" s="1636" t="s">
        <v>4205</v>
      </c>
      <c r="M35" s="1630" t="s">
        <v>4054</v>
      </c>
      <c r="N35" s="1632" t="s">
        <v>4055</v>
      </c>
      <c r="O35" s="1618"/>
      <c r="P35" s="1618"/>
    </row>
    <row r="36" ht="27.75" customHeight="1">
      <c r="A36" s="1637">
        <v>31.0</v>
      </c>
      <c r="B36" s="1638">
        <v>10.0</v>
      </c>
      <c r="C36" s="1639" t="s">
        <v>4206</v>
      </c>
      <c r="D36" s="1640" t="s">
        <v>4207</v>
      </c>
      <c r="E36" s="1640" t="s">
        <v>4049</v>
      </c>
      <c r="F36" s="1640" t="s">
        <v>4208</v>
      </c>
      <c r="G36" s="1641">
        <v>95.0</v>
      </c>
      <c r="H36" s="1642" t="s">
        <v>4154</v>
      </c>
      <c r="I36" s="1646" t="s">
        <v>4209</v>
      </c>
      <c r="J36" s="1644" t="s">
        <v>2086</v>
      </c>
      <c r="K36" s="1640" t="s">
        <v>4210</v>
      </c>
      <c r="L36" s="1644" t="s">
        <v>4211</v>
      </c>
      <c r="M36" s="1638" t="s">
        <v>4054</v>
      </c>
      <c r="N36" s="1640" t="s">
        <v>4055</v>
      </c>
      <c r="O36" s="1618"/>
      <c r="P36" s="1618"/>
    </row>
    <row r="37" ht="27.75" customHeight="1">
      <c r="A37" s="1629">
        <v>32.0</v>
      </c>
      <c r="B37" s="1630">
        <v>22.0</v>
      </c>
      <c r="C37" s="1631" t="s">
        <v>4212</v>
      </c>
      <c r="D37" s="1632" t="s">
        <v>4213</v>
      </c>
      <c r="E37" s="1632" t="s">
        <v>4102</v>
      </c>
      <c r="F37" s="1632" t="s">
        <v>4214</v>
      </c>
      <c r="G37" s="1633">
        <v>95.0</v>
      </c>
      <c r="H37" s="1634" t="s">
        <v>4154</v>
      </c>
      <c r="I37" s="1635" t="s">
        <v>492</v>
      </c>
      <c r="J37" s="1636" t="s">
        <v>2091</v>
      </c>
      <c r="K37" s="1632" t="s">
        <v>4215</v>
      </c>
      <c r="L37" s="1636" t="s">
        <v>4216</v>
      </c>
      <c r="M37" s="1630" t="s">
        <v>4054</v>
      </c>
      <c r="N37" s="1632" t="s">
        <v>4055</v>
      </c>
      <c r="O37" s="1618"/>
      <c r="P37" s="1618"/>
    </row>
    <row r="38" ht="27.75" customHeight="1">
      <c r="A38" s="1637">
        <v>33.0</v>
      </c>
      <c r="B38" s="1638">
        <v>61.0</v>
      </c>
      <c r="C38" s="1639" t="s">
        <v>4217</v>
      </c>
      <c r="D38" s="1640" t="s">
        <v>4218</v>
      </c>
      <c r="E38" s="1640" t="s">
        <v>4198</v>
      </c>
      <c r="F38" s="1640" t="s">
        <v>4219</v>
      </c>
      <c r="G38" s="1641">
        <v>95.0</v>
      </c>
      <c r="H38" s="1642" t="s">
        <v>4154</v>
      </c>
      <c r="I38" s="1646" t="s">
        <v>4220</v>
      </c>
      <c r="J38" s="1644" t="s">
        <v>2086</v>
      </c>
      <c r="K38" s="1640" t="s">
        <v>4221</v>
      </c>
      <c r="L38" s="1644" t="s">
        <v>4222</v>
      </c>
      <c r="M38" s="1638" t="s">
        <v>4054</v>
      </c>
      <c r="N38" s="1640" t="s">
        <v>4055</v>
      </c>
      <c r="O38" s="1618"/>
      <c r="P38" s="1618"/>
    </row>
    <row r="39" ht="27.75" customHeight="1">
      <c r="A39" s="1629">
        <v>34.0</v>
      </c>
      <c r="B39" s="1630">
        <v>91.0</v>
      </c>
      <c r="C39" s="1631" t="s">
        <v>4223</v>
      </c>
      <c r="D39" s="1632" t="s">
        <v>4224</v>
      </c>
      <c r="E39" s="1632" t="s">
        <v>4225</v>
      </c>
      <c r="F39" s="1632" t="s">
        <v>4226</v>
      </c>
      <c r="G39" s="1633">
        <v>95.0</v>
      </c>
      <c r="H39" s="1634" t="s">
        <v>4154</v>
      </c>
      <c r="I39" s="1635" t="s">
        <v>492</v>
      </c>
      <c r="J39" s="1636" t="s">
        <v>2086</v>
      </c>
      <c r="K39" s="1632" t="s">
        <v>4227</v>
      </c>
      <c r="L39" s="1636" t="s">
        <v>4228</v>
      </c>
      <c r="M39" s="1630" t="s">
        <v>4054</v>
      </c>
      <c r="N39" s="1632" t="s">
        <v>4055</v>
      </c>
      <c r="O39" s="1618"/>
      <c r="P39" s="1618"/>
    </row>
    <row r="40" ht="27.75" customHeight="1">
      <c r="A40" s="1637">
        <v>35.0</v>
      </c>
      <c r="B40" s="1638">
        <v>92.0</v>
      </c>
      <c r="C40" s="1639" t="s">
        <v>4229</v>
      </c>
      <c r="D40" s="1640" t="s">
        <v>4230</v>
      </c>
      <c r="E40" s="1640" t="s">
        <v>4225</v>
      </c>
      <c r="F40" s="1640" t="s">
        <v>4226</v>
      </c>
      <c r="G40" s="1641">
        <v>95.0</v>
      </c>
      <c r="H40" s="1642" t="s">
        <v>4154</v>
      </c>
      <c r="I40" s="1643" t="s">
        <v>492</v>
      </c>
      <c r="J40" s="1644" t="s">
        <v>2086</v>
      </c>
      <c r="K40" s="1640" t="s">
        <v>4231</v>
      </c>
      <c r="L40" s="1644" t="s">
        <v>4232</v>
      </c>
      <c r="M40" s="1638" t="s">
        <v>4054</v>
      </c>
      <c r="N40" s="1640" t="s">
        <v>4055</v>
      </c>
      <c r="O40" s="1618"/>
      <c r="P40" s="1618"/>
    </row>
    <row r="41" ht="27.75" customHeight="1">
      <c r="A41" s="1629">
        <v>36.0</v>
      </c>
      <c r="B41" s="1630">
        <v>65.0</v>
      </c>
      <c r="C41" s="1631" t="s">
        <v>4233</v>
      </c>
      <c r="D41" s="1632" t="s">
        <v>4234</v>
      </c>
      <c r="E41" s="1632" t="s">
        <v>4198</v>
      </c>
      <c r="F41" s="1632" t="s">
        <v>4214</v>
      </c>
      <c r="G41" s="1633">
        <v>94.0</v>
      </c>
      <c r="H41" s="1634" t="s">
        <v>4154</v>
      </c>
      <c r="I41" s="1645" t="s">
        <v>4235</v>
      </c>
      <c r="J41" s="1636" t="s">
        <v>2086</v>
      </c>
      <c r="K41" s="1632" t="s">
        <v>4236</v>
      </c>
      <c r="L41" s="1636" t="s">
        <v>4237</v>
      </c>
      <c r="M41" s="1630" t="s">
        <v>4054</v>
      </c>
      <c r="N41" s="1632" t="s">
        <v>4055</v>
      </c>
      <c r="O41" s="1618"/>
      <c r="P41" s="1618"/>
    </row>
    <row r="42" ht="27.75" customHeight="1">
      <c r="A42" s="1637">
        <v>37.0</v>
      </c>
      <c r="B42" s="1638">
        <v>93.0</v>
      </c>
      <c r="C42" s="1639" t="s">
        <v>4238</v>
      </c>
      <c r="D42" s="1640" t="s">
        <v>4239</v>
      </c>
      <c r="E42" s="1640" t="s">
        <v>4225</v>
      </c>
      <c r="F42" s="1640" t="s">
        <v>4226</v>
      </c>
      <c r="G42" s="1641">
        <v>94.0</v>
      </c>
      <c r="H42" s="1642" t="s">
        <v>4154</v>
      </c>
      <c r="I42" s="1643" t="s">
        <v>492</v>
      </c>
      <c r="J42" s="1644" t="s">
        <v>2086</v>
      </c>
      <c r="K42" s="1640" t="s">
        <v>4240</v>
      </c>
      <c r="L42" s="1644" t="s">
        <v>4241</v>
      </c>
      <c r="M42" s="1638" t="s">
        <v>4054</v>
      </c>
      <c r="N42" s="1640" t="s">
        <v>4055</v>
      </c>
      <c r="O42" s="1618"/>
      <c r="P42" s="1618"/>
    </row>
    <row r="43" ht="27.75" customHeight="1">
      <c r="A43" s="1629">
        <v>38.0</v>
      </c>
      <c r="B43" s="1630">
        <v>45.0</v>
      </c>
      <c r="C43" s="1631" t="s">
        <v>4242</v>
      </c>
      <c r="D43" s="1632" t="s">
        <v>4243</v>
      </c>
      <c r="E43" s="1632" t="s">
        <v>4102</v>
      </c>
      <c r="F43" s="1632" t="s">
        <v>4244</v>
      </c>
      <c r="G43" s="1633">
        <v>93.0</v>
      </c>
      <c r="H43" s="1634" t="s">
        <v>4154</v>
      </c>
      <c r="I43" s="1635" t="s">
        <v>492</v>
      </c>
      <c r="J43" s="1636" t="s">
        <v>2091</v>
      </c>
      <c r="K43" s="1632" t="s">
        <v>4245</v>
      </c>
      <c r="L43" s="1636" t="s">
        <v>4246</v>
      </c>
      <c r="M43" s="1630" t="s">
        <v>4054</v>
      </c>
      <c r="N43" s="1632" t="s">
        <v>4055</v>
      </c>
      <c r="O43" s="1618"/>
      <c r="P43" s="1618"/>
    </row>
    <row r="44" ht="27.75" customHeight="1">
      <c r="A44" s="1637">
        <v>39.0</v>
      </c>
      <c r="B44" s="1638">
        <v>106.0</v>
      </c>
      <c r="C44" s="1639" t="s">
        <v>4247</v>
      </c>
      <c r="D44" s="1640" t="s">
        <v>4248</v>
      </c>
      <c r="E44" s="1640" t="s">
        <v>4249</v>
      </c>
      <c r="F44" s="1640" t="s">
        <v>4250</v>
      </c>
      <c r="G44" s="1641">
        <v>93.0</v>
      </c>
      <c r="H44" s="1642" t="s">
        <v>4154</v>
      </c>
      <c r="I44" s="1643" t="s">
        <v>492</v>
      </c>
      <c r="J44" s="1644" t="s">
        <v>4073</v>
      </c>
      <c r="K44" s="1640" t="s">
        <v>4251</v>
      </c>
      <c r="L44" s="1644" t="s">
        <v>4252</v>
      </c>
      <c r="M44" s="1638" t="s">
        <v>4054</v>
      </c>
      <c r="N44" s="1640" t="s">
        <v>4055</v>
      </c>
      <c r="O44" s="1618"/>
      <c r="P44" s="1618"/>
    </row>
    <row r="45" ht="27.75" customHeight="1">
      <c r="A45" s="1647">
        <v>40.0</v>
      </c>
      <c r="B45" s="1648">
        <v>161.0</v>
      </c>
      <c r="C45" s="1649" t="s">
        <v>4247</v>
      </c>
      <c r="D45" s="1650" t="s">
        <v>4248</v>
      </c>
      <c r="E45" s="1650" t="s">
        <v>4253</v>
      </c>
      <c r="F45" s="1650" t="s">
        <v>4254</v>
      </c>
      <c r="G45" s="1651">
        <v>91.0</v>
      </c>
      <c r="H45" s="1652" t="s">
        <v>4255</v>
      </c>
      <c r="I45" s="1653" t="s">
        <v>492</v>
      </c>
      <c r="J45" s="1654" t="s">
        <v>4073</v>
      </c>
      <c r="K45" s="1650" t="s">
        <v>4256</v>
      </c>
      <c r="L45" s="1654" t="s">
        <v>4257</v>
      </c>
      <c r="M45" s="1648" t="s">
        <v>4054</v>
      </c>
      <c r="N45" s="1650" t="s">
        <v>4055</v>
      </c>
      <c r="O45" s="1618"/>
      <c r="P45" s="1618"/>
    </row>
    <row r="46" ht="27.75" customHeight="1">
      <c r="A46" s="1655">
        <v>41.0</v>
      </c>
      <c r="B46" s="1656">
        <v>7.0</v>
      </c>
      <c r="C46" s="1657" t="s">
        <v>4258</v>
      </c>
      <c r="D46" s="1658" t="s">
        <v>4259</v>
      </c>
      <c r="E46" s="1658" t="s">
        <v>4049</v>
      </c>
      <c r="F46" s="1658" t="s">
        <v>4260</v>
      </c>
      <c r="G46" s="1659">
        <v>90.0</v>
      </c>
      <c r="H46" s="1660" t="s">
        <v>4255</v>
      </c>
      <c r="I46" s="1661" t="s">
        <v>492</v>
      </c>
      <c r="J46" s="1662" t="s">
        <v>2091</v>
      </c>
      <c r="K46" s="1658" t="s">
        <v>4261</v>
      </c>
      <c r="L46" s="1662" t="s">
        <v>4262</v>
      </c>
      <c r="M46" s="1656" t="s">
        <v>4054</v>
      </c>
      <c r="N46" s="1658" t="s">
        <v>4055</v>
      </c>
      <c r="O46" s="1618"/>
      <c r="P46" s="1618"/>
    </row>
    <row r="47" ht="27.75" customHeight="1">
      <c r="A47" s="1647">
        <v>42.0</v>
      </c>
      <c r="B47" s="1648">
        <v>8.0</v>
      </c>
      <c r="C47" s="1649" t="s">
        <v>4263</v>
      </c>
      <c r="D47" s="1650" t="s">
        <v>4264</v>
      </c>
      <c r="E47" s="1650" t="s">
        <v>4049</v>
      </c>
      <c r="F47" s="1650" t="s">
        <v>4265</v>
      </c>
      <c r="G47" s="1651">
        <v>90.0</v>
      </c>
      <c r="H47" s="1652" t="s">
        <v>4255</v>
      </c>
      <c r="I47" s="1653" t="s">
        <v>492</v>
      </c>
      <c r="J47" s="1654" t="s">
        <v>2091</v>
      </c>
      <c r="K47" s="1650" t="s">
        <v>4266</v>
      </c>
      <c r="L47" s="1654" t="s">
        <v>4267</v>
      </c>
      <c r="M47" s="1648" t="s">
        <v>4054</v>
      </c>
      <c r="N47" s="1650" t="s">
        <v>4055</v>
      </c>
      <c r="O47" s="1618"/>
      <c r="P47" s="1618"/>
    </row>
    <row r="48" ht="27.75" customHeight="1">
      <c r="A48" s="1655">
        <v>43.0</v>
      </c>
      <c r="B48" s="1656">
        <v>9.0</v>
      </c>
      <c r="C48" s="1657" t="s">
        <v>4268</v>
      </c>
      <c r="D48" s="1658" t="s">
        <v>4269</v>
      </c>
      <c r="E48" s="1658" t="s">
        <v>4049</v>
      </c>
      <c r="F48" s="1658" t="s">
        <v>4270</v>
      </c>
      <c r="G48" s="1659">
        <v>90.0</v>
      </c>
      <c r="H48" s="1660" t="s">
        <v>4255</v>
      </c>
      <c r="I48" s="1661" t="s">
        <v>492</v>
      </c>
      <c r="J48" s="1662" t="s">
        <v>2091</v>
      </c>
      <c r="K48" s="1658" t="s">
        <v>4271</v>
      </c>
      <c r="L48" s="1662" t="s">
        <v>4272</v>
      </c>
      <c r="M48" s="1656" t="s">
        <v>4054</v>
      </c>
      <c r="N48" s="1658" t="s">
        <v>4055</v>
      </c>
      <c r="O48" s="1618"/>
      <c r="P48" s="1618"/>
    </row>
    <row r="49" ht="27.75" customHeight="1">
      <c r="A49" s="1647">
        <v>44.0</v>
      </c>
      <c r="B49" s="1648">
        <v>11.0</v>
      </c>
      <c r="C49" s="1649" t="s">
        <v>4273</v>
      </c>
      <c r="D49" s="1650" t="s">
        <v>4274</v>
      </c>
      <c r="E49" s="1650" t="s">
        <v>4049</v>
      </c>
      <c r="F49" s="1650" t="s">
        <v>4275</v>
      </c>
      <c r="G49" s="1651">
        <v>90.0</v>
      </c>
      <c r="H49" s="1652" t="s">
        <v>4255</v>
      </c>
      <c r="I49" s="1653" t="s">
        <v>492</v>
      </c>
      <c r="J49" s="1654" t="s">
        <v>2091</v>
      </c>
      <c r="K49" s="1650" t="s">
        <v>4276</v>
      </c>
      <c r="L49" s="1654" t="s">
        <v>4277</v>
      </c>
      <c r="M49" s="1648" t="s">
        <v>4054</v>
      </c>
      <c r="N49" s="1650" t="s">
        <v>4055</v>
      </c>
      <c r="O49" s="1618"/>
      <c r="P49" s="1618"/>
    </row>
    <row r="50" ht="27.75" customHeight="1">
      <c r="A50" s="1655">
        <v>45.0</v>
      </c>
      <c r="B50" s="1656">
        <v>12.0</v>
      </c>
      <c r="C50" s="1657" t="s">
        <v>4278</v>
      </c>
      <c r="D50" s="1658" t="s">
        <v>4279</v>
      </c>
      <c r="E50" s="1658" t="s">
        <v>4049</v>
      </c>
      <c r="F50" s="1658" t="s">
        <v>4280</v>
      </c>
      <c r="G50" s="1659">
        <v>90.0</v>
      </c>
      <c r="H50" s="1660" t="s">
        <v>4255</v>
      </c>
      <c r="I50" s="1661" t="s">
        <v>492</v>
      </c>
      <c r="J50" s="1662" t="s">
        <v>2091</v>
      </c>
      <c r="K50" s="1658" t="s">
        <v>4281</v>
      </c>
      <c r="L50" s="1662" t="s">
        <v>4282</v>
      </c>
      <c r="M50" s="1656" t="s">
        <v>4054</v>
      </c>
      <c r="N50" s="1658" t="s">
        <v>4055</v>
      </c>
      <c r="O50" s="1618"/>
      <c r="P50" s="1618"/>
    </row>
    <row r="51" ht="27.75" customHeight="1">
      <c r="A51" s="1647">
        <v>46.0</v>
      </c>
      <c r="B51" s="1648">
        <v>13.0</v>
      </c>
      <c r="C51" s="1649" t="s">
        <v>4283</v>
      </c>
      <c r="D51" s="1650" t="s">
        <v>4188</v>
      </c>
      <c r="E51" s="1650" t="s">
        <v>4049</v>
      </c>
      <c r="F51" s="1650" t="s">
        <v>4284</v>
      </c>
      <c r="G51" s="1651">
        <v>90.0</v>
      </c>
      <c r="H51" s="1652" t="s">
        <v>4255</v>
      </c>
      <c r="I51" s="1653" t="s">
        <v>492</v>
      </c>
      <c r="J51" s="1654" t="s">
        <v>2091</v>
      </c>
      <c r="K51" s="1650" t="s">
        <v>4285</v>
      </c>
      <c r="L51" s="1654" t="s">
        <v>4286</v>
      </c>
      <c r="M51" s="1648" t="s">
        <v>4054</v>
      </c>
      <c r="N51" s="1650" t="s">
        <v>4055</v>
      </c>
      <c r="O51" s="1618"/>
      <c r="P51" s="1618"/>
    </row>
    <row r="52" ht="27.75" customHeight="1">
      <c r="A52" s="1655">
        <v>47.0</v>
      </c>
      <c r="B52" s="1656">
        <v>15.0</v>
      </c>
      <c r="C52" s="1657" t="s">
        <v>4287</v>
      </c>
      <c r="D52" s="1658" t="s">
        <v>4288</v>
      </c>
      <c r="E52" s="1658" t="s">
        <v>4049</v>
      </c>
      <c r="F52" s="1658" t="s">
        <v>4289</v>
      </c>
      <c r="G52" s="1659">
        <v>89.0</v>
      </c>
      <c r="H52" s="1660" t="s">
        <v>4255</v>
      </c>
      <c r="I52" s="1661" t="s">
        <v>492</v>
      </c>
      <c r="J52" s="1662" t="s">
        <v>2091</v>
      </c>
      <c r="K52" s="1658" t="s">
        <v>4290</v>
      </c>
      <c r="L52" s="1662" t="s">
        <v>4291</v>
      </c>
      <c r="M52" s="1656" t="s">
        <v>4054</v>
      </c>
      <c r="N52" s="1658" t="s">
        <v>4055</v>
      </c>
      <c r="O52" s="1618"/>
      <c r="P52" s="1618"/>
    </row>
    <row r="53" ht="27.75" customHeight="1">
      <c r="A53" s="1647">
        <v>48.0</v>
      </c>
      <c r="B53" s="1648">
        <v>18.0</v>
      </c>
      <c r="C53" s="1649" t="s">
        <v>4292</v>
      </c>
      <c r="D53" s="1650" t="s">
        <v>4293</v>
      </c>
      <c r="E53" s="1650" t="s">
        <v>4049</v>
      </c>
      <c r="F53" s="1650" t="s">
        <v>4294</v>
      </c>
      <c r="G53" s="1651">
        <v>89.0</v>
      </c>
      <c r="H53" s="1652" t="s">
        <v>4255</v>
      </c>
      <c r="I53" s="1653" t="s">
        <v>492</v>
      </c>
      <c r="J53" s="1654" t="s">
        <v>2091</v>
      </c>
      <c r="K53" s="1650" t="s">
        <v>4295</v>
      </c>
      <c r="L53" s="1654" t="s">
        <v>4296</v>
      </c>
      <c r="M53" s="1648" t="s">
        <v>4054</v>
      </c>
      <c r="N53" s="1650" t="s">
        <v>4055</v>
      </c>
      <c r="O53" s="1618"/>
      <c r="P53" s="1618"/>
    </row>
    <row r="54" ht="27.75" customHeight="1">
      <c r="A54" s="1655">
        <v>49.0</v>
      </c>
      <c r="B54" s="1656">
        <v>19.0</v>
      </c>
      <c r="C54" s="1657" t="s">
        <v>4297</v>
      </c>
      <c r="D54" s="1658" t="s">
        <v>4298</v>
      </c>
      <c r="E54" s="1658" t="s">
        <v>4049</v>
      </c>
      <c r="F54" s="1658" t="s">
        <v>4184</v>
      </c>
      <c r="G54" s="1659">
        <v>89.0</v>
      </c>
      <c r="H54" s="1660" t="s">
        <v>4255</v>
      </c>
      <c r="I54" s="1661" t="s">
        <v>492</v>
      </c>
      <c r="J54" s="1662" t="s">
        <v>2091</v>
      </c>
      <c r="K54" s="1658" t="s">
        <v>4299</v>
      </c>
      <c r="L54" s="1662" t="s">
        <v>4300</v>
      </c>
      <c r="M54" s="1656" t="s">
        <v>4054</v>
      </c>
      <c r="N54" s="1658" t="s">
        <v>4055</v>
      </c>
      <c r="O54" s="1618"/>
      <c r="P54" s="1618"/>
    </row>
    <row r="55" ht="27.75" customHeight="1">
      <c r="A55" s="1647">
        <v>50.0</v>
      </c>
      <c r="B55" s="1648">
        <v>33.0</v>
      </c>
      <c r="C55" s="1649" t="s">
        <v>4301</v>
      </c>
      <c r="D55" s="1650" t="s">
        <v>4302</v>
      </c>
      <c r="E55" s="1650" t="s">
        <v>4102</v>
      </c>
      <c r="F55" s="1650" t="s">
        <v>4303</v>
      </c>
      <c r="G55" s="1651">
        <v>88.0</v>
      </c>
      <c r="H55" s="1652" t="s">
        <v>4255</v>
      </c>
      <c r="I55" s="1653" t="s">
        <v>492</v>
      </c>
      <c r="J55" s="1654" t="s">
        <v>2091</v>
      </c>
      <c r="K55" s="1650" t="s">
        <v>4304</v>
      </c>
      <c r="L55" s="1654" t="s">
        <v>4305</v>
      </c>
      <c r="M55" s="1648" t="s">
        <v>4054</v>
      </c>
      <c r="N55" s="1650" t="s">
        <v>4055</v>
      </c>
      <c r="O55" s="1618"/>
      <c r="P55" s="1618"/>
    </row>
    <row r="56" ht="27.75" customHeight="1">
      <c r="A56" s="1655">
        <v>51.0</v>
      </c>
      <c r="B56" s="1656">
        <v>34.0</v>
      </c>
      <c r="C56" s="1657" t="s">
        <v>4306</v>
      </c>
      <c r="D56" s="1658" t="s">
        <v>4307</v>
      </c>
      <c r="E56" s="1658" t="s">
        <v>4102</v>
      </c>
      <c r="F56" s="1658" t="s">
        <v>4308</v>
      </c>
      <c r="G56" s="1659">
        <v>88.0</v>
      </c>
      <c r="H56" s="1660" t="s">
        <v>4255</v>
      </c>
      <c r="I56" s="1661" t="s">
        <v>492</v>
      </c>
      <c r="J56" s="1662" t="s">
        <v>2091</v>
      </c>
      <c r="K56" s="1658" t="s">
        <v>4309</v>
      </c>
      <c r="L56" s="1662" t="s">
        <v>4310</v>
      </c>
      <c r="M56" s="1656" t="s">
        <v>4054</v>
      </c>
      <c r="N56" s="1658" t="s">
        <v>4055</v>
      </c>
      <c r="O56" s="1618"/>
      <c r="P56" s="1618"/>
    </row>
    <row r="57" ht="27.75" customHeight="1">
      <c r="A57" s="1647">
        <v>52.0</v>
      </c>
      <c r="B57" s="1648">
        <v>35.0</v>
      </c>
      <c r="C57" s="1649" t="s">
        <v>4311</v>
      </c>
      <c r="D57" s="1650" t="s">
        <v>4312</v>
      </c>
      <c r="E57" s="1650" t="s">
        <v>4102</v>
      </c>
      <c r="F57" s="1650" t="s">
        <v>4313</v>
      </c>
      <c r="G57" s="1651">
        <v>88.0</v>
      </c>
      <c r="H57" s="1652" t="s">
        <v>4255</v>
      </c>
      <c r="I57" s="1653" t="s">
        <v>492</v>
      </c>
      <c r="J57" s="1654" t="s">
        <v>2091</v>
      </c>
      <c r="K57" s="1650" t="s">
        <v>4314</v>
      </c>
      <c r="L57" s="1654" t="s">
        <v>4315</v>
      </c>
      <c r="M57" s="1648" t="s">
        <v>4054</v>
      </c>
      <c r="N57" s="1650" t="s">
        <v>4055</v>
      </c>
      <c r="O57" s="1618"/>
      <c r="P57" s="1618"/>
    </row>
    <row r="58" ht="27.75" customHeight="1">
      <c r="A58" s="1655">
        <v>53.0</v>
      </c>
      <c r="B58" s="1656">
        <v>40.0</v>
      </c>
      <c r="C58" s="1657" t="s">
        <v>4316</v>
      </c>
      <c r="D58" s="1658" t="s">
        <v>4317</v>
      </c>
      <c r="E58" s="1658" t="s">
        <v>4102</v>
      </c>
      <c r="F58" s="1658" t="s">
        <v>4318</v>
      </c>
      <c r="G58" s="1659">
        <v>88.0</v>
      </c>
      <c r="H58" s="1660" t="s">
        <v>4255</v>
      </c>
      <c r="I58" s="1661" t="s">
        <v>492</v>
      </c>
      <c r="J58" s="1662" t="s">
        <v>2091</v>
      </c>
      <c r="K58" s="1658" t="s">
        <v>4319</v>
      </c>
      <c r="L58" s="1662" t="s">
        <v>4320</v>
      </c>
      <c r="M58" s="1656" t="s">
        <v>4054</v>
      </c>
      <c r="N58" s="1658" t="s">
        <v>4055</v>
      </c>
      <c r="O58" s="1618"/>
      <c r="P58" s="1618"/>
    </row>
    <row r="59" ht="27.75" customHeight="1">
      <c r="A59" s="1647">
        <v>54.0</v>
      </c>
      <c r="B59" s="1648">
        <v>85.0</v>
      </c>
      <c r="C59" s="1649" t="s">
        <v>4321</v>
      </c>
      <c r="D59" s="1650" t="s">
        <v>4322</v>
      </c>
      <c r="E59" s="1650" t="s">
        <v>4058</v>
      </c>
      <c r="F59" s="1650" t="s">
        <v>4323</v>
      </c>
      <c r="G59" s="1651">
        <v>88.0</v>
      </c>
      <c r="H59" s="1652" t="s">
        <v>4255</v>
      </c>
      <c r="I59" s="1663" t="s">
        <v>1810</v>
      </c>
      <c r="J59" s="1654" t="s">
        <v>2086</v>
      </c>
      <c r="K59" s="1650" t="s">
        <v>4324</v>
      </c>
      <c r="L59" s="1654" t="s">
        <v>4325</v>
      </c>
      <c r="M59" s="1648" t="s">
        <v>4054</v>
      </c>
      <c r="N59" s="1650" t="s">
        <v>4055</v>
      </c>
      <c r="O59" s="1618"/>
      <c r="P59" s="1618"/>
    </row>
    <row r="60" ht="27.75" customHeight="1">
      <c r="A60" s="1655">
        <v>55.0</v>
      </c>
      <c r="B60" s="1656">
        <v>111.0</v>
      </c>
      <c r="C60" s="1657" t="s">
        <v>4321</v>
      </c>
      <c r="D60" s="1658" t="s">
        <v>4322</v>
      </c>
      <c r="E60" s="1658" t="s">
        <v>4249</v>
      </c>
      <c r="F60" s="1658" t="s">
        <v>4326</v>
      </c>
      <c r="G60" s="1659">
        <v>88.0</v>
      </c>
      <c r="H60" s="1660" t="s">
        <v>4255</v>
      </c>
      <c r="I60" s="1661" t="s">
        <v>492</v>
      </c>
      <c r="J60" s="1662" t="s">
        <v>4073</v>
      </c>
      <c r="K60" s="1658" t="s">
        <v>4327</v>
      </c>
      <c r="L60" s="1662" t="s">
        <v>4328</v>
      </c>
      <c r="M60" s="1656" t="s">
        <v>4054</v>
      </c>
      <c r="N60" s="1658" t="s">
        <v>4055</v>
      </c>
      <c r="O60" s="1618"/>
      <c r="P60" s="1618"/>
    </row>
    <row r="61" ht="27.75" customHeight="1">
      <c r="A61" s="1647">
        <v>56.0</v>
      </c>
      <c r="B61" s="1648">
        <v>195.0</v>
      </c>
      <c r="C61" s="1649" t="s">
        <v>4329</v>
      </c>
      <c r="D61" s="1650" t="s">
        <v>4330</v>
      </c>
      <c r="E61" s="1650" t="s">
        <v>4147</v>
      </c>
      <c r="F61" s="1650" t="s">
        <v>4331</v>
      </c>
      <c r="G61" s="1651">
        <v>88.0</v>
      </c>
      <c r="H61" s="1652" t="s">
        <v>4255</v>
      </c>
      <c r="I61" s="1653" t="s">
        <v>492</v>
      </c>
      <c r="J61" s="1654" t="s">
        <v>4073</v>
      </c>
      <c r="K61" s="1650" t="s">
        <v>4332</v>
      </c>
      <c r="L61" s="1654" t="s">
        <v>4333</v>
      </c>
      <c r="M61" s="1648" t="s">
        <v>4054</v>
      </c>
      <c r="N61" s="1650" t="s">
        <v>4055</v>
      </c>
      <c r="O61" s="1618"/>
      <c r="P61" s="1618"/>
    </row>
    <row r="62" ht="27.75" customHeight="1">
      <c r="A62" s="1655">
        <v>57.0</v>
      </c>
      <c r="B62" s="1656">
        <v>166.0</v>
      </c>
      <c r="C62" s="1657" t="s">
        <v>4334</v>
      </c>
      <c r="D62" s="1658" t="s">
        <v>4335</v>
      </c>
      <c r="E62" s="1658" t="s">
        <v>4253</v>
      </c>
      <c r="F62" s="1658" t="s">
        <v>4336</v>
      </c>
      <c r="G62" s="1659">
        <v>87.0</v>
      </c>
      <c r="H62" s="1660" t="s">
        <v>4255</v>
      </c>
      <c r="I62" s="1664" t="s">
        <v>4097</v>
      </c>
      <c r="J62" s="1662" t="s">
        <v>4073</v>
      </c>
      <c r="K62" s="1658" t="s">
        <v>4337</v>
      </c>
      <c r="L62" s="1662" t="s">
        <v>4338</v>
      </c>
      <c r="M62" s="1656" t="s">
        <v>4054</v>
      </c>
      <c r="N62" s="1658" t="s">
        <v>4055</v>
      </c>
      <c r="O62" s="1618"/>
      <c r="P62" s="1618"/>
    </row>
    <row r="63" ht="27.75" customHeight="1">
      <c r="A63" s="1647">
        <v>58.0</v>
      </c>
      <c r="B63" s="1648">
        <v>4.0</v>
      </c>
      <c r="C63" s="1649" t="s">
        <v>4339</v>
      </c>
      <c r="D63" s="1650" t="s">
        <v>4340</v>
      </c>
      <c r="E63" s="1650" t="s">
        <v>4049</v>
      </c>
      <c r="F63" s="1650" t="s">
        <v>4235</v>
      </c>
      <c r="G63" s="1651">
        <v>85.0</v>
      </c>
      <c r="H63" s="1652" t="s">
        <v>4255</v>
      </c>
      <c r="I63" s="1653" t="s">
        <v>4341</v>
      </c>
      <c r="J63" s="1654" t="s">
        <v>2091</v>
      </c>
      <c r="K63" s="1650" t="s">
        <v>4342</v>
      </c>
      <c r="L63" s="1654" t="s">
        <v>4343</v>
      </c>
      <c r="M63" s="1648" t="s">
        <v>4054</v>
      </c>
      <c r="N63" s="1650" t="s">
        <v>4055</v>
      </c>
      <c r="O63" s="1618"/>
      <c r="P63" s="1618"/>
    </row>
    <row r="64" ht="27.75" customHeight="1">
      <c r="A64" s="1655">
        <v>59.0</v>
      </c>
      <c r="B64" s="1656">
        <v>6.0</v>
      </c>
      <c r="C64" s="1657" t="s">
        <v>4344</v>
      </c>
      <c r="D64" s="1658" t="s">
        <v>4345</v>
      </c>
      <c r="E64" s="1658" t="s">
        <v>4049</v>
      </c>
      <c r="F64" s="1658" t="s">
        <v>4346</v>
      </c>
      <c r="G64" s="1659">
        <v>85.0</v>
      </c>
      <c r="H64" s="1660" t="s">
        <v>4255</v>
      </c>
      <c r="I64" s="1664" t="s">
        <v>4097</v>
      </c>
      <c r="J64" s="1662" t="s">
        <v>2086</v>
      </c>
      <c r="K64" s="1658" t="s">
        <v>4347</v>
      </c>
      <c r="L64" s="1662" t="s">
        <v>4348</v>
      </c>
      <c r="M64" s="1656" t="s">
        <v>4054</v>
      </c>
      <c r="N64" s="1658" t="s">
        <v>4055</v>
      </c>
      <c r="O64" s="1618"/>
      <c r="P64" s="1618"/>
    </row>
    <row r="65" ht="27.75" customHeight="1">
      <c r="A65" s="1647">
        <v>60.0</v>
      </c>
      <c r="B65" s="1648">
        <v>14.0</v>
      </c>
      <c r="C65" s="1649" t="s">
        <v>4349</v>
      </c>
      <c r="D65" s="1650" t="s">
        <v>4350</v>
      </c>
      <c r="E65" s="1650" t="s">
        <v>4049</v>
      </c>
      <c r="F65" s="1650" t="s">
        <v>4351</v>
      </c>
      <c r="G65" s="1651">
        <v>85.0</v>
      </c>
      <c r="H65" s="1652" t="s">
        <v>4255</v>
      </c>
      <c r="I65" s="1663" t="s">
        <v>4097</v>
      </c>
      <c r="J65" s="1654" t="s">
        <v>2086</v>
      </c>
      <c r="K65" s="1650" t="s">
        <v>4352</v>
      </c>
      <c r="L65" s="1654" t="s">
        <v>4353</v>
      </c>
      <c r="M65" s="1648" t="s">
        <v>4054</v>
      </c>
      <c r="N65" s="1650" t="s">
        <v>4055</v>
      </c>
      <c r="O65" s="1618"/>
      <c r="P65" s="1618"/>
    </row>
    <row r="66" ht="27.75" customHeight="1">
      <c r="A66" s="1655">
        <v>61.0</v>
      </c>
      <c r="B66" s="1656">
        <v>48.0</v>
      </c>
      <c r="C66" s="1657" t="s">
        <v>4354</v>
      </c>
      <c r="D66" s="1658" t="s">
        <v>4355</v>
      </c>
      <c r="E66" s="1658" t="s">
        <v>4133</v>
      </c>
      <c r="F66" s="1658" t="s">
        <v>4356</v>
      </c>
      <c r="G66" s="1659">
        <v>85.0</v>
      </c>
      <c r="H66" s="1660" t="s">
        <v>4255</v>
      </c>
      <c r="I66" s="1661" t="s">
        <v>492</v>
      </c>
      <c r="J66" s="1662" t="s">
        <v>2091</v>
      </c>
      <c r="K66" s="1658" t="s">
        <v>4357</v>
      </c>
      <c r="L66" s="1662" t="s">
        <v>4358</v>
      </c>
      <c r="M66" s="1656" t="s">
        <v>4054</v>
      </c>
      <c r="N66" s="1658" t="s">
        <v>4055</v>
      </c>
      <c r="O66" s="1618"/>
      <c r="P66" s="1618"/>
    </row>
    <row r="67" ht="27.75" customHeight="1">
      <c r="A67" s="1647">
        <v>62.0</v>
      </c>
      <c r="B67" s="1648">
        <v>51.0</v>
      </c>
      <c r="C67" s="1649" t="s">
        <v>4359</v>
      </c>
      <c r="D67" s="1650" t="s">
        <v>4360</v>
      </c>
      <c r="E67" s="1650" t="s">
        <v>4133</v>
      </c>
      <c r="F67" s="1650" t="s">
        <v>4361</v>
      </c>
      <c r="G67" s="1651">
        <v>85.0</v>
      </c>
      <c r="H67" s="1652" t="s">
        <v>4255</v>
      </c>
      <c r="I67" s="1653" t="s">
        <v>492</v>
      </c>
      <c r="J67" s="1654" t="s">
        <v>2091</v>
      </c>
      <c r="K67" s="1650" t="s">
        <v>4362</v>
      </c>
      <c r="L67" s="1654" t="s">
        <v>4363</v>
      </c>
      <c r="M67" s="1648" t="s">
        <v>4054</v>
      </c>
      <c r="N67" s="1650" t="s">
        <v>4055</v>
      </c>
      <c r="O67" s="1618"/>
      <c r="P67" s="1618"/>
    </row>
    <row r="68" ht="27.75" customHeight="1">
      <c r="A68" s="1655">
        <v>63.0</v>
      </c>
      <c r="B68" s="1656">
        <v>54.0</v>
      </c>
      <c r="C68" s="1657" t="s">
        <v>4364</v>
      </c>
      <c r="D68" s="1658" t="s">
        <v>4365</v>
      </c>
      <c r="E68" s="1658" t="s">
        <v>4133</v>
      </c>
      <c r="F68" s="1658" t="s">
        <v>344</v>
      </c>
      <c r="G68" s="1659">
        <v>85.0</v>
      </c>
      <c r="H68" s="1660" t="s">
        <v>4255</v>
      </c>
      <c r="I68" s="1661" t="s">
        <v>492</v>
      </c>
      <c r="J68" s="1662" t="s">
        <v>2091</v>
      </c>
      <c r="K68" s="1658" t="s">
        <v>4366</v>
      </c>
      <c r="L68" s="1662" t="s">
        <v>4367</v>
      </c>
      <c r="M68" s="1656" t="s">
        <v>4054</v>
      </c>
      <c r="N68" s="1658" t="s">
        <v>4055</v>
      </c>
      <c r="O68" s="1618"/>
      <c r="P68" s="1618"/>
    </row>
    <row r="69" ht="27.75" customHeight="1">
      <c r="A69" s="1647">
        <v>64.0</v>
      </c>
      <c r="B69" s="1648">
        <v>55.0</v>
      </c>
      <c r="C69" s="1649" t="s">
        <v>4368</v>
      </c>
      <c r="D69" s="1650" t="s">
        <v>4369</v>
      </c>
      <c r="E69" s="1650" t="s">
        <v>4133</v>
      </c>
      <c r="F69" s="1650" t="s">
        <v>4370</v>
      </c>
      <c r="G69" s="1651">
        <v>85.0</v>
      </c>
      <c r="H69" s="1652" t="s">
        <v>4255</v>
      </c>
      <c r="I69" s="1653" t="s">
        <v>492</v>
      </c>
      <c r="J69" s="1654" t="s">
        <v>2091</v>
      </c>
      <c r="K69" s="1650" t="s">
        <v>4371</v>
      </c>
      <c r="L69" s="1654" t="s">
        <v>4372</v>
      </c>
      <c r="M69" s="1648" t="s">
        <v>4054</v>
      </c>
      <c r="N69" s="1650" t="s">
        <v>4055</v>
      </c>
      <c r="O69" s="1618"/>
      <c r="P69" s="1618"/>
    </row>
    <row r="70" ht="27.75" customHeight="1">
      <c r="A70" s="1655">
        <v>65.0</v>
      </c>
      <c r="B70" s="1656">
        <v>59.0</v>
      </c>
      <c r="C70" s="1657" t="s">
        <v>4373</v>
      </c>
      <c r="D70" s="1658" t="s">
        <v>4374</v>
      </c>
      <c r="E70" s="1658" t="s">
        <v>4133</v>
      </c>
      <c r="F70" s="1658" t="s">
        <v>4375</v>
      </c>
      <c r="G70" s="1659">
        <v>85.0</v>
      </c>
      <c r="H70" s="1660" t="s">
        <v>4255</v>
      </c>
      <c r="I70" s="1661" t="s">
        <v>492</v>
      </c>
      <c r="J70" s="1662" t="s">
        <v>2091</v>
      </c>
      <c r="K70" s="1658" t="s">
        <v>4376</v>
      </c>
      <c r="L70" s="1662" t="s">
        <v>4377</v>
      </c>
      <c r="M70" s="1656" t="s">
        <v>4054</v>
      </c>
      <c r="N70" s="1658" t="s">
        <v>4055</v>
      </c>
      <c r="O70" s="1618"/>
      <c r="P70" s="1618"/>
    </row>
    <row r="71" ht="27.75" customHeight="1">
      <c r="A71" s="1647">
        <v>66.0</v>
      </c>
      <c r="B71" s="1648">
        <v>167.0</v>
      </c>
      <c r="C71" s="1649" t="s">
        <v>4378</v>
      </c>
      <c r="D71" s="1650" t="s">
        <v>4202</v>
      </c>
      <c r="E71" s="1650" t="s">
        <v>4253</v>
      </c>
      <c r="F71" s="1650" t="s">
        <v>4379</v>
      </c>
      <c r="G71" s="1651">
        <v>85.0</v>
      </c>
      <c r="H71" s="1652" t="s">
        <v>4255</v>
      </c>
      <c r="I71" s="1663" t="s">
        <v>4097</v>
      </c>
      <c r="J71" s="1654" t="s">
        <v>4073</v>
      </c>
      <c r="K71" s="1650" t="s">
        <v>4380</v>
      </c>
      <c r="L71" s="1654" t="s">
        <v>4381</v>
      </c>
      <c r="M71" s="1648" t="s">
        <v>4054</v>
      </c>
      <c r="N71" s="1650" t="s">
        <v>4055</v>
      </c>
      <c r="O71" s="1618"/>
      <c r="P71" s="1618"/>
    </row>
    <row r="72" ht="27.75" customHeight="1">
      <c r="A72" s="1665">
        <v>67.0</v>
      </c>
      <c r="B72" s="1666">
        <v>16.0</v>
      </c>
      <c r="C72" s="1667" t="s">
        <v>151</v>
      </c>
      <c r="D72" s="1668" t="s">
        <v>152</v>
      </c>
      <c r="E72" s="1668" t="s">
        <v>4049</v>
      </c>
      <c r="F72" s="1668" t="s">
        <v>4382</v>
      </c>
      <c r="G72" s="1669">
        <v>84.0</v>
      </c>
      <c r="H72" s="1670" t="s">
        <v>4383</v>
      </c>
      <c r="I72" s="1670" t="s">
        <v>4097</v>
      </c>
      <c r="J72" s="1671" t="s">
        <v>2086</v>
      </c>
      <c r="K72" s="1668" t="s">
        <v>4384</v>
      </c>
      <c r="L72" s="1671" t="s">
        <v>4385</v>
      </c>
      <c r="M72" s="1666" t="s">
        <v>4054</v>
      </c>
      <c r="N72" s="1668" t="s">
        <v>4055</v>
      </c>
      <c r="O72" s="1618"/>
      <c r="P72" s="1618"/>
    </row>
    <row r="73" ht="27.75" customHeight="1">
      <c r="A73" s="1672">
        <v>68.0</v>
      </c>
      <c r="B73" s="1673">
        <v>20.0</v>
      </c>
      <c r="C73" s="1674" t="s">
        <v>4386</v>
      </c>
      <c r="D73" s="1675" t="s">
        <v>4387</v>
      </c>
      <c r="E73" s="1675" t="s">
        <v>4049</v>
      </c>
      <c r="F73" s="1675" t="s">
        <v>4388</v>
      </c>
      <c r="G73" s="1676">
        <v>84.0</v>
      </c>
      <c r="H73" s="1677" t="s">
        <v>4383</v>
      </c>
      <c r="I73" s="1678" t="s">
        <v>4389</v>
      </c>
      <c r="J73" s="1679" t="s">
        <v>2091</v>
      </c>
      <c r="K73" s="1675" t="s">
        <v>4390</v>
      </c>
      <c r="L73" s="1679" t="s">
        <v>4391</v>
      </c>
      <c r="M73" s="1673" t="s">
        <v>4054</v>
      </c>
      <c r="N73" s="1675" t="s">
        <v>4055</v>
      </c>
      <c r="O73" s="1618"/>
      <c r="P73" s="1618"/>
    </row>
    <row r="74" ht="27.75" customHeight="1">
      <c r="A74" s="1665">
        <v>69.0</v>
      </c>
      <c r="B74" s="1666">
        <v>23.0</v>
      </c>
      <c r="C74" s="1667" t="s">
        <v>4392</v>
      </c>
      <c r="D74" s="1668" t="s">
        <v>4393</v>
      </c>
      <c r="E74" s="1668" t="s">
        <v>4102</v>
      </c>
      <c r="F74" s="1668" t="s">
        <v>4153</v>
      </c>
      <c r="G74" s="1669">
        <v>84.0</v>
      </c>
      <c r="H74" s="1670" t="s">
        <v>4383</v>
      </c>
      <c r="I74" s="1670" t="s">
        <v>4097</v>
      </c>
      <c r="J74" s="1671" t="s">
        <v>2086</v>
      </c>
      <c r="K74" s="1668" t="s">
        <v>4394</v>
      </c>
      <c r="L74" s="1671" t="s">
        <v>4395</v>
      </c>
      <c r="M74" s="1666" t="s">
        <v>4054</v>
      </c>
      <c r="N74" s="1668" t="s">
        <v>4055</v>
      </c>
      <c r="O74" s="1618"/>
      <c r="P74" s="1618"/>
    </row>
    <row r="75" ht="27.75" customHeight="1">
      <c r="A75" s="1672">
        <v>70.0</v>
      </c>
      <c r="B75" s="1673">
        <v>24.0</v>
      </c>
      <c r="C75" s="1674" t="s">
        <v>4396</v>
      </c>
      <c r="D75" s="1675" t="s">
        <v>4397</v>
      </c>
      <c r="E75" s="1675" t="s">
        <v>4102</v>
      </c>
      <c r="F75" s="1675" t="s">
        <v>4153</v>
      </c>
      <c r="G75" s="1676">
        <v>84.0</v>
      </c>
      <c r="H75" s="1677" t="s">
        <v>4383</v>
      </c>
      <c r="I75" s="1677" t="s">
        <v>4097</v>
      </c>
      <c r="J75" s="1679" t="s">
        <v>2086</v>
      </c>
      <c r="K75" s="1675" t="s">
        <v>4398</v>
      </c>
      <c r="L75" s="1679" t="s">
        <v>4399</v>
      </c>
      <c r="M75" s="1673" t="s">
        <v>4054</v>
      </c>
      <c r="N75" s="1675" t="s">
        <v>4055</v>
      </c>
      <c r="O75" s="1618"/>
      <c r="P75" s="1618"/>
    </row>
    <row r="76" ht="27.75" customHeight="1">
      <c r="A76" s="1665">
        <v>71.0</v>
      </c>
      <c r="B76" s="1666">
        <v>25.0</v>
      </c>
      <c r="C76" s="1667" t="s">
        <v>155</v>
      </c>
      <c r="D76" s="1668" t="s">
        <v>157</v>
      </c>
      <c r="E76" s="1668" t="s">
        <v>4102</v>
      </c>
      <c r="F76" s="1668" t="s">
        <v>4153</v>
      </c>
      <c r="G76" s="1669">
        <v>84.0</v>
      </c>
      <c r="H76" s="1670" t="s">
        <v>4383</v>
      </c>
      <c r="I76" s="1670" t="s">
        <v>4097</v>
      </c>
      <c r="J76" s="1671" t="s">
        <v>2086</v>
      </c>
      <c r="K76" s="1668" t="s">
        <v>4400</v>
      </c>
      <c r="L76" s="1671" t="s">
        <v>4401</v>
      </c>
      <c r="M76" s="1666" t="s">
        <v>4054</v>
      </c>
      <c r="N76" s="1668" t="s">
        <v>4055</v>
      </c>
      <c r="O76" s="1618"/>
      <c r="P76" s="1618"/>
    </row>
    <row r="77" ht="27.75" customHeight="1">
      <c r="A77" s="1672">
        <v>72.0</v>
      </c>
      <c r="B77" s="1673">
        <v>26.0</v>
      </c>
      <c r="C77" s="1674" t="s">
        <v>4402</v>
      </c>
      <c r="D77" s="1675" t="s">
        <v>4403</v>
      </c>
      <c r="E77" s="1675" t="s">
        <v>4102</v>
      </c>
      <c r="F77" s="1675" t="s">
        <v>4404</v>
      </c>
      <c r="G77" s="1676">
        <v>84.0</v>
      </c>
      <c r="H77" s="1677" t="s">
        <v>4383</v>
      </c>
      <c r="I77" s="1677" t="s">
        <v>4097</v>
      </c>
      <c r="J77" s="1679" t="s">
        <v>2086</v>
      </c>
      <c r="K77" s="1675" t="s">
        <v>4405</v>
      </c>
      <c r="L77" s="1679" t="s">
        <v>4406</v>
      </c>
      <c r="M77" s="1673" t="s">
        <v>4054</v>
      </c>
      <c r="N77" s="1675" t="s">
        <v>4055</v>
      </c>
      <c r="O77" s="1618"/>
      <c r="P77" s="1618"/>
    </row>
    <row r="78" ht="27.75" customHeight="1">
      <c r="A78" s="1665">
        <v>73.0</v>
      </c>
      <c r="B78" s="1666">
        <v>60.0</v>
      </c>
      <c r="C78" s="1667" t="s">
        <v>4407</v>
      </c>
      <c r="D78" s="1668" t="s">
        <v>4408</v>
      </c>
      <c r="E78" s="1668" t="s">
        <v>4133</v>
      </c>
      <c r="F78" s="1668" t="s">
        <v>4409</v>
      </c>
      <c r="G78" s="1669">
        <v>84.0</v>
      </c>
      <c r="H78" s="1670" t="s">
        <v>4383</v>
      </c>
      <c r="I78" s="1680" t="s">
        <v>492</v>
      </c>
      <c r="J78" s="1671" t="s">
        <v>2091</v>
      </c>
      <c r="K78" s="1668" t="s">
        <v>4410</v>
      </c>
      <c r="L78" s="1671" t="s">
        <v>4411</v>
      </c>
      <c r="M78" s="1666" t="s">
        <v>4054</v>
      </c>
      <c r="N78" s="1668" t="s">
        <v>4055</v>
      </c>
      <c r="O78" s="1618"/>
      <c r="P78" s="1618"/>
    </row>
    <row r="79" ht="27.75" customHeight="1">
      <c r="A79" s="1672">
        <v>74.0</v>
      </c>
      <c r="B79" s="1673">
        <v>97.0</v>
      </c>
      <c r="C79" s="1674" t="s">
        <v>4412</v>
      </c>
      <c r="D79" s="1675" t="s">
        <v>4413</v>
      </c>
      <c r="E79" s="1675" t="s">
        <v>4225</v>
      </c>
      <c r="F79" s="1675" t="s">
        <v>4414</v>
      </c>
      <c r="G79" s="1676">
        <v>84.0</v>
      </c>
      <c r="H79" s="1677" t="s">
        <v>4383</v>
      </c>
      <c r="I79" s="1677" t="s">
        <v>4097</v>
      </c>
      <c r="J79" s="1679" t="s">
        <v>2086</v>
      </c>
      <c r="K79" s="1675" t="s">
        <v>4415</v>
      </c>
      <c r="L79" s="1679" t="s">
        <v>4416</v>
      </c>
      <c r="M79" s="1673" t="s">
        <v>4054</v>
      </c>
      <c r="N79" s="1675" t="s">
        <v>4055</v>
      </c>
      <c r="O79" s="1618"/>
      <c r="P79" s="1618"/>
    </row>
    <row r="80" ht="27.75" customHeight="1">
      <c r="A80" s="1665">
        <v>75.0</v>
      </c>
      <c r="B80" s="1666">
        <v>41.0</v>
      </c>
      <c r="C80" s="1667" t="s">
        <v>4417</v>
      </c>
      <c r="D80" s="1668" t="s">
        <v>4418</v>
      </c>
      <c r="E80" s="1668" t="s">
        <v>4102</v>
      </c>
      <c r="F80" s="1668" t="s">
        <v>4153</v>
      </c>
      <c r="G80" s="1669">
        <v>83.0</v>
      </c>
      <c r="H80" s="1670" t="s">
        <v>4383</v>
      </c>
      <c r="I80" s="1670" t="s">
        <v>4097</v>
      </c>
      <c r="J80" s="1671" t="s">
        <v>2086</v>
      </c>
      <c r="K80" s="1668" t="s">
        <v>4419</v>
      </c>
      <c r="L80" s="1671" t="s">
        <v>4420</v>
      </c>
      <c r="M80" s="1666" t="s">
        <v>4054</v>
      </c>
      <c r="N80" s="1668" t="s">
        <v>4055</v>
      </c>
      <c r="O80" s="1618"/>
      <c r="P80" s="1618"/>
    </row>
    <row r="81" ht="27.75" customHeight="1">
      <c r="A81" s="1672">
        <v>76.0</v>
      </c>
      <c r="B81" s="1673">
        <v>42.0</v>
      </c>
      <c r="C81" s="1674" t="s">
        <v>4421</v>
      </c>
      <c r="D81" s="1675"/>
      <c r="E81" s="1675" t="s">
        <v>4102</v>
      </c>
      <c r="F81" s="1675" t="s">
        <v>4422</v>
      </c>
      <c r="G81" s="1676">
        <v>83.0</v>
      </c>
      <c r="H81" s="1677" t="s">
        <v>4383</v>
      </c>
      <c r="I81" s="1677" t="s">
        <v>4423</v>
      </c>
      <c r="J81" s="1679" t="s">
        <v>2086</v>
      </c>
      <c r="K81" s="1675" t="s">
        <v>4424</v>
      </c>
      <c r="L81" s="1679" t="s">
        <v>4425</v>
      </c>
      <c r="M81" s="1673" t="s">
        <v>4054</v>
      </c>
      <c r="N81" s="1675" t="s">
        <v>4055</v>
      </c>
      <c r="O81" s="1618"/>
      <c r="P81" s="1618"/>
    </row>
    <row r="82" ht="27.75" customHeight="1">
      <c r="A82" s="1665">
        <v>77.0</v>
      </c>
      <c r="B82" s="1666">
        <v>43.0</v>
      </c>
      <c r="C82" s="1667" t="s">
        <v>4426</v>
      </c>
      <c r="D82" s="1668" t="s">
        <v>4427</v>
      </c>
      <c r="E82" s="1668" t="s">
        <v>4102</v>
      </c>
      <c r="F82" s="1668" t="s">
        <v>4153</v>
      </c>
      <c r="G82" s="1669">
        <v>83.0</v>
      </c>
      <c r="H82" s="1670" t="s">
        <v>4383</v>
      </c>
      <c r="I82" s="1670" t="s">
        <v>4428</v>
      </c>
      <c r="J82" s="1671" t="s">
        <v>2086</v>
      </c>
      <c r="K82" s="1668" t="s">
        <v>4429</v>
      </c>
      <c r="L82" s="1671" t="s">
        <v>4430</v>
      </c>
      <c r="M82" s="1666" t="s">
        <v>4054</v>
      </c>
      <c r="N82" s="1668" t="s">
        <v>4055</v>
      </c>
      <c r="O82" s="1618"/>
      <c r="P82" s="1618"/>
    </row>
    <row r="83" ht="27.75" customHeight="1">
      <c r="A83" s="1672">
        <v>78.0</v>
      </c>
      <c r="B83" s="1673">
        <v>44.0</v>
      </c>
      <c r="C83" s="1674" t="s">
        <v>4431</v>
      </c>
      <c r="D83" s="1675" t="s">
        <v>4432</v>
      </c>
      <c r="E83" s="1675" t="s">
        <v>4102</v>
      </c>
      <c r="F83" s="1675" t="s">
        <v>4153</v>
      </c>
      <c r="G83" s="1676">
        <v>83.0</v>
      </c>
      <c r="H83" s="1677" t="s">
        <v>4383</v>
      </c>
      <c r="I83" s="1677" t="s">
        <v>4097</v>
      </c>
      <c r="J83" s="1679" t="s">
        <v>2086</v>
      </c>
      <c r="K83" s="1675" t="s">
        <v>4433</v>
      </c>
      <c r="L83" s="1679" t="s">
        <v>4434</v>
      </c>
      <c r="M83" s="1673" t="s">
        <v>4054</v>
      </c>
      <c r="N83" s="1675" t="s">
        <v>4055</v>
      </c>
      <c r="O83" s="1618"/>
      <c r="P83" s="1618"/>
    </row>
    <row r="84" ht="27.75" customHeight="1">
      <c r="A84" s="1665">
        <v>79.0</v>
      </c>
      <c r="B84" s="1666">
        <v>70.0</v>
      </c>
      <c r="C84" s="1667" t="s">
        <v>4435</v>
      </c>
      <c r="D84" s="1668" t="s">
        <v>4436</v>
      </c>
      <c r="E84" s="1668" t="s">
        <v>4198</v>
      </c>
      <c r="F84" s="1668" t="s">
        <v>4203</v>
      </c>
      <c r="G84" s="1669">
        <v>83.0</v>
      </c>
      <c r="H84" s="1670" t="s">
        <v>4383</v>
      </c>
      <c r="I84" s="1670" t="s">
        <v>4437</v>
      </c>
      <c r="J84" s="1671" t="s">
        <v>2086</v>
      </c>
      <c r="K84" s="1668" t="s">
        <v>4438</v>
      </c>
      <c r="L84" s="1671" t="s">
        <v>4439</v>
      </c>
      <c r="M84" s="1666" t="s">
        <v>4054</v>
      </c>
      <c r="N84" s="1668" t="s">
        <v>4055</v>
      </c>
      <c r="O84" s="1618"/>
      <c r="P84" s="1618"/>
    </row>
    <row r="85" ht="27.75" customHeight="1">
      <c r="A85" s="1672">
        <v>80.0</v>
      </c>
      <c r="B85" s="1673">
        <v>113.0</v>
      </c>
      <c r="C85" s="1674" t="s">
        <v>4440</v>
      </c>
      <c r="D85" s="1675" t="s">
        <v>4441</v>
      </c>
      <c r="E85" s="1675" t="s">
        <v>4249</v>
      </c>
      <c r="F85" s="1675" t="s">
        <v>4250</v>
      </c>
      <c r="G85" s="1676">
        <v>83.0</v>
      </c>
      <c r="H85" s="1677" t="s">
        <v>4383</v>
      </c>
      <c r="I85" s="1678" t="s">
        <v>492</v>
      </c>
      <c r="J85" s="1679" t="s">
        <v>4073</v>
      </c>
      <c r="K85" s="1675" t="s">
        <v>4442</v>
      </c>
      <c r="L85" s="1679" t="s">
        <v>4443</v>
      </c>
      <c r="M85" s="1673" t="s">
        <v>4054</v>
      </c>
      <c r="N85" s="1675" t="s">
        <v>4055</v>
      </c>
      <c r="O85" s="1618"/>
      <c r="P85" s="1618"/>
    </row>
    <row r="86" ht="27.75" customHeight="1">
      <c r="A86" s="1665">
        <v>81.0</v>
      </c>
      <c r="B86" s="1666">
        <v>179.0</v>
      </c>
      <c r="C86" s="1667" t="s">
        <v>4444</v>
      </c>
      <c r="D86" s="1668" t="s">
        <v>4445</v>
      </c>
      <c r="E86" s="1668" t="s">
        <v>4446</v>
      </c>
      <c r="F86" s="1668" t="s">
        <v>4447</v>
      </c>
      <c r="G86" s="1669">
        <v>83.0</v>
      </c>
      <c r="H86" s="1670" t="s">
        <v>4383</v>
      </c>
      <c r="I86" s="1680" t="s">
        <v>492</v>
      </c>
      <c r="J86" s="1671" t="s">
        <v>4073</v>
      </c>
      <c r="K86" s="1668" t="s">
        <v>4448</v>
      </c>
      <c r="L86" s="1671" t="s">
        <v>4449</v>
      </c>
      <c r="M86" s="1666" t="s">
        <v>4054</v>
      </c>
      <c r="N86" s="1668" t="s">
        <v>4055</v>
      </c>
      <c r="O86" s="1618"/>
      <c r="P86" s="1618"/>
    </row>
    <row r="87" ht="27.75" customHeight="1">
      <c r="A87" s="1672">
        <v>82.0</v>
      </c>
      <c r="B87" s="1673">
        <v>71.0</v>
      </c>
      <c r="C87" s="1674" t="s">
        <v>4450</v>
      </c>
      <c r="D87" s="1675" t="s">
        <v>4451</v>
      </c>
      <c r="E87" s="1675" t="s">
        <v>4198</v>
      </c>
      <c r="F87" s="1675" t="s">
        <v>4203</v>
      </c>
      <c r="G87" s="1676">
        <v>82.0</v>
      </c>
      <c r="H87" s="1677" t="s">
        <v>4383</v>
      </c>
      <c r="I87" s="1677" t="s">
        <v>4437</v>
      </c>
      <c r="J87" s="1679" t="s">
        <v>2086</v>
      </c>
      <c r="K87" s="1675" t="s">
        <v>4452</v>
      </c>
      <c r="L87" s="1679" t="s">
        <v>4453</v>
      </c>
      <c r="M87" s="1673" t="s">
        <v>4054</v>
      </c>
      <c r="N87" s="1675" t="s">
        <v>4055</v>
      </c>
      <c r="O87" s="1618"/>
      <c r="P87" s="1618"/>
    </row>
    <row r="88" ht="27.75" customHeight="1">
      <c r="A88" s="1665">
        <v>83.0</v>
      </c>
      <c r="B88" s="1666">
        <v>194.0</v>
      </c>
      <c r="C88" s="1667" t="s">
        <v>4454</v>
      </c>
      <c r="D88" s="1668" t="s">
        <v>4455</v>
      </c>
      <c r="E88" s="1668" t="s">
        <v>4147</v>
      </c>
      <c r="F88" s="1668" t="s">
        <v>4456</v>
      </c>
      <c r="G88" s="1669">
        <v>82.0</v>
      </c>
      <c r="H88" s="1670" t="s">
        <v>4383</v>
      </c>
      <c r="I88" s="1670" t="s">
        <v>4097</v>
      </c>
      <c r="J88" s="1671" t="s">
        <v>4073</v>
      </c>
      <c r="K88" s="1668" t="s">
        <v>4457</v>
      </c>
      <c r="L88" s="1671" t="s">
        <v>4458</v>
      </c>
      <c r="M88" s="1666" t="s">
        <v>4054</v>
      </c>
      <c r="N88" s="1668" t="s">
        <v>4055</v>
      </c>
      <c r="O88" s="1618"/>
      <c r="P88" s="1618"/>
    </row>
    <row r="89" ht="27.75" customHeight="1">
      <c r="A89" s="1672">
        <v>84.0</v>
      </c>
      <c r="B89" s="1673">
        <v>17.0</v>
      </c>
      <c r="C89" s="1674" t="s">
        <v>4459</v>
      </c>
      <c r="D89" s="1675" t="s">
        <v>4460</v>
      </c>
      <c r="E89" s="1675" t="s">
        <v>4049</v>
      </c>
      <c r="F89" s="1675" t="s">
        <v>4461</v>
      </c>
      <c r="G89" s="1676">
        <v>81.0</v>
      </c>
      <c r="H89" s="1677" t="s">
        <v>4383</v>
      </c>
      <c r="I89" s="1677" t="s">
        <v>4462</v>
      </c>
      <c r="J89" s="1679" t="s">
        <v>2086</v>
      </c>
      <c r="K89" s="1675" t="s">
        <v>4463</v>
      </c>
      <c r="L89" s="1679" t="s">
        <v>4464</v>
      </c>
      <c r="M89" s="1673" t="s">
        <v>4054</v>
      </c>
      <c r="N89" s="1675" t="s">
        <v>4055</v>
      </c>
      <c r="O89" s="1618"/>
      <c r="P89" s="1618"/>
    </row>
    <row r="90" ht="27.75" customHeight="1">
      <c r="A90" s="1665">
        <v>85.0</v>
      </c>
      <c r="B90" s="1666">
        <v>72.0</v>
      </c>
      <c r="C90" s="1667" t="s">
        <v>4465</v>
      </c>
      <c r="D90" s="1668" t="s">
        <v>4466</v>
      </c>
      <c r="E90" s="1668" t="s">
        <v>4198</v>
      </c>
      <c r="F90" s="1668" t="s">
        <v>4203</v>
      </c>
      <c r="G90" s="1669">
        <v>81.0</v>
      </c>
      <c r="H90" s="1670" t="s">
        <v>4383</v>
      </c>
      <c r="I90" s="1670" t="s">
        <v>4437</v>
      </c>
      <c r="J90" s="1671" t="s">
        <v>2086</v>
      </c>
      <c r="K90" s="1668" t="s">
        <v>4467</v>
      </c>
      <c r="L90" s="1671" t="s">
        <v>4468</v>
      </c>
      <c r="M90" s="1666" t="s">
        <v>4054</v>
      </c>
      <c r="N90" s="1668" t="s">
        <v>4055</v>
      </c>
      <c r="O90" s="1618"/>
      <c r="P90" s="1618"/>
    </row>
    <row r="91" ht="27.75" customHeight="1">
      <c r="A91" s="1672">
        <v>86.0</v>
      </c>
      <c r="B91" s="1673">
        <v>49.0</v>
      </c>
      <c r="C91" s="1674" t="s">
        <v>4469</v>
      </c>
      <c r="D91" s="1675" t="s">
        <v>4470</v>
      </c>
      <c r="E91" s="1675" t="s">
        <v>4133</v>
      </c>
      <c r="F91" s="1675" t="s">
        <v>4471</v>
      </c>
      <c r="G91" s="1676">
        <v>80.0</v>
      </c>
      <c r="H91" s="1677" t="s">
        <v>4383</v>
      </c>
      <c r="I91" s="1677" t="s">
        <v>4097</v>
      </c>
      <c r="J91" s="1679" t="s">
        <v>2086</v>
      </c>
      <c r="K91" s="1675" t="s">
        <v>4472</v>
      </c>
      <c r="L91" s="1679" t="s">
        <v>4473</v>
      </c>
      <c r="M91" s="1673" t="s">
        <v>4054</v>
      </c>
      <c r="N91" s="1675" t="s">
        <v>4055</v>
      </c>
      <c r="O91" s="1618"/>
      <c r="P91" s="1618"/>
    </row>
    <row r="92" ht="27.75" customHeight="1">
      <c r="A92" s="1665">
        <v>87.0</v>
      </c>
      <c r="B92" s="1666">
        <v>50.0</v>
      </c>
      <c r="C92" s="1667" t="s">
        <v>4474</v>
      </c>
      <c r="D92" s="1668" t="s">
        <v>4475</v>
      </c>
      <c r="E92" s="1668" t="s">
        <v>4133</v>
      </c>
      <c r="F92" s="1668" t="s">
        <v>4476</v>
      </c>
      <c r="G92" s="1669">
        <v>80.0</v>
      </c>
      <c r="H92" s="1670" t="s">
        <v>4383</v>
      </c>
      <c r="I92" s="1670" t="s">
        <v>4097</v>
      </c>
      <c r="J92" s="1671" t="s">
        <v>2086</v>
      </c>
      <c r="K92" s="1668" t="s">
        <v>4477</v>
      </c>
      <c r="L92" s="1671" t="s">
        <v>4478</v>
      </c>
      <c r="M92" s="1666" t="s">
        <v>4054</v>
      </c>
      <c r="N92" s="1668" t="s">
        <v>4055</v>
      </c>
      <c r="O92" s="1618"/>
      <c r="P92" s="1618"/>
    </row>
    <row r="93" ht="27.75" customHeight="1">
      <c r="A93" s="1672">
        <v>88.0</v>
      </c>
      <c r="B93" s="1673">
        <v>56.0</v>
      </c>
      <c r="C93" s="1674" t="s">
        <v>4479</v>
      </c>
      <c r="D93" s="1675" t="s">
        <v>4393</v>
      </c>
      <c r="E93" s="1675" t="s">
        <v>4133</v>
      </c>
      <c r="F93" s="1675" t="s">
        <v>4480</v>
      </c>
      <c r="G93" s="1676">
        <v>80.0</v>
      </c>
      <c r="H93" s="1677" t="s">
        <v>4383</v>
      </c>
      <c r="I93" s="1677" t="s">
        <v>4097</v>
      </c>
      <c r="J93" s="1679" t="s">
        <v>2086</v>
      </c>
      <c r="K93" s="1675" t="s">
        <v>4481</v>
      </c>
      <c r="L93" s="1679" t="s">
        <v>4482</v>
      </c>
      <c r="M93" s="1673" t="s">
        <v>4054</v>
      </c>
      <c r="N93" s="1675" t="s">
        <v>4055</v>
      </c>
      <c r="O93" s="1618"/>
      <c r="P93" s="1618"/>
    </row>
    <row r="94" ht="27.75" customHeight="1">
      <c r="A94" s="1665">
        <v>89.0</v>
      </c>
      <c r="B94" s="1666">
        <v>89.0</v>
      </c>
      <c r="C94" s="1667" t="s">
        <v>4483</v>
      </c>
      <c r="D94" s="1668" t="s">
        <v>4484</v>
      </c>
      <c r="E94" s="1668" t="s">
        <v>4058</v>
      </c>
      <c r="F94" s="1668" t="s">
        <v>4485</v>
      </c>
      <c r="G94" s="1669">
        <v>80.0</v>
      </c>
      <c r="H94" s="1670" t="s">
        <v>4383</v>
      </c>
      <c r="I94" s="1670" t="s">
        <v>4486</v>
      </c>
      <c r="J94" s="1671" t="s">
        <v>2086</v>
      </c>
      <c r="K94" s="1668" t="s">
        <v>4487</v>
      </c>
      <c r="L94" s="1671" t="s">
        <v>4488</v>
      </c>
      <c r="M94" s="1666" t="s">
        <v>4054</v>
      </c>
      <c r="N94" s="1668" t="s">
        <v>4055</v>
      </c>
      <c r="O94" s="1618"/>
      <c r="P94" s="1618"/>
    </row>
    <row r="95" ht="27.75" customHeight="1">
      <c r="A95" s="1672">
        <v>90.0</v>
      </c>
      <c r="B95" s="1673">
        <v>94.0</v>
      </c>
      <c r="C95" s="1674" t="s">
        <v>4489</v>
      </c>
      <c r="D95" s="1675" t="s">
        <v>4490</v>
      </c>
      <c r="E95" s="1675" t="s">
        <v>4225</v>
      </c>
      <c r="F95" s="1675" t="s">
        <v>4226</v>
      </c>
      <c r="G95" s="1676">
        <v>80.0</v>
      </c>
      <c r="H95" s="1677" t="s">
        <v>4383</v>
      </c>
      <c r="I95" s="1678" t="s">
        <v>492</v>
      </c>
      <c r="J95" s="1679" t="s">
        <v>2086</v>
      </c>
      <c r="K95" s="1675" t="s">
        <v>4491</v>
      </c>
      <c r="L95" s="1679" t="s">
        <v>4492</v>
      </c>
      <c r="M95" s="1673" t="s">
        <v>4054</v>
      </c>
      <c r="N95" s="1675" t="s">
        <v>4055</v>
      </c>
      <c r="O95" s="1618"/>
      <c r="P95" s="1618"/>
    </row>
    <row r="96" ht="27.75" customHeight="1">
      <c r="A96" s="1665">
        <v>91.0</v>
      </c>
      <c r="B96" s="1666">
        <v>95.0</v>
      </c>
      <c r="C96" s="1667" t="s">
        <v>4493</v>
      </c>
      <c r="D96" s="1668" t="s">
        <v>4494</v>
      </c>
      <c r="E96" s="1668" t="s">
        <v>4225</v>
      </c>
      <c r="F96" s="1668" t="s">
        <v>4226</v>
      </c>
      <c r="G96" s="1669">
        <v>80.0</v>
      </c>
      <c r="H96" s="1670" t="s">
        <v>4383</v>
      </c>
      <c r="I96" s="1680" t="s">
        <v>492</v>
      </c>
      <c r="J96" s="1671" t="s">
        <v>2086</v>
      </c>
      <c r="K96" s="1668" t="s">
        <v>4495</v>
      </c>
      <c r="L96" s="1671" t="s">
        <v>4496</v>
      </c>
      <c r="M96" s="1666" t="s">
        <v>4054</v>
      </c>
      <c r="N96" s="1668" t="s">
        <v>4055</v>
      </c>
      <c r="O96" s="1618"/>
      <c r="P96" s="1618"/>
    </row>
    <row r="97" ht="27.75" customHeight="1">
      <c r="A97" s="1672">
        <v>92.0</v>
      </c>
      <c r="B97" s="1673">
        <v>96.0</v>
      </c>
      <c r="C97" s="1674" t="s">
        <v>4497</v>
      </c>
      <c r="D97" s="1675" t="s">
        <v>4498</v>
      </c>
      <c r="E97" s="1675" t="s">
        <v>4225</v>
      </c>
      <c r="F97" s="1675" t="s">
        <v>4226</v>
      </c>
      <c r="G97" s="1676">
        <v>80.0</v>
      </c>
      <c r="H97" s="1677" t="s">
        <v>4383</v>
      </c>
      <c r="I97" s="1678" t="s">
        <v>492</v>
      </c>
      <c r="J97" s="1679" t="s">
        <v>2086</v>
      </c>
      <c r="K97" s="1675" t="s">
        <v>4499</v>
      </c>
      <c r="L97" s="1679" t="s">
        <v>4500</v>
      </c>
      <c r="M97" s="1673" t="s">
        <v>4054</v>
      </c>
      <c r="N97" s="1675" t="s">
        <v>4055</v>
      </c>
      <c r="O97" s="1618"/>
      <c r="P97" s="1618"/>
    </row>
    <row r="98" ht="27.75" customHeight="1">
      <c r="A98" s="1665">
        <v>93.0</v>
      </c>
      <c r="B98" s="1666">
        <v>98.0</v>
      </c>
      <c r="C98" s="1667" t="s">
        <v>4501</v>
      </c>
      <c r="D98" s="1668" t="s">
        <v>4502</v>
      </c>
      <c r="E98" s="1668" t="s">
        <v>4225</v>
      </c>
      <c r="F98" s="1668" t="s">
        <v>4503</v>
      </c>
      <c r="G98" s="1669">
        <v>80.0</v>
      </c>
      <c r="H98" s="1670" t="s">
        <v>4383</v>
      </c>
      <c r="I98" s="1680" t="s">
        <v>492</v>
      </c>
      <c r="J98" s="1671" t="s">
        <v>2086</v>
      </c>
      <c r="K98" s="1668" t="s">
        <v>4504</v>
      </c>
      <c r="L98" s="1671" t="s">
        <v>4505</v>
      </c>
      <c r="M98" s="1666" t="s">
        <v>4054</v>
      </c>
      <c r="N98" s="1668" t="s">
        <v>4055</v>
      </c>
      <c r="O98" s="1618"/>
      <c r="P98" s="1618"/>
    </row>
    <row r="99" ht="27.75" customHeight="1">
      <c r="A99" s="1672">
        <v>94.0</v>
      </c>
      <c r="B99" s="1673">
        <v>99.0</v>
      </c>
      <c r="C99" s="1674" t="s">
        <v>4506</v>
      </c>
      <c r="D99" s="1675" t="s">
        <v>4330</v>
      </c>
      <c r="E99" s="1675" t="s">
        <v>4225</v>
      </c>
      <c r="F99" s="1675" t="s">
        <v>4507</v>
      </c>
      <c r="G99" s="1676">
        <v>80.0</v>
      </c>
      <c r="H99" s="1677" t="s">
        <v>4383</v>
      </c>
      <c r="I99" s="1678" t="s">
        <v>492</v>
      </c>
      <c r="J99" s="1679" t="s">
        <v>2086</v>
      </c>
      <c r="K99" s="1675" t="s">
        <v>4508</v>
      </c>
      <c r="L99" s="1679" t="s">
        <v>4509</v>
      </c>
      <c r="M99" s="1673" t="s">
        <v>4054</v>
      </c>
      <c r="N99" s="1675" t="s">
        <v>4055</v>
      </c>
      <c r="O99" s="1618"/>
      <c r="P99" s="1618"/>
    </row>
    <row r="100" ht="27.75" customHeight="1">
      <c r="A100" s="1665">
        <v>95.0</v>
      </c>
      <c r="B100" s="1666">
        <v>100.0</v>
      </c>
      <c r="C100" s="1667" t="s">
        <v>4510</v>
      </c>
      <c r="D100" s="1668" t="s">
        <v>4511</v>
      </c>
      <c r="E100" s="1668" t="s">
        <v>4225</v>
      </c>
      <c r="F100" s="1668" t="s">
        <v>4507</v>
      </c>
      <c r="G100" s="1669">
        <v>80.0</v>
      </c>
      <c r="H100" s="1670" t="s">
        <v>4383</v>
      </c>
      <c r="I100" s="1680" t="s">
        <v>492</v>
      </c>
      <c r="J100" s="1671" t="s">
        <v>2086</v>
      </c>
      <c r="K100" s="1668" t="s">
        <v>4512</v>
      </c>
      <c r="L100" s="1671" t="s">
        <v>4513</v>
      </c>
      <c r="M100" s="1666" t="s">
        <v>4054</v>
      </c>
      <c r="N100" s="1668" t="s">
        <v>4055</v>
      </c>
      <c r="O100" s="1618"/>
      <c r="P100" s="1618"/>
    </row>
    <row r="101" ht="27.75" customHeight="1">
      <c r="A101" s="1672">
        <v>96.0</v>
      </c>
      <c r="B101" s="1673">
        <v>101.0</v>
      </c>
      <c r="C101" s="1674" t="s">
        <v>4514</v>
      </c>
      <c r="D101" s="1675" t="s">
        <v>4515</v>
      </c>
      <c r="E101" s="1675" t="s">
        <v>4225</v>
      </c>
      <c r="F101" s="1675" t="s">
        <v>4507</v>
      </c>
      <c r="G101" s="1676">
        <v>80.0</v>
      </c>
      <c r="H101" s="1677" t="s">
        <v>4383</v>
      </c>
      <c r="I101" s="1678" t="s">
        <v>492</v>
      </c>
      <c r="J101" s="1679" t="s">
        <v>2086</v>
      </c>
      <c r="K101" s="1675" t="s">
        <v>4516</v>
      </c>
      <c r="L101" s="1679" t="s">
        <v>4517</v>
      </c>
      <c r="M101" s="1673" t="s">
        <v>4054</v>
      </c>
      <c r="N101" s="1675" t="s">
        <v>4055</v>
      </c>
      <c r="O101" s="1618"/>
      <c r="P101" s="1618"/>
    </row>
    <row r="102" ht="27.75" customHeight="1">
      <c r="A102" s="1665">
        <v>97.0</v>
      </c>
      <c r="B102" s="1666">
        <v>102.0</v>
      </c>
      <c r="C102" s="1667" t="s">
        <v>4518</v>
      </c>
      <c r="D102" s="1668" t="s">
        <v>4519</v>
      </c>
      <c r="E102" s="1668" t="s">
        <v>4225</v>
      </c>
      <c r="F102" s="1668" t="s">
        <v>4520</v>
      </c>
      <c r="G102" s="1669">
        <v>80.0</v>
      </c>
      <c r="H102" s="1670" t="s">
        <v>4383</v>
      </c>
      <c r="I102" s="1680" t="s">
        <v>492</v>
      </c>
      <c r="J102" s="1671" t="s">
        <v>2086</v>
      </c>
      <c r="K102" s="1668" t="s">
        <v>4521</v>
      </c>
      <c r="L102" s="1671" t="s">
        <v>4522</v>
      </c>
      <c r="M102" s="1666" t="s">
        <v>4054</v>
      </c>
      <c r="N102" s="1668" t="s">
        <v>4055</v>
      </c>
      <c r="O102" s="1618"/>
      <c r="P102" s="1618"/>
    </row>
    <row r="103" ht="27.75" customHeight="1">
      <c r="A103" s="1672">
        <v>98.0</v>
      </c>
      <c r="B103" s="1673">
        <v>103.0</v>
      </c>
      <c r="C103" s="1674" t="s">
        <v>4523</v>
      </c>
      <c r="D103" s="1675" t="s">
        <v>4524</v>
      </c>
      <c r="E103" s="1675" t="s">
        <v>4225</v>
      </c>
      <c r="F103" s="1675" t="s">
        <v>4525</v>
      </c>
      <c r="G103" s="1676">
        <v>80.0</v>
      </c>
      <c r="H103" s="1677" t="s">
        <v>4383</v>
      </c>
      <c r="I103" s="1678" t="s">
        <v>492</v>
      </c>
      <c r="J103" s="1679" t="s">
        <v>2086</v>
      </c>
      <c r="K103" s="1675" t="s">
        <v>4526</v>
      </c>
      <c r="L103" s="1679" t="s">
        <v>4527</v>
      </c>
      <c r="M103" s="1673" t="s">
        <v>4054</v>
      </c>
      <c r="N103" s="1675" t="s">
        <v>4055</v>
      </c>
      <c r="O103" s="1618"/>
      <c r="P103" s="1618"/>
    </row>
    <row r="104" ht="27.75" customHeight="1">
      <c r="A104" s="1665">
        <v>99.0</v>
      </c>
      <c r="B104" s="1666">
        <v>173.0</v>
      </c>
      <c r="C104" s="1667" t="s">
        <v>4528</v>
      </c>
      <c r="D104" s="1668"/>
      <c r="E104" s="1668" t="s">
        <v>4446</v>
      </c>
      <c r="F104" s="1668" t="s">
        <v>4529</v>
      </c>
      <c r="G104" s="1669">
        <v>80.0</v>
      </c>
      <c r="H104" s="1670" t="s">
        <v>4383</v>
      </c>
      <c r="I104" s="1680" t="s">
        <v>492</v>
      </c>
      <c r="J104" s="1671" t="s">
        <v>4073</v>
      </c>
      <c r="K104" s="1668" t="s">
        <v>4530</v>
      </c>
      <c r="L104" s="1671" t="s">
        <v>4531</v>
      </c>
      <c r="M104" s="1666" t="s">
        <v>4054</v>
      </c>
      <c r="N104" s="1668" t="s">
        <v>4055</v>
      </c>
      <c r="O104" s="1618"/>
      <c r="P104" s="1618"/>
    </row>
    <row r="105" ht="27.75" customHeight="1">
      <c r="A105" s="1672">
        <v>100.0</v>
      </c>
      <c r="B105" s="1673">
        <v>86.0</v>
      </c>
      <c r="C105" s="1674" t="s">
        <v>4532</v>
      </c>
      <c r="D105" s="1675" t="s">
        <v>4533</v>
      </c>
      <c r="E105" s="1675" t="s">
        <v>4058</v>
      </c>
      <c r="F105" s="1675" t="s">
        <v>4203</v>
      </c>
      <c r="G105" s="1676">
        <v>79.0</v>
      </c>
      <c r="H105" s="1677" t="s">
        <v>4383</v>
      </c>
      <c r="I105" s="1677" t="s">
        <v>4066</v>
      </c>
      <c r="J105" s="1679" t="s">
        <v>2086</v>
      </c>
      <c r="K105" s="1675" t="s">
        <v>4534</v>
      </c>
      <c r="L105" s="1679" t="s">
        <v>4535</v>
      </c>
      <c r="M105" s="1673" t="s">
        <v>4054</v>
      </c>
      <c r="N105" s="1675" t="s">
        <v>4055</v>
      </c>
      <c r="O105" s="1618"/>
      <c r="P105" s="1618"/>
    </row>
    <row r="106" ht="27.75" customHeight="1">
      <c r="A106" s="1665">
        <v>101.0</v>
      </c>
      <c r="B106" s="1666">
        <v>105.0</v>
      </c>
      <c r="C106" s="1667" t="s">
        <v>4536</v>
      </c>
      <c r="D106" s="1668" t="s">
        <v>4537</v>
      </c>
      <c r="E106" s="1668" t="s">
        <v>4225</v>
      </c>
      <c r="F106" s="1668" t="s">
        <v>4538</v>
      </c>
      <c r="G106" s="1669">
        <v>79.0</v>
      </c>
      <c r="H106" s="1670" t="s">
        <v>4383</v>
      </c>
      <c r="I106" s="1680" t="s">
        <v>492</v>
      </c>
      <c r="J106" s="1671" t="s">
        <v>2086</v>
      </c>
      <c r="K106" s="1668" t="s">
        <v>4539</v>
      </c>
      <c r="L106" s="1671" t="s">
        <v>4540</v>
      </c>
      <c r="M106" s="1666" t="s">
        <v>4054</v>
      </c>
      <c r="N106" s="1668" t="s">
        <v>4055</v>
      </c>
      <c r="O106" s="1618"/>
      <c r="P106" s="1618"/>
    </row>
    <row r="107" ht="27.75" customHeight="1">
      <c r="A107" s="1672">
        <v>102.0</v>
      </c>
      <c r="B107" s="1673">
        <v>174.0</v>
      </c>
      <c r="C107" s="1674" t="s">
        <v>4541</v>
      </c>
      <c r="D107" s="1675"/>
      <c r="E107" s="1675" t="s">
        <v>4446</v>
      </c>
      <c r="F107" s="1675" t="s">
        <v>4542</v>
      </c>
      <c r="G107" s="1676">
        <v>79.0</v>
      </c>
      <c r="H107" s="1677" t="s">
        <v>4383</v>
      </c>
      <c r="I107" s="1678" t="s">
        <v>492</v>
      </c>
      <c r="J107" s="1679" t="s">
        <v>4073</v>
      </c>
      <c r="K107" s="1675" t="s">
        <v>4543</v>
      </c>
      <c r="L107" s="1679" t="s">
        <v>4544</v>
      </c>
      <c r="M107" s="1673" t="s">
        <v>4054</v>
      </c>
      <c r="N107" s="1675" t="s">
        <v>4055</v>
      </c>
      <c r="O107" s="1618"/>
      <c r="P107" s="1618"/>
    </row>
    <row r="108" ht="27.75" customHeight="1">
      <c r="A108" s="1665">
        <v>103.0</v>
      </c>
      <c r="B108" s="1666">
        <v>197.0</v>
      </c>
      <c r="C108" s="1667" t="s">
        <v>4545</v>
      </c>
      <c r="D108" s="1668" t="s">
        <v>4546</v>
      </c>
      <c r="E108" s="1668" t="s">
        <v>4147</v>
      </c>
      <c r="F108" s="1668" t="s">
        <v>4547</v>
      </c>
      <c r="G108" s="1669">
        <v>79.0</v>
      </c>
      <c r="H108" s="1670" t="s">
        <v>4383</v>
      </c>
      <c r="I108" s="1680" t="s">
        <v>492</v>
      </c>
      <c r="J108" s="1671" t="s">
        <v>4073</v>
      </c>
      <c r="K108" s="1668" t="s">
        <v>4548</v>
      </c>
      <c r="L108" s="1671" t="s">
        <v>4549</v>
      </c>
      <c r="M108" s="1666" t="s">
        <v>4054</v>
      </c>
      <c r="N108" s="1668" t="s">
        <v>4055</v>
      </c>
      <c r="O108" s="1618"/>
      <c r="P108" s="1618"/>
    </row>
    <row r="109" ht="27.75" customHeight="1">
      <c r="A109" s="1672">
        <v>104.0</v>
      </c>
      <c r="B109" s="1673">
        <v>82.0</v>
      </c>
      <c r="C109" s="1674" t="s">
        <v>4550</v>
      </c>
      <c r="D109" s="1675" t="s">
        <v>4551</v>
      </c>
      <c r="E109" s="1675" t="s">
        <v>4058</v>
      </c>
      <c r="F109" s="1675" t="s">
        <v>4203</v>
      </c>
      <c r="G109" s="1676">
        <v>78.0</v>
      </c>
      <c r="H109" s="1677" t="s">
        <v>4383</v>
      </c>
      <c r="I109" s="1677" t="s">
        <v>4066</v>
      </c>
      <c r="J109" s="1679" t="s">
        <v>2086</v>
      </c>
      <c r="K109" s="1675" t="s">
        <v>4552</v>
      </c>
      <c r="L109" s="1679" t="s">
        <v>4553</v>
      </c>
      <c r="M109" s="1673" t="s">
        <v>4054</v>
      </c>
      <c r="N109" s="1675" t="s">
        <v>4055</v>
      </c>
      <c r="O109" s="1618"/>
      <c r="P109" s="1618"/>
    </row>
    <row r="110" ht="27.75" customHeight="1">
      <c r="A110" s="1665">
        <v>105.0</v>
      </c>
      <c r="B110" s="1666">
        <v>83.0</v>
      </c>
      <c r="C110" s="1667" t="s">
        <v>4554</v>
      </c>
      <c r="D110" s="1668" t="s">
        <v>4555</v>
      </c>
      <c r="E110" s="1668" t="s">
        <v>4058</v>
      </c>
      <c r="F110" s="1668" t="s">
        <v>4556</v>
      </c>
      <c r="G110" s="1669">
        <v>78.0</v>
      </c>
      <c r="H110" s="1670" t="s">
        <v>4383</v>
      </c>
      <c r="I110" s="1670" t="s">
        <v>4066</v>
      </c>
      <c r="J110" s="1671" t="s">
        <v>2086</v>
      </c>
      <c r="K110" s="1668" t="s">
        <v>4557</v>
      </c>
      <c r="L110" s="1671" t="s">
        <v>4558</v>
      </c>
      <c r="M110" s="1666" t="s">
        <v>4054</v>
      </c>
      <c r="N110" s="1668" t="s">
        <v>4055</v>
      </c>
      <c r="O110" s="1618"/>
      <c r="P110" s="1618"/>
    </row>
    <row r="111" ht="27.75" customHeight="1">
      <c r="A111" s="1672">
        <v>106.0</v>
      </c>
      <c r="B111" s="1673">
        <v>84.0</v>
      </c>
      <c r="C111" s="1674" t="s">
        <v>4559</v>
      </c>
      <c r="D111" s="1675" t="s">
        <v>4560</v>
      </c>
      <c r="E111" s="1675" t="s">
        <v>4058</v>
      </c>
      <c r="F111" s="1675" t="s">
        <v>4203</v>
      </c>
      <c r="G111" s="1676">
        <v>78.0</v>
      </c>
      <c r="H111" s="1677" t="s">
        <v>4383</v>
      </c>
      <c r="I111" s="1677" t="s">
        <v>4083</v>
      </c>
      <c r="J111" s="1679" t="s">
        <v>2086</v>
      </c>
      <c r="K111" s="1675" t="s">
        <v>4561</v>
      </c>
      <c r="L111" s="1679" t="s">
        <v>4562</v>
      </c>
      <c r="M111" s="1673" t="s">
        <v>4054</v>
      </c>
      <c r="N111" s="1675" t="s">
        <v>4055</v>
      </c>
      <c r="O111" s="1618"/>
      <c r="P111" s="1618"/>
    </row>
    <row r="112" ht="27.75" customHeight="1">
      <c r="A112" s="1665">
        <v>107.0</v>
      </c>
      <c r="B112" s="1666">
        <v>87.0</v>
      </c>
      <c r="C112" s="1667" t="s">
        <v>4563</v>
      </c>
      <c r="D112" s="1668" t="s">
        <v>4564</v>
      </c>
      <c r="E112" s="1668" t="s">
        <v>4058</v>
      </c>
      <c r="F112" s="1668" t="s">
        <v>4059</v>
      </c>
      <c r="G112" s="1669">
        <v>78.0</v>
      </c>
      <c r="H112" s="1670" t="s">
        <v>4383</v>
      </c>
      <c r="I112" s="1670" t="s">
        <v>4066</v>
      </c>
      <c r="J112" s="1671" t="s">
        <v>2086</v>
      </c>
      <c r="K112" s="1668" t="s">
        <v>4565</v>
      </c>
      <c r="L112" s="1671" t="s">
        <v>4566</v>
      </c>
      <c r="M112" s="1666" t="s">
        <v>4054</v>
      </c>
      <c r="N112" s="1668" t="s">
        <v>4055</v>
      </c>
      <c r="O112" s="1618"/>
      <c r="P112" s="1618"/>
    </row>
    <row r="113" ht="27.75" customHeight="1">
      <c r="A113" s="1672">
        <v>108.0</v>
      </c>
      <c r="B113" s="1673">
        <v>114.0</v>
      </c>
      <c r="C113" s="1674" t="s">
        <v>4567</v>
      </c>
      <c r="D113" s="1675" t="s">
        <v>4568</v>
      </c>
      <c r="E113" s="1675" t="s">
        <v>4249</v>
      </c>
      <c r="F113" s="1675" t="s">
        <v>4569</v>
      </c>
      <c r="G113" s="1676">
        <v>78.0</v>
      </c>
      <c r="H113" s="1677" t="s">
        <v>4383</v>
      </c>
      <c r="I113" s="1678" t="s">
        <v>492</v>
      </c>
      <c r="J113" s="1679" t="s">
        <v>4073</v>
      </c>
      <c r="K113" s="1675" t="s">
        <v>4570</v>
      </c>
      <c r="L113" s="1679" t="s">
        <v>4571</v>
      </c>
      <c r="M113" s="1673" t="s">
        <v>4054</v>
      </c>
      <c r="N113" s="1675" t="s">
        <v>4055</v>
      </c>
      <c r="O113" s="1618"/>
      <c r="P113" s="1618"/>
    </row>
    <row r="114" ht="27.75" customHeight="1">
      <c r="A114" s="1665">
        <v>109.0</v>
      </c>
      <c r="B114" s="1666">
        <v>117.0</v>
      </c>
      <c r="C114" s="1667" t="s">
        <v>4572</v>
      </c>
      <c r="D114" s="1668" t="s">
        <v>4573</v>
      </c>
      <c r="E114" s="1668" t="s">
        <v>4071</v>
      </c>
      <c r="F114" s="1668" t="s">
        <v>4574</v>
      </c>
      <c r="G114" s="1669">
        <v>78.0</v>
      </c>
      <c r="H114" s="1670" t="s">
        <v>4383</v>
      </c>
      <c r="I114" s="1680" t="s">
        <v>492</v>
      </c>
      <c r="J114" s="1671" t="s">
        <v>4073</v>
      </c>
      <c r="K114" s="1668" t="s">
        <v>4575</v>
      </c>
      <c r="L114" s="1671" t="s">
        <v>4576</v>
      </c>
      <c r="M114" s="1666" t="s">
        <v>4054</v>
      </c>
      <c r="N114" s="1668" t="s">
        <v>4055</v>
      </c>
      <c r="O114" s="1618"/>
      <c r="P114" s="1618"/>
    </row>
    <row r="115" ht="27.75" customHeight="1">
      <c r="A115" s="1672">
        <v>110.0</v>
      </c>
      <c r="B115" s="1673">
        <v>118.0</v>
      </c>
      <c r="C115" s="1674" t="s">
        <v>4577</v>
      </c>
      <c r="D115" s="1675" t="s">
        <v>4578</v>
      </c>
      <c r="E115" s="1675" t="s">
        <v>4071</v>
      </c>
      <c r="F115" s="1675" t="s">
        <v>4579</v>
      </c>
      <c r="G115" s="1676">
        <v>78.0</v>
      </c>
      <c r="H115" s="1677" t="s">
        <v>4383</v>
      </c>
      <c r="I115" s="1678" t="s">
        <v>492</v>
      </c>
      <c r="J115" s="1679" t="s">
        <v>4073</v>
      </c>
      <c r="K115" s="1675" t="s">
        <v>4580</v>
      </c>
      <c r="L115" s="1679" t="s">
        <v>4581</v>
      </c>
      <c r="M115" s="1673" t="s">
        <v>4054</v>
      </c>
      <c r="N115" s="1675" t="s">
        <v>4055</v>
      </c>
      <c r="O115" s="1618"/>
      <c r="P115" s="1618"/>
    </row>
    <row r="116" ht="27.75" customHeight="1">
      <c r="A116" s="1665">
        <v>111.0</v>
      </c>
      <c r="B116" s="1666">
        <v>119.0</v>
      </c>
      <c r="C116" s="1667" t="s">
        <v>4582</v>
      </c>
      <c r="D116" s="1668" t="s">
        <v>4583</v>
      </c>
      <c r="E116" s="1668" t="s">
        <v>4071</v>
      </c>
      <c r="F116" s="1668" t="s">
        <v>4584</v>
      </c>
      <c r="G116" s="1669">
        <v>78.0</v>
      </c>
      <c r="H116" s="1670" t="s">
        <v>4383</v>
      </c>
      <c r="I116" s="1680" t="s">
        <v>492</v>
      </c>
      <c r="J116" s="1671" t="s">
        <v>4073</v>
      </c>
      <c r="K116" s="1668" t="s">
        <v>4585</v>
      </c>
      <c r="L116" s="1671" t="s">
        <v>4586</v>
      </c>
      <c r="M116" s="1666" t="s">
        <v>4054</v>
      </c>
      <c r="N116" s="1668" t="s">
        <v>4055</v>
      </c>
      <c r="O116" s="1618"/>
      <c r="P116" s="1618"/>
    </row>
    <row r="117" ht="27.75" customHeight="1">
      <c r="A117" s="1672">
        <v>112.0</v>
      </c>
      <c r="B117" s="1673">
        <v>168.0</v>
      </c>
      <c r="C117" s="1674" t="s">
        <v>4587</v>
      </c>
      <c r="D117" s="1675" t="s">
        <v>4588</v>
      </c>
      <c r="E117" s="1675" t="s">
        <v>4253</v>
      </c>
      <c r="F117" s="1675" t="s">
        <v>4589</v>
      </c>
      <c r="G117" s="1676">
        <v>78.0</v>
      </c>
      <c r="H117" s="1677" t="s">
        <v>4383</v>
      </c>
      <c r="I117" s="1678" t="s">
        <v>492</v>
      </c>
      <c r="J117" s="1679" t="s">
        <v>4073</v>
      </c>
      <c r="K117" s="1675" t="s">
        <v>4590</v>
      </c>
      <c r="L117" s="1679" t="s">
        <v>4591</v>
      </c>
      <c r="M117" s="1673" t="s">
        <v>4054</v>
      </c>
      <c r="N117" s="1675" t="s">
        <v>4055</v>
      </c>
      <c r="O117" s="1618"/>
      <c r="P117" s="1618"/>
    </row>
    <row r="118" ht="27.75" customHeight="1">
      <c r="A118" s="1665">
        <v>113.0</v>
      </c>
      <c r="B118" s="1666">
        <v>175.0</v>
      </c>
      <c r="C118" s="1667" t="s">
        <v>4592</v>
      </c>
      <c r="D118" s="1668"/>
      <c r="E118" s="1668" t="s">
        <v>4446</v>
      </c>
      <c r="F118" s="1668" t="s">
        <v>4593</v>
      </c>
      <c r="G118" s="1669">
        <v>78.0</v>
      </c>
      <c r="H118" s="1670" t="s">
        <v>4383</v>
      </c>
      <c r="I118" s="1680" t="s">
        <v>492</v>
      </c>
      <c r="J118" s="1671" t="s">
        <v>4073</v>
      </c>
      <c r="K118" s="1668" t="s">
        <v>4594</v>
      </c>
      <c r="L118" s="1671" t="s">
        <v>4595</v>
      </c>
      <c r="M118" s="1666" t="s">
        <v>4054</v>
      </c>
      <c r="N118" s="1668" t="s">
        <v>4055</v>
      </c>
      <c r="O118" s="1618"/>
      <c r="P118" s="1618"/>
    </row>
    <row r="119" ht="27.75" customHeight="1">
      <c r="A119" s="1672">
        <v>114.0</v>
      </c>
      <c r="B119" s="1673">
        <v>62.0</v>
      </c>
      <c r="C119" s="1674" t="s">
        <v>4596</v>
      </c>
      <c r="D119" s="1675" t="s">
        <v>4597</v>
      </c>
      <c r="E119" s="1675" t="s">
        <v>4198</v>
      </c>
      <c r="F119" s="1675" t="s">
        <v>4598</v>
      </c>
      <c r="G119" s="1676">
        <v>77.0</v>
      </c>
      <c r="H119" s="1677" t="s">
        <v>4383</v>
      </c>
      <c r="I119" s="1677" t="s">
        <v>4220</v>
      </c>
      <c r="J119" s="1679" t="s">
        <v>2086</v>
      </c>
      <c r="K119" s="1675" t="s">
        <v>4599</v>
      </c>
      <c r="L119" s="1679" t="s">
        <v>4600</v>
      </c>
      <c r="M119" s="1673" t="s">
        <v>4054</v>
      </c>
      <c r="N119" s="1675" t="s">
        <v>4055</v>
      </c>
      <c r="O119" s="1618"/>
      <c r="P119" s="1618"/>
    </row>
    <row r="120" ht="27.75" customHeight="1">
      <c r="A120" s="1665">
        <v>115.0</v>
      </c>
      <c r="B120" s="1666">
        <v>63.0</v>
      </c>
      <c r="C120" s="1667" t="s">
        <v>4601</v>
      </c>
      <c r="D120" s="1668" t="s">
        <v>4602</v>
      </c>
      <c r="E120" s="1668" t="s">
        <v>4198</v>
      </c>
      <c r="F120" s="1668" t="s">
        <v>4059</v>
      </c>
      <c r="G120" s="1669">
        <v>77.0</v>
      </c>
      <c r="H120" s="1670" t="s">
        <v>4383</v>
      </c>
      <c r="I120" s="1670" t="s">
        <v>1810</v>
      </c>
      <c r="J120" s="1671" t="s">
        <v>2086</v>
      </c>
      <c r="K120" s="1668" t="s">
        <v>4603</v>
      </c>
      <c r="L120" s="1671" t="s">
        <v>4604</v>
      </c>
      <c r="M120" s="1666" t="s">
        <v>4054</v>
      </c>
      <c r="N120" s="1668" t="s">
        <v>4055</v>
      </c>
      <c r="O120" s="1618"/>
      <c r="P120" s="1618"/>
    </row>
    <row r="121" ht="27.75" customHeight="1">
      <c r="A121" s="1672">
        <v>116.0</v>
      </c>
      <c r="B121" s="1673">
        <v>66.0</v>
      </c>
      <c r="C121" s="1674" t="s">
        <v>4605</v>
      </c>
      <c r="D121" s="1675" t="s">
        <v>4606</v>
      </c>
      <c r="E121" s="1675" t="s">
        <v>4198</v>
      </c>
      <c r="F121" s="1675" t="s">
        <v>4422</v>
      </c>
      <c r="G121" s="1676">
        <v>77.0</v>
      </c>
      <c r="H121" s="1677" t="s">
        <v>4383</v>
      </c>
      <c r="I121" s="1677" t="s">
        <v>4066</v>
      </c>
      <c r="J121" s="1679" t="s">
        <v>2086</v>
      </c>
      <c r="K121" s="1675" t="s">
        <v>4607</v>
      </c>
      <c r="L121" s="1679" t="s">
        <v>4608</v>
      </c>
      <c r="M121" s="1673" t="s">
        <v>4054</v>
      </c>
      <c r="N121" s="1675" t="s">
        <v>4055</v>
      </c>
      <c r="O121" s="1618"/>
      <c r="P121" s="1618"/>
    </row>
    <row r="122" ht="27.75" customHeight="1">
      <c r="A122" s="1665">
        <v>117.0</v>
      </c>
      <c r="B122" s="1666">
        <v>67.0</v>
      </c>
      <c r="C122" s="1667" t="s">
        <v>4609</v>
      </c>
      <c r="D122" s="1668" t="s">
        <v>4610</v>
      </c>
      <c r="E122" s="1668" t="s">
        <v>4198</v>
      </c>
      <c r="F122" s="1668" t="s">
        <v>4422</v>
      </c>
      <c r="G122" s="1669">
        <v>77.0</v>
      </c>
      <c r="H122" s="1670" t="s">
        <v>4383</v>
      </c>
      <c r="I122" s="1670" t="s">
        <v>4611</v>
      </c>
      <c r="J122" s="1671" t="s">
        <v>2086</v>
      </c>
      <c r="K122" s="1668" t="s">
        <v>4612</v>
      </c>
      <c r="L122" s="1671" t="s">
        <v>4613</v>
      </c>
      <c r="M122" s="1666" t="s">
        <v>4054</v>
      </c>
      <c r="N122" s="1668" t="s">
        <v>4055</v>
      </c>
      <c r="O122" s="1618"/>
      <c r="P122" s="1618"/>
    </row>
    <row r="123" ht="27.75" customHeight="1">
      <c r="A123" s="1672">
        <v>118.0</v>
      </c>
      <c r="B123" s="1673">
        <v>68.0</v>
      </c>
      <c r="C123" s="1674" t="s">
        <v>4614</v>
      </c>
      <c r="D123" s="1675"/>
      <c r="E123" s="1675" t="s">
        <v>4198</v>
      </c>
      <c r="F123" s="1675" t="s">
        <v>4615</v>
      </c>
      <c r="G123" s="1676">
        <v>77.0</v>
      </c>
      <c r="H123" s="1677" t="s">
        <v>4383</v>
      </c>
      <c r="I123" s="1677" t="s">
        <v>2851</v>
      </c>
      <c r="J123" s="1679" t="s">
        <v>2086</v>
      </c>
      <c r="K123" s="1675" t="s">
        <v>4616</v>
      </c>
      <c r="L123" s="1679" t="s">
        <v>4617</v>
      </c>
      <c r="M123" s="1673" t="s">
        <v>4054</v>
      </c>
      <c r="N123" s="1675" t="s">
        <v>4055</v>
      </c>
      <c r="O123" s="1618"/>
      <c r="P123" s="1618"/>
    </row>
    <row r="124" ht="27.75" customHeight="1">
      <c r="A124" s="1665">
        <v>119.0</v>
      </c>
      <c r="B124" s="1666">
        <v>69.0</v>
      </c>
      <c r="C124" s="1667" t="s">
        <v>4618</v>
      </c>
      <c r="D124" s="1668" t="s">
        <v>4619</v>
      </c>
      <c r="E124" s="1668" t="s">
        <v>4198</v>
      </c>
      <c r="F124" s="1668" t="s">
        <v>4615</v>
      </c>
      <c r="G124" s="1669">
        <v>77.0</v>
      </c>
      <c r="H124" s="1670" t="s">
        <v>4383</v>
      </c>
      <c r="I124" s="1670" t="s">
        <v>4083</v>
      </c>
      <c r="J124" s="1671" t="s">
        <v>2086</v>
      </c>
      <c r="K124" s="1668" t="s">
        <v>4620</v>
      </c>
      <c r="L124" s="1671" t="s">
        <v>4621</v>
      </c>
      <c r="M124" s="1666" t="s">
        <v>4054</v>
      </c>
      <c r="N124" s="1668" t="s">
        <v>4055</v>
      </c>
      <c r="O124" s="1618"/>
      <c r="P124" s="1618"/>
    </row>
    <row r="125" ht="27.75" customHeight="1">
      <c r="A125" s="1672">
        <v>120.0</v>
      </c>
      <c r="B125" s="1673">
        <v>73.0</v>
      </c>
      <c r="C125" s="1674" t="s">
        <v>4622</v>
      </c>
      <c r="D125" s="1675"/>
      <c r="E125" s="1675" t="s">
        <v>4198</v>
      </c>
      <c r="F125" s="1675" t="s">
        <v>4422</v>
      </c>
      <c r="G125" s="1676">
        <v>77.0</v>
      </c>
      <c r="H125" s="1677" t="s">
        <v>4383</v>
      </c>
      <c r="I125" s="1677" t="s">
        <v>4083</v>
      </c>
      <c r="J125" s="1679" t="s">
        <v>2086</v>
      </c>
      <c r="K125" s="1675" t="s">
        <v>4623</v>
      </c>
      <c r="L125" s="1679" t="s">
        <v>4624</v>
      </c>
      <c r="M125" s="1673" t="s">
        <v>4054</v>
      </c>
      <c r="N125" s="1675" t="s">
        <v>4055</v>
      </c>
      <c r="O125" s="1618"/>
      <c r="P125" s="1618"/>
    </row>
    <row r="126" ht="27.75" customHeight="1">
      <c r="A126" s="1665">
        <v>121.0</v>
      </c>
      <c r="B126" s="1666">
        <v>74.0</v>
      </c>
      <c r="C126" s="1667" t="s">
        <v>4625</v>
      </c>
      <c r="D126" s="1668" t="s">
        <v>4626</v>
      </c>
      <c r="E126" s="1668" t="s">
        <v>4198</v>
      </c>
      <c r="F126" s="1668" t="s">
        <v>4627</v>
      </c>
      <c r="G126" s="1669">
        <v>77.0</v>
      </c>
      <c r="H126" s="1670" t="s">
        <v>4383</v>
      </c>
      <c r="I126" s="1670" t="s">
        <v>4066</v>
      </c>
      <c r="J126" s="1671" t="s">
        <v>2086</v>
      </c>
      <c r="K126" s="1668" t="s">
        <v>4628</v>
      </c>
      <c r="L126" s="1671" t="s">
        <v>4629</v>
      </c>
      <c r="M126" s="1666" t="s">
        <v>4054</v>
      </c>
      <c r="N126" s="1668" t="s">
        <v>4055</v>
      </c>
      <c r="O126" s="1618"/>
      <c r="P126" s="1618"/>
    </row>
    <row r="127" ht="27.75" customHeight="1">
      <c r="A127" s="1672">
        <v>122.0</v>
      </c>
      <c r="B127" s="1673">
        <v>88.0</v>
      </c>
      <c r="C127" s="1674" t="s">
        <v>4630</v>
      </c>
      <c r="D127" s="1675" t="s">
        <v>4631</v>
      </c>
      <c r="E127" s="1675" t="s">
        <v>4058</v>
      </c>
      <c r="F127" s="1675" t="s">
        <v>4203</v>
      </c>
      <c r="G127" s="1676">
        <v>77.0</v>
      </c>
      <c r="H127" s="1677" t="s">
        <v>4383</v>
      </c>
      <c r="I127" s="1677" t="s">
        <v>4083</v>
      </c>
      <c r="J127" s="1679" t="s">
        <v>2086</v>
      </c>
      <c r="K127" s="1675" t="s">
        <v>4632</v>
      </c>
      <c r="L127" s="1679" t="s">
        <v>4633</v>
      </c>
      <c r="M127" s="1673" t="s">
        <v>4054</v>
      </c>
      <c r="N127" s="1675" t="s">
        <v>4055</v>
      </c>
      <c r="O127" s="1618"/>
      <c r="P127" s="1618"/>
    </row>
    <row r="128" ht="27.75" customHeight="1">
      <c r="A128" s="1665">
        <v>123.0</v>
      </c>
      <c r="B128" s="1666">
        <v>90.0</v>
      </c>
      <c r="C128" s="1667" t="s">
        <v>4634</v>
      </c>
      <c r="D128" s="1668" t="s">
        <v>4064</v>
      </c>
      <c r="E128" s="1668" t="s">
        <v>4058</v>
      </c>
      <c r="F128" s="1668" t="s">
        <v>4065</v>
      </c>
      <c r="G128" s="1669">
        <v>77.0</v>
      </c>
      <c r="H128" s="1670" t="s">
        <v>4383</v>
      </c>
      <c r="I128" s="1670" t="s">
        <v>4066</v>
      </c>
      <c r="J128" s="1671" t="s">
        <v>2086</v>
      </c>
      <c r="K128" s="1668" t="s">
        <v>4635</v>
      </c>
      <c r="L128" s="1671" t="s">
        <v>4636</v>
      </c>
      <c r="M128" s="1666" t="s">
        <v>4054</v>
      </c>
      <c r="N128" s="1668" t="s">
        <v>4055</v>
      </c>
      <c r="O128" s="1618"/>
      <c r="P128" s="1618"/>
    </row>
    <row r="129" ht="27.75" customHeight="1">
      <c r="A129" s="1672">
        <v>124.0</v>
      </c>
      <c r="B129" s="1673">
        <v>121.0</v>
      </c>
      <c r="C129" s="1674" t="s">
        <v>4637</v>
      </c>
      <c r="D129" s="1675" t="s">
        <v>4638</v>
      </c>
      <c r="E129" s="1675" t="s">
        <v>4071</v>
      </c>
      <c r="F129" s="1675" t="s">
        <v>4639</v>
      </c>
      <c r="G129" s="1676">
        <v>77.0</v>
      </c>
      <c r="H129" s="1677" t="s">
        <v>4383</v>
      </c>
      <c r="I129" s="1678" t="s">
        <v>492</v>
      </c>
      <c r="J129" s="1679" t="s">
        <v>4073</v>
      </c>
      <c r="K129" s="1675" t="s">
        <v>4640</v>
      </c>
      <c r="L129" s="1679" t="s">
        <v>4641</v>
      </c>
      <c r="M129" s="1673" t="s">
        <v>4054</v>
      </c>
      <c r="N129" s="1675" t="s">
        <v>4055</v>
      </c>
      <c r="O129" s="1618"/>
      <c r="P129" s="1618"/>
    </row>
    <row r="130" ht="27.75" customHeight="1">
      <c r="A130" s="1665">
        <v>125.0</v>
      </c>
      <c r="B130" s="1666">
        <v>125.0</v>
      </c>
      <c r="C130" s="1667" t="s">
        <v>4642</v>
      </c>
      <c r="D130" s="1668" t="s">
        <v>4643</v>
      </c>
      <c r="E130" s="1668" t="s">
        <v>4071</v>
      </c>
      <c r="F130" s="1668" t="s">
        <v>3455</v>
      </c>
      <c r="G130" s="1669">
        <v>77.0</v>
      </c>
      <c r="H130" s="1670" t="s">
        <v>4383</v>
      </c>
      <c r="I130" s="1680" t="s">
        <v>492</v>
      </c>
      <c r="J130" s="1671" t="s">
        <v>4073</v>
      </c>
      <c r="K130" s="1668" t="s">
        <v>4644</v>
      </c>
      <c r="L130" s="1671" t="s">
        <v>4645</v>
      </c>
      <c r="M130" s="1666" t="s">
        <v>4054</v>
      </c>
      <c r="N130" s="1668" t="s">
        <v>4055</v>
      </c>
      <c r="O130" s="1618"/>
      <c r="P130" s="1618"/>
    </row>
    <row r="131" ht="27.75" customHeight="1">
      <c r="A131" s="1672">
        <v>126.0</v>
      </c>
      <c r="B131" s="1673">
        <v>126.0</v>
      </c>
      <c r="C131" s="1674" t="s">
        <v>4646</v>
      </c>
      <c r="D131" s="1675"/>
      <c r="E131" s="1675" t="s">
        <v>4071</v>
      </c>
      <c r="F131" s="1675" t="s">
        <v>4647</v>
      </c>
      <c r="G131" s="1676">
        <v>77.0</v>
      </c>
      <c r="H131" s="1677" t="s">
        <v>4383</v>
      </c>
      <c r="I131" s="1678" t="s">
        <v>492</v>
      </c>
      <c r="J131" s="1679" t="s">
        <v>4073</v>
      </c>
      <c r="K131" s="1675" t="s">
        <v>4648</v>
      </c>
      <c r="L131" s="1679" t="s">
        <v>4649</v>
      </c>
      <c r="M131" s="1673" t="s">
        <v>4054</v>
      </c>
      <c r="N131" s="1675" t="s">
        <v>4055</v>
      </c>
      <c r="O131" s="1618"/>
      <c r="P131" s="1618"/>
    </row>
    <row r="132" ht="27.75" customHeight="1">
      <c r="A132" s="1665">
        <v>127.0</v>
      </c>
      <c r="B132" s="1666">
        <v>127.0</v>
      </c>
      <c r="C132" s="1667" t="s">
        <v>4650</v>
      </c>
      <c r="D132" s="1668" t="s">
        <v>4651</v>
      </c>
      <c r="E132" s="1668" t="s">
        <v>4071</v>
      </c>
      <c r="F132" s="1668" t="s">
        <v>4652</v>
      </c>
      <c r="G132" s="1669">
        <v>77.0</v>
      </c>
      <c r="H132" s="1670" t="s">
        <v>4383</v>
      </c>
      <c r="I132" s="1680" t="s">
        <v>492</v>
      </c>
      <c r="J132" s="1671" t="s">
        <v>4073</v>
      </c>
      <c r="K132" s="1668" t="s">
        <v>4653</v>
      </c>
      <c r="L132" s="1671" t="s">
        <v>4654</v>
      </c>
      <c r="M132" s="1666" t="s">
        <v>4054</v>
      </c>
      <c r="N132" s="1668" t="s">
        <v>4055</v>
      </c>
      <c r="O132" s="1618"/>
      <c r="P132" s="1618"/>
    </row>
    <row r="133" ht="27.75" customHeight="1">
      <c r="A133" s="1672">
        <v>128.0</v>
      </c>
      <c r="B133" s="1673">
        <v>129.0</v>
      </c>
      <c r="C133" s="1674" t="s">
        <v>4655</v>
      </c>
      <c r="D133" s="1675" t="s">
        <v>4656</v>
      </c>
      <c r="E133" s="1675" t="s">
        <v>4071</v>
      </c>
      <c r="F133" s="1675" t="s">
        <v>4657</v>
      </c>
      <c r="G133" s="1676">
        <v>77.0</v>
      </c>
      <c r="H133" s="1677" t="s">
        <v>4383</v>
      </c>
      <c r="I133" s="1678" t="s">
        <v>492</v>
      </c>
      <c r="J133" s="1679" t="s">
        <v>4073</v>
      </c>
      <c r="K133" s="1675" t="s">
        <v>4658</v>
      </c>
      <c r="L133" s="1679" t="s">
        <v>4659</v>
      </c>
      <c r="M133" s="1673" t="s">
        <v>4054</v>
      </c>
      <c r="N133" s="1675" t="s">
        <v>4055</v>
      </c>
      <c r="O133" s="1618"/>
      <c r="P133" s="1618"/>
    </row>
    <row r="134" ht="27.75" customHeight="1">
      <c r="A134" s="1665">
        <v>129.0</v>
      </c>
      <c r="B134" s="1666">
        <v>130.0</v>
      </c>
      <c r="C134" s="1667" t="s">
        <v>4660</v>
      </c>
      <c r="D134" s="1668" t="s">
        <v>4661</v>
      </c>
      <c r="E134" s="1668" t="s">
        <v>4071</v>
      </c>
      <c r="F134" s="1668" t="s">
        <v>4662</v>
      </c>
      <c r="G134" s="1669">
        <v>77.0</v>
      </c>
      <c r="H134" s="1670" t="s">
        <v>4383</v>
      </c>
      <c r="I134" s="1680" t="s">
        <v>492</v>
      </c>
      <c r="J134" s="1671" t="s">
        <v>4073</v>
      </c>
      <c r="K134" s="1668" t="s">
        <v>4663</v>
      </c>
      <c r="L134" s="1671" t="s">
        <v>4664</v>
      </c>
      <c r="M134" s="1666" t="s">
        <v>4054</v>
      </c>
      <c r="N134" s="1668" t="s">
        <v>4055</v>
      </c>
      <c r="O134" s="1618"/>
      <c r="P134" s="1618"/>
    </row>
    <row r="135" ht="27.75" customHeight="1">
      <c r="A135" s="1672">
        <v>130.0</v>
      </c>
      <c r="B135" s="1673">
        <v>75.0</v>
      </c>
      <c r="C135" s="1674" t="s">
        <v>4665</v>
      </c>
      <c r="D135" s="1675"/>
      <c r="E135" s="1675" t="s">
        <v>4198</v>
      </c>
      <c r="F135" s="1675" t="s">
        <v>4422</v>
      </c>
      <c r="G135" s="1676">
        <v>76.0</v>
      </c>
      <c r="H135" s="1677" t="s">
        <v>4383</v>
      </c>
      <c r="I135" s="1677" t="s">
        <v>2851</v>
      </c>
      <c r="J135" s="1679" t="s">
        <v>2086</v>
      </c>
      <c r="K135" s="1675" t="s">
        <v>4666</v>
      </c>
      <c r="L135" s="1679" t="s">
        <v>4667</v>
      </c>
      <c r="M135" s="1673" t="s">
        <v>4054</v>
      </c>
      <c r="N135" s="1675" t="s">
        <v>4055</v>
      </c>
      <c r="O135" s="1618"/>
      <c r="P135" s="1618"/>
    </row>
    <row r="136" ht="27.75" customHeight="1">
      <c r="A136" s="1665">
        <v>131.0</v>
      </c>
      <c r="B136" s="1666">
        <v>107.0</v>
      </c>
      <c r="C136" s="1667" t="s">
        <v>4668</v>
      </c>
      <c r="D136" s="1668" t="s">
        <v>4669</v>
      </c>
      <c r="E136" s="1668" t="s">
        <v>4249</v>
      </c>
      <c r="F136" s="1668" t="s">
        <v>4589</v>
      </c>
      <c r="G136" s="1669">
        <v>76.0</v>
      </c>
      <c r="H136" s="1670" t="s">
        <v>4383</v>
      </c>
      <c r="I136" s="1680" t="s">
        <v>492</v>
      </c>
      <c r="J136" s="1671" t="s">
        <v>4073</v>
      </c>
      <c r="K136" s="1668" t="s">
        <v>4670</v>
      </c>
      <c r="L136" s="1671" t="s">
        <v>4671</v>
      </c>
      <c r="M136" s="1666" t="s">
        <v>4054</v>
      </c>
      <c r="N136" s="1668" t="s">
        <v>4055</v>
      </c>
      <c r="O136" s="1618"/>
      <c r="P136" s="1618"/>
    </row>
    <row r="137" ht="27.75" customHeight="1">
      <c r="A137" s="1672">
        <v>132.0</v>
      </c>
      <c r="B137" s="1673">
        <v>108.0</v>
      </c>
      <c r="C137" s="1674" t="s">
        <v>4672</v>
      </c>
      <c r="D137" s="1675" t="s">
        <v>4673</v>
      </c>
      <c r="E137" s="1675" t="s">
        <v>4249</v>
      </c>
      <c r="F137" s="1675" t="s">
        <v>4674</v>
      </c>
      <c r="G137" s="1676">
        <v>76.0</v>
      </c>
      <c r="H137" s="1677" t="s">
        <v>4383</v>
      </c>
      <c r="I137" s="1678" t="s">
        <v>492</v>
      </c>
      <c r="J137" s="1679" t="s">
        <v>4073</v>
      </c>
      <c r="K137" s="1675" t="s">
        <v>4675</v>
      </c>
      <c r="L137" s="1679" t="s">
        <v>4676</v>
      </c>
      <c r="M137" s="1673" t="s">
        <v>4054</v>
      </c>
      <c r="N137" s="1675" t="s">
        <v>4055</v>
      </c>
      <c r="O137" s="1618"/>
      <c r="P137" s="1618"/>
    </row>
    <row r="138" ht="27.75" customHeight="1">
      <c r="A138" s="1665">
        <v>133.0</v>
      </c>
      <c r="B138" s="1666">
        <v>109.0</v>
      </c>
      <c r="C138" s="1667" t="s">
        <v>4677</v>
      </c>
      <c r="D138" s="1668" t="s">
        <v>4678</v>
      </c>
      <c r="E138" s="1668" t="s">
        <v>4249</v>
      </c>
      <c r="F138" s="1668" t="s">
        <v>4679</v>
      </c>
      <c r="G138" s="1669">
        <v>76.0</v>
      </c>
      <c r="H138" s="1670" t="s">
        <v>4383</v>
      </c>
      <c r="I138" s="1680" t="s">
        <v>492</v>
      </c>
      <c r="J138" s="1671" t="s">
        <v>4073</v>
      </c>
      <c r="K138" s="1668" t="s">
        <v>4680</v>
      </c>
      <c r="L138" s="1671" t="s">
        <v>4681</v>
      </c>
      <c r="M138" s="1666" t="s">
        <v>4054</v>
      </c>
      <c r="N138" s="1668" t="s">
        <v>4055</v>
      </c>
      <c r="O138" s="1618"/>
      <c r="P138" s="1618"/>
    </row>
    <row r="139" ht="27.75" customHeight="1">
      <c r="A139" s="1672">
        <v>134.0</v>
      </c>
      <c r="B139" s="1673">
        <v>110.0</v>
      </c>
      <c r="C139" s="1674" t="s">
        <v>4682</v>
      </c>
      <c r="D139" s="1675" t="s">
        <v>4683</v>
      </c>
      <c r="E139" s="1675" t="s">
        <v>4249</v>
      </c>
      <c r="F139" s="1675" t="s">
        <v>4684</v>
      </c>
      <c r="G139" s="1676">
        <v>76.0</v>
      </c>
      <c r="H139" s="1677" t="s">
        <v>4383</v>
      </c>
      <c r="I139" s="1678" t="s">
        <v>492</v>
      </c>
      <c r="J139" s="1679" t="s">
        <v>4073</v>
      </c>
      <c r="K139" s="1675" t="s">
        <v>4685</v>
      </c>
      <c r="L139" s="1679" t="s">
        <v>4686</v>
      </c>
      <c r="M139" s="1673" t="s">
        <v>4054</v>
      </c>
      <c r="N139" s="1675" t="s">
        <v>4055</v>
      </c>
      <c r="O139" s="1618"/>
      <c r="P139" s="1618"/>
    </row>
    <row r="140" ht="27.75" customHeight="1">
      <c r="A140" s="1665">
        <v>135.0</v>
      </c>
      <c r="B140" s="1666">
        <v>112.0</v>
      </c>
      <c r="C140" s="1667" t="s">
        <v>4687</v>
      </c>
      <c r="D140" s="1668" t="s">
        <v>4688</v>
      </c>
      <c r="E140" s="1668" t="s">
        <v>4249</v>
      </c>
      <c r="F140" s="1668" t="s">
        <v>4689</v>
      </c>
      <c r="G140" s="1669">
        <v>76.0</v>
      </c>
      <c r="H140" s="1670" t="s">
        <v>4383</v>
      </c>
      <c r="I140" s="1680" t="s">
        <v>492</v>
      </c>
      <c r="J140" s="1671" t="s">
        <v>4073</v>
      </c>
      <c r="K140" s="1668" t="s">
        <v>4690</v>
      </c>
      <c r="L140" s="1671" t="s">
        <v>4691</v>
      </c>
      <c r="M140" s="1666" t="s">
        <v>4054</v>
      </c>
      <c r="N140" s="1668" t="s">
        <v>4055</v>
      </c>
      <c r="O140" s="1618"/>
      <c r="P140" s="1618"/>
    </row>
    <row r="141" ht="27.75" customHeight="1">
      <c r="A141" s="1672">
        <v>136.0</v>
      </c>
      <c r="B141" s="1673">
        <v>183.0</v>
      </c>
      <c r="C141" s="1674" t="s">
        <v>4692</v>
      </c>
      <c r="D141" s="1675" t="s">
        <v>4693</v>
      </c>
      <c r="E141" s="1675" t="s">
        <v>4446</v>
      </c>
      <c r="F141" s="1675" t="s">
        <v>4694</v>
      </c>
      <c r="G141" s="1676">
        <v>76.0</v>
      </c>
      <c r="H141" s="1677" t="s">
        <v>4383</v>
      </c>
      <c r="I141" s="1678" t="s">
        <v>492</v>
      </c>
      <c r="J141" s="1679" t="s">
        <v>4073</v>
      </c>
      <c r="K141" s="1675" t="s">
        <v>4695</v>
      </c>
      <c r="L141" s="1679" t="s">
        <v>4696</v>
      </c>
      <c r="M141" s="1673" t="s">
        <v>4054</v>
      </c>
      <c r="N141" s="1675" t="s">
        <v>4055</v>
      </c>
      <c r="O141" s="1618"/>
      <c r="P141" s="1618"/>
    </row>
    <row r="142" ht="27.75" customHeight="1">
      <c r="A142" s="1665">
        <v>137.0</v>
      </c>
      <c r="B142" s="1666">
        <v>104.0</v>
      </c>
      <c r="C142" s="1667" t="s">
        <v>4697</v>
      </c>
      <c r="D142" s="1668" t="s">
        <v>4698</v>
      </c>
      <c r="E142" s="1668" t="s">
        <v>4225</v>
      </c>
      <c r="F142" s="1668" t="s">
        <v>4699</v>
      </c>
      <c r="G142" s="1669">
        <v>75.0</v>
      </c>
      <c r="H142" s="1670" t="s">
        <v>4383</v>
      </c>
      <c r="I142" s="1670" t="s">
        <v>4097</v>
      </c>
      <c r="J142" s="1671" t="s">
        <v>2086</v>
      </c>
      <c r="K142" s="1668" t="s">
        <v>4700</v>
      </c>
      <c r="L142" s="1671" t="s">
        <v>4701</v>
      </c>
      <c r="M142" s="1666" t="s">
        <v>4054</v>
      </c>
      <c r="N142" s="1668" t="s">
        <v>4055</v>
      </c>
      <c r="O142" s="1618"/>
      <c r="P142" s="1618"/>
    </row>
    <row r="143" ht="27.75" customHeight="1">
      <c r="A143" s="1672">
        <v>138.0</v>
      </c>
      <c r="B143" s="1673">
        <v>176.0</v>
      </c>
      <c r="C143" s="1674" t="s">
        <v>4702</v>
      </c>
      <c r="D143" s="1675"/>
      <c r="E143" s="1675" t="s">
        <v>4446</v>
      </c>
      <c r="F143" s="1675" t="s">
        <v>4703</v>
      </c>
      <c r="G143" s="1676">
        <v>75.0</v>
      </c>
      <c r="H143" s="1677" t="s">
        <v>4383</v>
      </c>
      <c r="I143" s="1678" t="s">
        <v>492</v>
      </c>
      <c r="J143" s="1679" t="s">
        <v>4073</v>
      </c>
      <c r="K143" s="1675" t="s">
        <v>4704</v>
      </c>
      <c r="L143" s="1679" t="s">
        <v>4705</v>
      </c>
      <c r="M143" s="1673" t="s">
        <v>4054</v>
      </c>
      <c r="N143" s="1675" t="s">
        <v>4055</v>
      </c>
      <c r="O143" s="1618"/>
      <c r="P143" s="1618"/>
    </row>
    <row r="144" ht="27.75" customHeight="1">
      <c r="A144" s="1681">
        <v>139.0</v>
      </c>
      <c r="B144" s="1682">
        <v>182.0</v>
      </c>
      <c r="C144" s="1683" t="s">
        <v>4706</v>
      </c>
      <c r="D144" s="1684" t="s">
        <v>4707</v>
      </c>
      <c r="E144" s="1684" t="s">
        <v>4446</v>
      </c>
      <c r="F144" s="1684" t="s">
        <v>4708</v>
      </c>
      <c r="G144" s="1685">
        <v>74.0</v>
      </c>
      <c r="H144" s="1686" t="s">
        <v>4709</v>
      </c>
      <c r="I144" s="1687" t="s">
        <v>492</v>
      </c>
      <c r="J144" s="1688" t="s">
        <v>4073</v>
      </c>
      <c r="K144" s="1684" t="s">
        <v>4710</v>
      </c>
      <c r="L144" s="1688" t="s">
        <v>4711</v>
      </c>
      <c r="M144" s="1682" t="s">
        <v>4054</v>
      </c>
      <c r="N144" s="1684" t="s">
        <v>4055</v>
      </c>
      <c r="O144" s="1618"/>
      <c r="P144" s="1618"/>
    </row>
    <row r="145" ht="27.75" customHeight="1">
      <c r="A145" s="1619">
        <v>140.0</v>
      </c>
      <c r="B145" s="1620">
        <v>131.0</v>
      </c>
      <c r="C145" s="1621" t="s">
        <v>4712</v>
      </c>
      <c r="D145" s="1622"/>
      <c r="E145" s="1622" t="s">
        <v>4713</v>
      </c>
      <c r="F145" s="1622" t="s">
        <v>4647</v>
      </c>
      <c r="G145" s="1689">
        <v>73.0</v>
      </c>
      <c r="H145" s="1690" t="s">
        <v>4709</v>
      </c>
      <c r="I145" s="1628" t="s">
        <v>492</v>
      </c>
      <c r="J145" s="1626" t="s">
        <v>4073</v>
      </c>
      <c r="K145" s="1622" t="s">
        <v>4714</v>
      </c>
      <c r="L145" s="1626" t="s">
        <v>4715</v>
      </c>
      <c r="M145" s="1620" t="s">
        <v>4054</v>
      </c>
      <c r="N145" s="1622" t="s">
        <v>4055</v>
      </c>
      <c r="O145" s="1618"/>
      <c r="P145" s="1618"/>
    </row>
    <row r="146" ht="27.75" customHeight="1">
      <c r="A146" s="1681">
        <v>141.0</v>
      </c>
      <c r="B146" s="1682">
        <v>132.0</v>
      </c>
      <c r="C146" s="1683" t="s">
        <v>4716</v>
      </c>
      <c r="D146" s="1684"/>
      <c r="E146" s="1684" t="s">
        <v>4713</v>
      </c>
      <c r="F146" s="1684" t="s">
        <v>4717</v>
      </c>
      <c r="G146" s="1685">
        <v>73.0</v>
      </c>
      <c r="H146" s="1686" t="s">
        <v>4709</v>
      </c>
      <c r="I146" s="1687" t="s">
        <v>492</v>
      </c>
      <c r="J146" s="1688" t="s">
        <v>4073</v>
      </c>
      <c r="K146" s="1684" t="s">
        <v>4718</v>
      </c>
      <c r="L146" s="1688" t="s">
        <v>4719</v>
      </c>
      <c r="M146" s="1682" t="s">
        <v>4054</v>
      </c>
      <c r="N146" s="1684" t="s">
        <v>4055</v>
      </c>
      <c r="O146" s="1618"/>
      <c r="P146" s="1618"/>
    </row>
    <row r="147" ht="27.75" customHeight="1">
      <c r="A147" s="1619">
        <v>142.0</v>
      </c>
      <c r="B147" s="1620">
        <v>133.0</v>
      </c>
      <c r="C147" s="1621" t="s">
        <v>4720</v>
      </c>
      <c r="D147" s="1622" t="s">
        <v>4721</v>
      </c>
      <c r="E147" s="1622" t="s">
        <v>4713</v>
      </c>
      <c r="F147" s="1622" t="s">
        <v>4722</v>
      </c>
      <c r="G147" s="1689">
        <v>73.0</v>
      </c>
      <c r="H147" s="1690" t="s">
        <v>4709</v>
      </c>
      <c r="I147" s="1628" t="s">
        <v>492</v>
      </c>
      <c r="J147" s="1626" t="s">
        <v>4073</v>
      </c>
      <c r="K147" s="1622" t="s">
        <v>4723</v>
      </c>
      <c r="L147" s="1626" t="s">
        <v>4724</v>
      </c>
      <c r="M147" s="1620" t="s">
        <v>4054</v>
      </c>
      <c r="N147" s="1622" t="s">
        <v>4055</v>
      </c>
      <c r="O147" s="1618"/>
      <c r="P147" s="1618"/>
    </row>
    <row r="148" ht="27.75" customHeight="1">
      <c r="A148" s="1681">
        <v>143.0</v>
      </c>
      <c r="B148" s="1682">
        <v>134.0</v>
      </c>
      <c r="C148" s="1683" t="s">
        <v>4725</v>
      </c>
      <c r="D148" s="1684"/>
      <c r="E148" s="1684" t="s">
        <v>4713</v>
      </c>
      <c r="F148" s="1684" t="s">
        <v>4647</v>
      </c>
      <c r="G148" s="1685">
        <v>73.0</v>
      </c>
      <c r="H148" s="1686" t="s">
        <v>4709</v>
      </c>
      <c r="I148" s="1687" t="s">
        <v>492</v>
      </c>
      <c r="J148" s="1688" t="s">
        <v>4073</v>
      </c>
      <c r="K148" s="1684" t="s">
        <v>4726</v>
      </c>
      <c r="L148" s="1688" t="s">
        <v>4727</v>
      </c>
      <c r="M148" s="1682" t="s">
        <v>4054</v>
      </c>
      <c r="N148" s="1684" t="s">
        <v>4055</v>
      </c>
      <c r="O148" s="1618"/>
      <c r="P148" s="1618"/>
    </row>
    <row r="149" ht="27.75" customHeight="1">
      <c r="A149" s="1619">
        <v>144.0</v>
      </c>
      <c r="B149" s="1620">
        <v>148.0</v>
      </c>
      <c r="C149" s="1621" t="s">
        <v>4728</v>
      </c>
      <c r="D149" s="1622" t="s">
        <v>4729</v>
      </c>
      <c r="E149" s="1622" t="s">
        <v>4730</v>
      </c>
      <c r="F149" s="1622" t="s">
        <v>4731</v>
      </c>
      <c r="G149" s="1689">
        <v>73.0</v>
      </c>
      <c r="H149" s="1690" t="s">
        <v>4709</v>
      </c>
      <c r="I149" s="1628" t="s">
        <v>492</v>
      </c>
      <c r="J149" s="1626" t="s">
        <v>4073</v>
      </c>
      <c r="K149" s="1622" t="s">
        <v>4732</v>
      </c>
      <c r="L149" s="1626" t="s">
        <v>4733</v>
      </c>
      <c r="M149" s="1620" t="s">
        <v>4054</v>
      </c>
      <c r="N149" s="1622" t="s">
        <v>4055</v>
      </c>
      <c r="O149" s="1618"/>
      <c r="P149" s="1618"/>
    </row>
    <row r="150" ht="27.75" customHeight="1">
      <c r="A150" s="1681">
        <v>145.0</v>
      </c>
      <c r="B150" s="1682">
        <v>120.0</v>
      </c>
      <c r="C150" s="1683" t="s">
        <v>4734</v>
      </c>
      <c r="D150" s="1684" t="s">
        <v>4735</v>
      </c>
      <c r="E150" s="1684" t="s">
        <v>4071</v>
      </c>
      <c r="F150" s="1684" t="s">
        <v>4736</v>
      </c>
      <c r="G150" s="1685">
        <v>72.0</v>
      </c>
      <c r="H150" s="1686" t="s">
        <v>4709</v>
      </c>
      <c r="I150" s="1691" t="s">
        <v>4097</v>
      </c>
      <c r="J150" s="1688" t="s">
        <v>4073</v>
      </c>
      <c r="K150" s="1684" t="s">
        <v>4737</v>
      </c>
      <c r="L150" s="1688" t="s">
        <v>4738</v>
      </c>
      <c r="M150" s="1682" t="s">
        <v>4054</v>
      </c>
      <c r="N150" s="1684" t="s">
        <v>4055</v>
      </c>
      <c r="O150" s="1618"/>
      <c r="P150" s="1618"/>
    </row>
    <row r="151" ht="27.75" customHeight="1">
      <c r="A151" s="1619">
        <v>146.0</v>
      </c>
      <c r="B151" s="1620">
        <v>124.0</v>
      </c>
      <c r="C151" s="1621" t="s">
        <v>4739</v>
      </c>
      <c r="D151" s="1622" t="s">
        <v>4740</v>
      </c>
      <c r="E151" s="1622" t="s">
        <v>4071</v>
      </c>
      <c r="F151" s="1622" t="s">
        <v>4741</v>
      </c>
      <c r="G151" s="1689">
        <v>72.0</v>
      </c>
      <c r="H151" s="1690" t="s">
        <v>4709</v>
      </c>
      <c r="I151" s="1625" t="s">
        <v>4742</v>
      </c>
      <c r="J151" s="1626" t="s">
        <v>4073</v>
      </c>
      <c r="K151" s="1622" t="s">
        <v>4743</v>
      </c>
      <c r="L151" s="1626" t="s">
        <v>4744</v>
      </c>
      <c r="M151" s="1620" t="s">
        <v>4054</v>
      </c>
      <c r="N151" s="1622" t="s">
        <v>4055</v>
      </c>
      <c r="O151" s="1618"/>
      <c r="P151" s="1618"/>
    </row>
    <row r="152" ht="27.75" customHeight="1">
      <c r="A152" s="1681">
        <v>147.0</v>
      </c>
      <c r="B152" s="1682">
        <v>128.0</v>
      </c>
      <c r="C152" s="1683" t="s">
        <v>4745</v>
      </c>
      <c r="D152" s="1684" t="s">
        <v>4746</v>
      </c>
      <c r="E152" s="1684" t="s">
        <v>4071</v>
      </c>
      <c r="F152" s="1684" t="s">
        <v>4747</v>
      </c>
      <c r="G152" s="1685">
        <v>72.0</v>
      </c>
      <c r="H152" s="1686" t="s">
        <v>4709</v>
      </c>
      <c r="I152" s="1691" t="s">
        <v>4097</v>
      </c>
      <c r="J152" s="1688" t="s">
        <v>4073</v>
      </c>
      <c r="K152" s="1684" t="s">
        <v>4748</v>
      </c>
      <c r="L152" s="1688" t="s">
        <v>4749</v>
      </c>
      <c r="M152" s="1682" t="s">
        <v>4054</v>
      </c>
      <c r="N152" s="1684" t="s">
        <v>4055</v>
      </c>
      <c r="O152" s="1618"/>
      <c r="P152" s="1618"/>
    </row>
    <row r="153" ht="27.75" customHeight="1">
      <c r="A153" s="1619">
        <v>148.0</v>
      </c>
      <c r="B153" s="1620">
        <v>135.0</v>
      </c>
      <c r="C153" s="1621" t="s">
        <v>4750</v>
      </c>
      <c r="D153" s="1622"/>
      <c r="E153" s="1622" t="s">
        <v>4713</v>
      </c>
      <c r="F153" s="1622" t="s">
        <v>4647</v>
      </c>
      <c r="G153" s="1689">
        <v>72.0</v>
      </c>
      <c r="H153" s="1690" t="s">
        <v>4709</v>
      </c>
      <c r="I153" s="1628" t="s">
        <v>492</v>
      </c>
      <c r="J153" s="1626" t="s">
        <v>4073</v>
      </c>
      <c r="K153" s="1622" t="s">
        <v>4751</v>
      </c>
      <c r="L153" s="1626" t="s">
        <v>4752</v>
      </c>
      <c r="M153" s="1620" t="s">
        <v>4054</v>
      </c>
      <c r="N153" s="1622" t="s">
        <v>4055</v>
      </c>
      <c r="O153" s="1618"/>
      <c r="P153" s="1618"/>
    </row>
    <row r="154" ht="27.75" customHeight="1">
      <c r="A154" s="1681">
        <v>149.0</v>
      </c>
      <c r="B154" s="1682">
        <v>138.0</v>
      </c>
      <c r="C154" s="1683" t="s">
        <v>4753</v>
      </c>
      <c r="D154" s="1684" t="s">
        <v>4754</v>
      </c>
      <c r="E154" s="1684" t="s">
        <v>4713</v>
      </c>
      <c r="F154" s="1684" t="s">
        <v>4755</v>
      </c>
      <c r="G154" s="1685">
        <v>72.0</v>
      </c>
      <c r="H154" s="1686" t="s">
        <v>4709</v>
      </c>
      <c r="I154" s="1687" t="s">
        <v>492</v>
      </c>
      <c r="J154" s="1688" t="s">
        <v>4073</v>
      </c>
      <c r="K154" s="1684" t="s">
        <v>4756</v>
      </c>
      <c r="L154" s="1688" t="s">
        <v>4757</v>
      </c>
      <c r="M154" s="1682" t="s">
        <v>4054</v>
      </c>
      <c r="N154" s="1684" t="s">
        <v>4055</v>
      </c>
      <c r="O154" s="1618"/>
      <c r="P154" s="1618"/>
    </row>
    <row r="155" ht="27.75" customHeight="1">
      <c r="A155" s="1619">
        <v>150.0</v>
      </c>
      <c r="B155" s="1620">
        <v>139.0</v>
      </c>
      <c r="C155" s="1621" t="s">
        <v>4758</v>
      </c>
      <c r="D155" s="1622" t="s">
        <v>4759</v>
      </c>
      <c r="E155" s="1622" t="s">
        <v>4713</v>
      </c>
      <c r="F155" s="1622" t="s">
        <v>4755</v>
      </c>
      <c r="G155" s="1689">
        <v>72.0</v>
      </c>
      <c r="H155" s="1690" t="s">
        <v>4709</v>
      </c>
      <c r="I155" s="1628" t="s">
        <v>492</v>
      </c>
      <c r="J155" s="1626" t="s">
        <v>4073</v>
      </c>
      <c r="K155" s="1622" t="s">
        <v>4760</v>
      </c>
      <c r="L155" s="1626" t="s">
        <v>4761</v>
      </c>
      <c r="M155" s="1620" t="s">
        <v>4054</v>
      </c>
      <c r="N155" s="1622" t="s">
        <v>4055</v>
      </c>
      <c r="O155" s="1618"/>
      <c r="P155" s="1618"/>
    </row>
    <row r="156" ht="27.75" customHeight="1">
      <c r="A156" s="1681">
        <v>151.0</v>
      </c>
      <c r="B156" s="1682">
        <v>141.0</v>
      </c>
      <c r="C156" s="1683" t="s">
        <v>4762</v>
      </c>
      <c r="D156" s="1684" t="s">
        <v>4763</v>
      </c>
      <c r="E156" s="1684" t="s">
        <v>4713</v>
      </c>
      <c r="F156" s="1684" t="s">
        <v>4764</v>
      </c>
      <c r="G156" s="1685">
        <v>72.0</v>
      </c>
      <c r="H156" s="1686" t="s">
        <v>4709</v>
      </c>
      <c r="I156" s="1687" t="s">
        <v>492</v>
      </c>
      <c r="J156" s="1688" t="s">
        <v>4073</v>
      </c>
      <c r="K156" s="1684" t="s">
        <v>4765</v>
      </c>
      <c r="L156" s="1688" t="s">
        <v>4766</v>
      </c>
      <c r="M156" s="1682" t="s">
        <v>4054</v>
      </c>
      <c r="N156" s="1684" t="s">
        <v>4055</v>
      </c>
      <c r="O156" s="1618"/>
      <c r="P156" s="1618"/>
    </row>
    <row r="157" ht="27.75" customHeight="1">
      <c r="A157" s="1619">
        <v>152.0</v>
      </c>
      <c r="B157" s="1620">
        <v>142.0</v>
      </c>
      <c r="C157" s="1621" t="s">
        <v>4767</v>
      </c>
      <c r="D157" s="1622" t="s">
        <v>4768</v>
      </c>
      <c r="E157" s="1622" t="s">
        <v>4713</v>
      </c>
      <c r="F157" s="1622" t="s">
        <v>4769</v>
      </c>
      <c r="G157" s="1689">
        <v>72.0</v>
      </c>
      <c r="H157" s="1690" t="s">
        <v>4709</v>
      </c>
      <c r="I157" s="1628" t="s">
        <v>492</v>
      </c>
      <c r="J157" s="1626" t="s">
        <v>4073</v>
      </c>
      <c r="K157" s="1622" t="s">
        <v>4770</v>
      </c>
      <c r="L157" s="1626" t="s">
        <v>4771</v>
      </c>
      <c r="M157" s="1620" t="s">
        <v>4054</v>
      </c>
      <c r="N157" s="1622" t="s">
        <v>4055</v>
      </c>
      <c r="O157" s="1618"/>
      <c r="P157" s="1618"/>
    </row>
    <row r="158" ht="27.75" customHeight="1">
      <c r="A158" s="1681">
        <v>153.0</v>
      </c>
      <c r="B158" s="1682">
        <v>143.0</v>
      </c>
      <c r="C158" s="1683" t="s">
        <v>4772</v>
      </c>
      <c r="D158" s="1684" t="s">
        <v>4773</v>
      </c>
      <c r="E158" s="1684" t="s">
        <v>4713</v>
      </c>
      <c r="F158" s="1684" t="s">
        <v>4774</v>
      </c>
      <c r="G158" s="1685">
        <v>72.0</v>
      </c>
      <c r="H158" s="1686" t="s">
        <v>4709</v>
      </c>
      <c r="I158" s="1687" t="s">
        <v>492</v>
      </c>
      <c r="J158" s="1688" t="s">
        <v>4073</v>
      </c>
      <c r="K158" s="1684" t="s">
        <v>4775</v>
      </c>
      <c r="L158" s="1688" t="s">
        <v>4776</v>
      </c>
      <c r="M158" s="1682" t="s">
        <v>4054</v>
      </c>
      <c r="N158" s="1684" t="s">
        <v>4055</v>
      </c>
      <c r="O158" s="1618"/>
      <c r="P158" s="1618"/>
    </row>
    <row r="159" ht="27.75" customHeight="1">
      <c r="A159" s="1619">
        <v>154.0</v>
      </c>
      <c r="B159" s="1620">
        <v>144.0</v>
      </c>
      <c r="C159" s="1621" t="s">
        <v>4777</v>
      </c>
      <c r="D159" s="1622" t="s">
        <v>4778</v>
      </c>
      <c r="E159" s="1622" t="s">
        <v>4713</v>
      </c>
      <c r="F159" s="1622" t="s">
        <v>4779</v>
      </c>
      <c r="G159" s="1689">
        <v>72.0</v>
      </c>
      <c r="H159" s="1690" t="s">
        <v>4709</v>
      </c>
      <c r="I159" s="1628" t="s">
        <v>492</v>
      </c>
      <c r="J159" s="1626" t="s">
        <v>4073</v>
      </c>
      <c r="K159" s="1622" t="s">
        <v>4780</v>
      </c>
      <c r="L159" s="1626" t="s">
        <v>4781</v>
      </c>
      <c r="M159" s="1620" t="s">
        <v>4054</v>
      </c>
      <c r="N159" s="1622" t="s">
        <v>4055</v>
      </c>
      <c r="O159" s="1618"/>
      <c r="P159" s="1618"/>
    </row>
    <row r="160" ht="27.75" customHeight="1">
      <c r="A160" s="1681">
        <v>155.0</v>
      </c>
      <c r="B160" s="1682">
        <v>151.0</v>
      </c>
      <c r="C160" s="1683" t="s">
        <v>4782</v>
      </c>
      <c r="D160" s="1684" t="s">
        <v>4783</v>
      </c>
      <c r="E160" s="1684" t="s">
        <v>4730</v>
      </c>
      <c r="F160" s="1684" t="s">
        <v>4784</v>
      </c>
      <c r="G160" s="1685">
        <v>72.0</v>
      </c>
      <c r="H160" s="1686" t="s">
        <v>4709</v>
      </c>
      <c r="I160" s="1687" t="s">
        <v>492</v>
      </c>
      <c r="J160" s="1688" t="s">
        <v>4073</v>
      </c>
      <c r="K160" s="1684" t="s">
        <v>4785</v>
      </c>
      <c r="L160" s="1688" t="s">
        <v>4786</v>
      </c>
      <c r="M160" s="1682" t="s">
        <v>4054</v>
      </c>
      <c r="N160" s="1684" t="s">
        <v>4055</v>
      </c>
      <c r="O160" s="1618"/>
      <c r="P160" s="1618"/>
    </row>
    <row r="161" ht="27.75" customHeight="1">
      <c r="A161" s="1619">
        <v>156.0</v>
      </c>
      <c r="B161" s="1620">
        <v>152.0</v>
      </c>
      <c r="C161" s="1621" t="s">
        <v>4787</v>
      </c>
      <c r="D161" s="1622" t="s">
        <v>4788</v>
      </c>
      <c r="E161" s="1622" t="s">
        <v>4730</v>
      </c>
      <c r="F161" s="1622" t="s">
        <v>4789</v>
      </c>
      <c r="G161" s="1689">
        <v>72.0</v>
      </c>
      <c r="H161" s="1690" t="s">
        <v>4709</v>
      </c>
      <c r="I161" s="1628" t="s">
        <v>492</v>
      </c>
      <c r="J161" s="1626" t="s">
        <v>4073</v>
      </c>
      <c r="K161" s="1622" t="s">
        <v>4790</v>
      </c>
      <c r="L161" s="1626" t="s">
        <v>4791</v>
      </c>
      <c r="M161" s="1620" t="s">
        <v>4054</v>
      </c>
      <c r="N161" s="1622" t="s">
        <v>4055</v>
      </c>
      <c r="O161" s="1618"/>
      <c r="P161" s="1618"/>
    </row>
    <row r="162" ht="27.75" customHeight="1">
      <c r="A162" s="1681">
        <v>157.0</v>
      </c>
      <c r="B162" s="1682">
        <v>153.0</v>
      </c>
      <c r="C162" s="1683" t="s">
        <v>4792</v>
      </c>
      <c r="D162" s="1684" t="s">
        <v>4793</v>
      </c>
      <c r="E162" s="1684" t="s">
        <v>4730</v>
      </c>
      <c r="F162" s="1684" t="s">
        <v>4794</v>
      </c>
      <c r="G162" s="1685">
        <v>72.0</v>
      </c>
      <c r="H162" s="1686" t="s">
        <v>4709</v>
      </c>
      <c r="I162" s="1687" t="s">
        <v>492</v>
      </c>
      <c r="J162" s="1688" t="s">
        <v>4073</v>
      </c>
      <c r="K162" s="1684" t="s">
        <v>4795</v>
      </c>
      <c r="L162" s="1688" t="s">
        <v>4796</v>
      </c>
      <c r="M162" s="1682" t="s">
        <v>4054</v>
      </c>
      <c r="N162" s="1684" t="s">
        <v>4055</v>
      </c>
      <c r="O162" s="1618"/>
      <c r="P162" s="1618"/>
    </row>
    <row r="163" ht="27.75" customHeight="1">
      <c r="A163" s="1619">
        <v>158.0</v>
      </c>
      <c r="B163" s="1620">
        <v>154.0</v>
      </c>
      <c r="C163" s="1621" t="s">
        <v>4797</v>
      </c>
      <c r="D163" s="1622" t="s">
        <v>4798</v>
      </c>
      <c r="E163" s="1622" t="s">
        <v>4730</v>
      </c>
      <c r="F163" s="1622" t="s">
        <v>4799</v>
      </c>
      <c r="G163" s="1689">
        <v>72.0</v>
      </c>
      <c r="H163" s="1690" t="s">
        <v>4709</v>
      </c>
      <c r="I163" s="1628" t="s">
        <v>492</v>
      </c>
      <c r="J163" s="1626" t="s">
        <v>4073</v>
      </c>
      <c r="K163" s="1622" t="s">
        <v>4800</v>
      </c>
      <c r="L163" s="1626" t="s">
        <v>4801</v>
      </c>
      <c r="M163" s="1620" t="s">
        <v>4054</v>
      </c>
      <c r="N163" s="1622" t="s">
        <v>4055</v>
      </c>
      <c r="O163" s="1618"/>
      <c r="P163" s="1618"/>
    </row>
    <row r="164" ht="27.75" customHeight="1">
      <c r="A164" s="1681">
        <v>159.0</v>
      </c>
      <c r="B164" s="1682">
        <v>156.0</v>
      </c>
      <c r="C164" s="1683" t="s">
        <v>4802</v>
      </c>
      <c r="D164" s="1684"/>
      <c r="E164" s="1684" t="s">
        <v>4730</v>
      </c>
      <c r="F164" s="1684" t="s">
        <v>4803</v>
      </c>
      <c r="G164" s="1685">
        <v>72.0</v>
      </c>
      <c r="H164" s="1686" t="s">
        <v>4709</v>
      </c>
      <c r="I164" s="1687" t="s">
        <v>492</v>
      </c>
      <c r="J164" s="1688" t="s">
        <v>4073</v>
      </c>
      <c r="K164" s="1684" t="s">
        <v>4804</v>
      </c>
      <c r="L164" s="1688" t="s">
        <v>4805</v>
      </c>
      <c r="M164" s="1682" t="s">
        <v>4054</v>
      </c>
      <c r="N164" s="1684" t="s">
        <v>4055</v>
      </c>
      <c r="O164" s="1618"/>
      <c r="P164" s="1618"/>
    </row>
    <row r="165" ht="27.75" customHeight="1">
      <c r="A165" s="1619">
        <v>160.0</v>
      </c>
      <c r="B165" s="1620">
        <v>157.0</v>
      </c>
      <c r="C165" s="1621" t="s">
        <v>4806</v>
      </c>
      <c r="D165" s="1622" t="s">
        <v>4807</v>
      </c>
      <c r="E165" s="1622" t="s">
        <v>4730</v>
      </c>
      <c r="F165" s="1622" t="s">
        <v>4808</v>
      </c>
      <c r="G165" s="1689">
        <v>72.0</v>
      </c>
      <c r="H165" s="1690" t="s">
        <v>4709</v>
      </c>
      <c r="I165" s="1628" t="s">
        <v>492</v>
      </c>
      <c r="J165" s="1626" t="s">
        <v>4073</v>
      </c>
      <c r="K165" s="1622" t="s">
        <v>4809</v>
      </c>
      <c r="L165" s="1626" t="s">
        <v>4810</v>
      </c>
      <c r="M165" s="1620" t="s">
        <v>4054</v>
      </c>
      <c r="N165" s="1622" t="s">
        <v>4055</v>
      </c>
      <c r="O165" s="1618"/>
      <c r="P165" s="1618"/>
    </row>
    <row r="166" ht="27.75" customHeight="1">
      <c r="A166" s="1681">
        <v>161.0</v>
      </c>
      <c r="B166" s="1682">
        <v>159.0</v>
      </c>
      <c r="C166" s="1683" t="s">
        <v>4811</v>
      </c>
      <c r="D166" s="1684" t="s">
        <v>4812</v>
      </c>
      <c r="E166" s="1684" t="s">
        <v>4730</v>
      </c>
      <c r="F166" s="1684" t="s">
        <v>4813</v>
      </c>
      <c r="G166" s="1685">
        <v>72.0</v>
      </c>
      <c r="H166" s="1686" t="s">
        <v>4709</v>
      </c>
      <c r="I166" s="1687" t="s">
        <v>492</v>
      </c>
      <c r="J166" s="1688" t="s">
        <v>4073</v>
      </c>
      <c r="K166" s="1684" t="s">
        <v>4814</v>
      </c>
      <c r="L166" s="1688" t="s">
        <v>4815</v>
      </c>
      <c r="M166" s="1682" t="s">
        <v>4054</v>
      </c>
      <c r="N166" s="1684" t="s">
        <v>4055</v>
      </c>
      <c r="O166" s="1618"/>
      <c r="P166" s="1618"/>
    </row>
    <row r="167" ht="27.75" customHeight="1">
      <c r="A167" s="1619">
        <v>162.0</v>
      </c>
      <c r="B167" s="1620">
        <v>160.0</v>
      </c>
      <c r="C167" s="1621" t="s">
        <v>4816</v>
      </c>
      <c r="D167" s="1622"/>
      <c r="E167" s="1622" t="s">
        <v>4730</v>
      </c>
      <c r="F167" s="1622" t="s">
        <v>4817</v>
      </c>
      <c r="G167" s="1689">
        <v>72.0</v>
      </c>
      <c r="H167" s="1690" t="s">
        <v>4709</v>
      </c>
      <c r="I167" s="1628" t="s">
        <v>492</v>
      </c>
      <c r="J167" s="1626" t="s">
        <v>4073</v>
      </c>
      <c r="K167" s="1622" t="s">
        <v>4818</v>
      </c>
      <c r="L167" s="1626" t="s">
        <v>4819</v>
      </c>
      <c r="M167" s="1620" t="s">
        <v>4054</v>
      </c>
      <c r="N167" s="1622" t="s">
        <v>4055</v>
      </c>
      <c r="O167" s="1618"/>
      <c r="P167" s="1618"/>
    </row>
    <row r="168" ht="27.75" customHeight="1">
      <c r="A168" s="1681">
        <v>163.0</v>
      </c>
      <c r="B168" s="1682">
        <v>115.0</v>
      </c>
      <c r="C168" s="1683" t="s">
        <v>4820</v>
      </c>
      <c r="D168" s="1684"/>
      <c r="E168" s="1684" t="s">
        <v>4249</v>
      </c>
      <c r="F168" s="1684" t="s">
        <v>4821</v>
      </c>
      <c r="G168" s="1685">
        <v>71.0</v>
      </c>
      <c r="H168" s="1686" t="s">
        <v>4709</v>
      </c>
      <c r="I168" s="1691" t="s">
        <v>4822</v>
      </c>
      <c r="J168" s="1688" t="s">
        <v>4073</v>
      </c>
      <c r="K168" s="1684" t="s">
        <v>4823</v>
      </c>
      <c r="L168" s="1688" t="s">
        <v>4824</v>
      </c>
      <c r="M168" s="1682" t="s">
        <v>4054</v>
      </c>
      <c r="N168" s="1684" t="s">
        <v>4055</v>
      </c>
      <c r="O168" s="1618"/>
      <c r="P168" s="1618"/>
    </row>
    <row r="169" ht="27.75" customHeight="1">
      <c r="A169" s="1619">
        <v>164.0</v>
      </c>
      <c r="B169" s="1620">
        <v>187.0</v>
      </c>
      <c r="C169" s="1621" t="s">
        <v>4825</v>
      </c>
      <c r="D169" s="1622" t="s">
        <v>4826</v>
      </c>
      <c r="E169" s="1622" t="s">
        <v>4147</v>
      </c>
      <c r="F169" s="1622" t="s">
        <v>4827</v>
      </c>
      <c r="G169" s="1689">
        <v>71.0</v>
      </c>
      <c r="H169" s="1690" t="s">
        <v>4709</v>
      </c>
      <c r="I169" s="1628" t="s">
        <v>492</v>
      </c>
      <c r="J169" s="1626" t="s">
        <v>4073</v>
      </c>
      <c r="K169" s="1622" t="s">
        <v>4828</v>
      </c>
      <c r="L169" s="1626" t="s">
        <v>4829</v>
      </c>
      <c r="M169" s="1620" t="s">
        <v>4054</v>
      </c>
      <c r="N169" s="1622" t="s">
        <v>4055</v>
      </c>
      <c r="O169" s="1618"/>
      <c r="P169" s="1618"/>
    </row>
    <row r="170" ht="27.75" customHeight="1">
      <c r="A170" s="1681">
        <v>165.0</v>
      </c>
      <c r="B170" s="1682">
        <v>188.0</v>
      </c>
      <c r="C170" s="1683" t="s">
        <v>4830</v>
      </c>
      <c r="D170" s="1684" t="s">
        <v>4831</v>
      </c>
      <c r="E170" s="1684" t="s">
        <v>4147</v>
      </c>
      <c r="F170" s="1684" t="s">
        <v>4827</v>
      </c>
      <c r="G170" s="1685">
        <v>71.0</v>
      </c>
      <c r="H170" s="1686" t="s">
        <v>4709</v>
      </c>
      <c r="I170" s="1687" t="s">
        <v>492</v>
      </c>
      <c r="J170" s="1688" t="s">
        <v>4073</v>
      </c>
      <c r="K170" s="1684" t="s">
        <v>4832</v>
      </c>
      <c r="L170" s="1688" t="s">
        <v>4833</v>
      </c>
      <c r="M170" s="1682" t="s">
        <v>4054</v>
      </c>
      <c r="N170" s="1684" t="s">
        <v>4055</v>
      </c>
      <c r="O170" s="1618"/>
      <c r="P170" s="1618"/>
    </row>
    <row r="171" ht="27.75" customHeight="1">
      <c r="A171" s="1619">
        <v>166.0</v>
      </c>
      <c r="B171" s="1620">
        <v>189.0</v>
      </c>
      <c r="C171" s="1621" t="s">
        <v>4834</v>
      </c>
      <c r="D171" s="1622" t="s">
        <v>4835</v>
      </c>
      <c r="E171" s="1622" t="s">
        <v>4147</v>
      </c>
      <c r="F171" s="1622" t="s">
        <v>4836</v>
      </c>
      <c r="G171" s="1689">
        <v>71.0</v>
      </c>
      <c r="H171" s="1690" t="s">
        <v>4709</v>
      </c>
      <c r="I171" s="1628" t="s">
        <v>492</v>
      </c>
      <c r="J171" s="1626" t="s">
        <v>4073</v>
      </c>
      <c r="K171" s="1622" t="s">
        <v>4837</v>
      </c>
      <c r="L171" s="1626" t="s">
        <v>4838</v>
      </c>
      <c r="M171" s="1620" t="s">
        <v>4054</v>
      </c>
      <c r="N171" s="1622" t="s">
        <v>4055</v>
      </c>
      <c r="O171" s="1618"/>
      <c r="P171" s="1618"/>
    </row>
    <row r="172" ht="27.75" customHeight="1">
      <c r="A172" s="1681">
        <v>167.0</v>
      </c>
      <c r="B172" s="1682">
        <v>190.0</v>
      </c>
      <c r="C172" s="1683" t="s">
        <v>4839</v>
      </c>
      <c r="D172" s="1684" t="s">
        <v>4840</v>
      </c>
      <c r="E172" s="1684" t="s">
        <v>4147</v>
      </c>
      <c r="F172" s="1684" t="s">
        <v>4841</v>
      </c>
      <c r="G172" s="1685">
        <v>71.0</v>
      </c>
      <c r="H172" s="1686" t="s">
        <v>4709</v>
      </c>
      <c r="I172" s="1687" t="s">
        <v>492</v>
      </c>
      <c r="J172" s="1688" t="s">
        <v>4073</v>
      </c>
      <c r="K172" s="1684" t="s">
        <v>4842</v>
      </c>
      <c r="L172" s="1688" t="s">
        <v>4843</v>
      </c>
      <c r="M172" s="1682" t="s">
        <v>4054</v>
      </c>
      <c r="N172" s="1684" t="s">
        <v>4055</v>
      </c>
      <c r="O172" s="1618"/>
      <c r="P172" s="1618"/>
    </row>
    <row r="173" ht="27.75" customHeight="1">
      <c r="A173" s="1619">
        <v>168.0</v>
      </c>
      <c r="B173" s="1620">
        <v>191.0</v>
      </c>
      <c r="C173" s="1621" t="s">
        <v>4844</v>
      </c>
      <c r="D173" s="1622" t="s">
        <v>4845</v>
      </c>
      <c r="E173" s="1622" t="s">
        <v>4147</v>
      </c>
      <c r="F173" s="1622" t="s">
        <v>4846</v>
      </c>
      <c r="G173" s="1689">
        <v>71.0</v>
      </c>
      <c r="H173" s="1690" t="s">
        <v>4709</v>
      </c>
      <c r="I173" s="1628" t="s">
        <v>492</v>
      </c>
      <c r="J173" s="1626" t="s">
        <v>4073</v>
      </c>
      <c r="K173" s="1622" t="s">
        <v>4847</v>
      </c>
      <c r="L173" s="1626" t="s">
        <v>4848</v>
      </c>
      <c r="M173" s="1620" t="s">
        <v>4054</v>
      </c>
      <c r="N173" s="1622" t="s">
        <v>4055</v>
      </c>
      <c r="O173" s="1618"/>
      <c r="P173" s="1618"/>
    </row>
    <row r="174" ht="27.75" customHeight="1">
      <c r="A174" s="1681">
        <v>169.0</v>
      </c>
      <c r="B174" s="1682">
        <v>192.0</v>
      </c>
      <c r="C174" s="1683" t="s">
        <v>4849</v>
      </c>
      <c r="D174" s="1684" t="s">
        <v>4850</v>
      </c>
      <c r="E174" s="1684" t="s">
        <v>4147</v>
      </c>
      <c r="F174" s="1684" t="s">
        <v>4409</v>
      </c>
      <c r="G174" s="1685">
        <v>71.0</v>
      </c>
      <c r="H174" s="1686" t="s">
        <v>4709</v>
      </c>
      <c r="I174" s="1687" t="s">
        <v>492</v>
      </c>
      <c r="J174" s="1688" t="s">
        <v>4073</v>
      </c>
      <c r="K174" s="1684" t="s">
        <v>4851</v>
      </c>
      <c r="L174" s="1688" t="s">
        <v>4852</v>
      </c>
      <c r="M174" s="1682" t="s">
        <v>4054</v>
      </c>
      <c r="N174" s="1684" t="s">
        <v>4055</v>
      </c>
      <c r="O174" s="1618"/>
      <c r="P174" s="1618"/>
    </row>
    <row r="175" ht="27.75" customHeight="1">
      <c r="A175" s="1619">
        <v>170.0</v>
      </c>
      <c r="B175" s="1620">
        <v>193.0</v>
      </c>
      <c r="C175" s="1621" t="s">
        <v>4853</v>
      </c>
      <c r="D175" s="1622" t="s">
        <v>4854</v>
      </c>
      <c r="E175" s="1622" t="s">
        <v>4147</v>
      </c>
      <c r="F175" s="1622" t="s">
        <v>4855</v>
      </c>
      <c r="G175" s="1689">
        <v>71.0</v>
      </c>
      <c r="H175" s="1690" t="s">
        <v>4709</v>
      </c>
      <c r="I175" s="1628" t="s">
        <v>492</v>
      </c>
      <c r="J175" s="1626" t="s">
        <v>4073</v>
      </c>
      <c r="K175" s="1622" t="s">
        <v>4856</v>
      </c>
      <c r="L175" s="1626" t="s">
        <v>4857</v>
      </c>
      <c r="M175" s="1620" t="s">
        <v>4054</v>
      </c>
      <c r="N175" s="1622" t="s">
        <v>4055</v>
      </c>
      <c r="O175" s="1618"/>
      <c r="P175" s="1618"/>
    </row>
    <row r="176" ht="27.75" customHeight="1">
      <c r="A176" s="1681">
        <v>171.0</v>
      </c>
      <c r="B176" s="1682">
        <v>162.0</v>
      </c>
      <c r="C176" s="1683" t="s">
        <v>4668</v>
      </c>
      <c r="D176" s="1684" t="s">
        <v>4669</v>
      </c>
      <c r="E176" s="1684" t="s">
        <v>4253</v>
      </c>
      <c r="F176" s="1684" t="s">
        <v>4250</v>
      </c>
      <c r="G176" s="1685">
        <v>70.0</v>
      </c>
      <c r="H176" s="1686" t="s">
        <v>4709</v>
      </c>
      <c r="I176" s="1687" t="s">
        <v>492</v>
      </c>
      <c r="J176" s="1688" t="s">
        <v>4073</v>
      </c>
      <c r="K176" s="1684" t="s">
        <v>4858</v>
      </c>
      <c r="L176" s="1688" t="s">
        <v>4859</v>
      </c>
      <c r="M176" s="1682" t="s">
        <v>4054</v>
      </c>
      <c r="N176" s="1684" t="s">
        <v>4055</v>
      </c>
      <c r="O176" s="1618"/>
      <c r="P176" s="1618"/>
    </row>
    <row r="177" ht="27.75" customHeight="1">
      <c r="A177" s="1619">
        <v>172.0</v>
      </c>
      <c r="B177" s="1620">
        <v>163.0</v>
      </c>
      <c r="C177" s="1621" t="s">
        <v>4860</v>
      </c>
      <c r="D177" s="1622" t="s">
        <v>4861</v>
      </c>
      <c r="E177" s="1622" t="s">
        <v>4253</v>
      </c>
      <c r="F177" s="1622" t="s">
        <v>4862</v>
      </c>
      <c r="G177" s="1689">
        <v>70.0</v>
      </c>
      <c r="H177" s="1690" t="s">
        <v>4709</v>
      </c>
      <c r="I177" s="1628" t="s">
        <v>492</v>
      </c>
      <c r="J177" s="1626" t="s">
        <v>4073</v>
      </c>
      <c r="K177" s="1622" t="s">
        <v>4863</v>
      </c>
      <c r="L177" s="1626" t="s">
        <v>4864</v>
      </c>
      <c r="M177" s="1620" t="s">
        <v>4054</v>
      </c>
      <c r="N177" s="1622" t="s">
        <v>4055</v>
      </c>
      <c r="O177" s="1618"/>
      <c r="P177" s="1618"/>
    </row>
    <row r="178" ht="27.75" customHeight="1">
      <c r="A178" s="1681">
        <v>173.0</v>
      </c>
      <c r="B178" s="1682">
        <v>164.0</v>
      </c>
      <c r="C178" s="1683" t="s">
        <v>4865</v>
      </c>
      <c r="D178" s="1684" t="s">
        <v>4866</v>
      </c>
      <c r="E178" s="1684" t="s">
        <v>4253</v>
      </c>
      <c r="F178" s="1684" t="s">
        <v>4867</v>
      </c>
      <c r="G178" s="1685">
        <v>70.0</v>
      </c>
      <c r="H178" s="1686" t="s">
        <v>4709</v>
      </c>
      <c r="I178" s="1687" t="s">
        <v>492</v>
      </c>
      <c r="J178" s="1688" t="s">
        <v>4073</v>
      </c>
      <c r="K178" s="1684" t="s">
        <v>4868</v>
      </c>
      <c r="L178" s="1688" t="s">
        <v>4869</v>
      </c>
      <c r="M178" s="1682" t="s">
        <v>4054</v>
      </c>
      <c r="N178" s="1684" t="s">
        <v>4055</v>
      </c>
      <c r="O178" s="1618"/>
      <c r="P178" s="1618"/>
    </row>
    <row r="179" ht="27.75" customHeight="1">
      <c r="A179" s="1619">
        <v>174.0</v>
      </c>
      <c r="B179" s="1620">
        <v>196.0</v>
      </c>
      <c r="C179" s="1621" t="s">
        <v>4870</v>
      </c>
      <c r="D179" s="1622" t="s">
        <v>4871</v>
      </c>
      <c r="E179" s="1622" t="s">
        <v>4147</v>
      </c>
      <c r="F179" s="1622" t="s">
        <v>4872</v>
      </c>
      <c r="G179" s="1689">
        <v>70.0</v>
      </c>
      <c r="H179" s="1690" t="s">
        <v>4709</v>
      </c>
      <c r="I179" s="1628" t="s">
        <v>492</v>
      </c>
      <c r="J179" s="1626" t="s">
        <v>4073</v>
      </c>
      <c r="K179" s="1622" t="s">
        <v>4873</v>
      </c>
      <c r="L179" s="1626" t="s">
        <v>4874</v>
      </c>
      <c r="M179" s="1620" t="s">
        <v>4054</v>
      </c>
      <c r="N179" s="1622" t="s">
        <v>4055</v>
      </c>
      <c r="O179" s="1618"/>
      <c r="P179" s="1618"/>
    </row>
    <row r="180" ht="27.75" customHeight="1">
      <c r="A180" s="1681">
        <v>175.0</v>
      </c>
      <c r="B180" s="1682">
        <v>199.0</v>
      </c>
      <c r="C180" s="1683" t="s">
        <v>4875</v>
      </c>
      <c r="D180" s="1684" t="s">
        <v>4876</v>
      </c>
      <c r="E180" s="1684" t="s">
        <v>4147</v>
      </c>
      <c r="F180" s="1684" t="s">
        <v>4556</v>
      </c>
      <c r="G180" s="1685">
        <v>70.0</v>
      </c>
      <c r="H180" s="1686" t="s">
        <v>4709</v>
      </c>
      <c r="I180" s="1687" t="s">
        <v>492</v>
      </c>
      <c r="J180" s="1688" t="s">
        <v>4073</v>
      </c>
      <c r="K180" s="1684" t="s">
        <v>4877</v>
      </c>
      <c r="L180" s="1688" t="s">
        <v>4878</v>
      </c>
      <c r="M180" s="1682" t="s">
        <v>4054</v>
      </c>
      <c r="N180" s="1684" t="s">
        <v>4055</v>
      </c>
      <c r="O180" s="1618"/>
      <c r="P180" s="1618"/>
    </row>
    <row r="181" ht="27.75" customHeight="1">
      <c r="A181" s="1619">
        <v>176.0</v>
      </c>
      <c r="B181" s="1620">
        <v>200.0</v>
      </c>
      <c r="C181" s="1621" t="s">
        <v>4879</v>
      </c>
      <c r="D181" s="1622"/>
      <c r="E181" s="1622" t="s">
        <v>4147</v>
      </c>
      <c r="F181" s="1622" t="s">
        <v>4880</v>
      </c>
      <c r="G181" s="1689">
        <v>70.0</v>
      </c>
      <c r="H181" s="1690" t="s">
        <v>4709</v>
      </c>
      <c r="I181" s="1628" t="s">
        <v>492</v>
      </c>
      <c r="J181" s="1626" t="s">
        <v>4073</v>
      </c>
      <c r="K181" s="1622" t="s">
        <v>4881</v>
      </c>
      <c r="L181" s="1626" t="s">
        <v>4882</v>
      </c>
      <c r="M181" s="1620" t="s">
        <v>4054</v>
      </c>
      <c r="N181" s="1622" t="s">
        <v>4055</v>
      </c>
      <c r="O181" s="1618"/>
      <c r="P181" s="1618"/>
    </row>
    <row r="182" ht="27.75" customHeight="1">
      <c r="A182" s="22">
        <v>201.0</v>
      </c>
      <c r="B182" s="22">
        <v>201.0</v>
      </c>
      <c r="C182" s="22" t="s">
        <v>4883</v>
      </c>
      <c r="D182" s="22" t="s">
        <v>4884</v>
      </c>
      <c r="E182" s="22" t="s">
        <v>4885</v>
      </c>
      <c r="F182" s="22" t="s">
        <v>4886</v>
      </c>
      <c r="G182" s="22">
        <v>88.0</v>
      </c>
      <c r="H182" s="22" t="s">
        <v>4255</v>
      </c>
      <c r="I182" s="22" t="s">
        <v>492</v>
      </c>
      <c r="J182" s="22" t="s">
        <v>2091</v>
      </c>
      <c r="K182" s="22" t="s">
        <v>4887</v>
      </c>
      <c r="L182" s="22" t="s">
        <v>4888</v>
      </c>
      <c r="M182" s="22" t="s">
        <v>4054</v>
      </c>
      <c r="N182" s="22" t="s">
        <v>4889</v>
      </c>
      <c r="O182" s="22" t="s">
        <v>4890</v>
      </c>
    </row>
    <row r="183" ht="27.75" customHeight="1">
      <c r="A183" s="22">
        <v>202.0</v>
      </c>
      <c r="B183" s="22">
        <v>202.0</v>
      </c>
      <c r="C183" s="22" t="s">
        <v>4891</v>
      </c>
      <c r="D183" s="22" t="s">
        <v>4330</v>
      </c>
      <c r="E183" s="22" t="s">
        <v>4885</v>
      </c>
      <c r="F183" s="22" t="s">
        <v>4892</v>
      </c>
      <c r="G183" s="22">
        <v>92.0</v>
      </c>
      <c r="H183" s="22" t="s">
        <v>4154</v>
      </c>
      <c r="I183" s="22" t="s">
        <v>492</v>
      </c>
      <c r="J183" s="22" t="s">
        <v>2091</v>
      </c>
      <c r="K183" s="22" t="s">
        <v>4893</v>
      </c>
      <c r="L183" s="22" t="s">
        <v>4894</v>
      </c>
      <c r="M183" s="22" t="s">
        <v>4054</v>
      </c>
      <c r="N183" s="22" t="s">
        <v>4889</v>
      </c>
      <c r="O183" s="22" t="s">
        <v>4890</v>
      </c>
    </row>
    <row r="184" ht="27.75" customHeight="1">
      <c r="A184" s="22">
        <v>203.0</v>
      </c>
      <c r="B184" s="22">
        <v>203.0</v>
      </c>
      <c r="C184" s="22" t="s">
        <v>4895</v>
      </c>
      <c r="D184" s="22" t="s">
        <v>4896</v>
      </c>
      <c r="E184" s="22" t="s">
        <v>4897</v>
      </c>
      <c r="F184" s="22" t="s">
        <v>4898</v>
      </c>
      <c r="G184" s="22">
        <v>78.0</v>
      </c>
      <c r="H184" s="22" t="s">
        <v>4383</v>
      </c>
      <c r="I184" s="22" t="s">
        <v>492</v>
      </c>
      <c r="J184" s="22" t="s">
        <v>4073</v>
      </c>
      <c r="K184" s="22" t="s">
        <v>4899</v>
      </c>
      <c r="L184" s="22" t="s">
        <v>4900</v>
      </c>
      <c r="M184" s="22" t="s">
        <v>4054</v>
      </c>
      <c r="N184" s="22" t="s">
        <v>4889</v>
      </c>
      <c r="O184" s="22" t="s">
        <v>4890</v>
      </c>
    </row>
    <row r="185" ht="27.75" customHeight="1">
      <c r="A185" s="22">
        <v>204.0</v>
      </c>
      <c r="B185" s="22">
        <v>204.0</v>
      </c>
      <c r="C185" s="22" t="s">
        <v>4901</v>
      </c>
      <c r="D185" s="22" t="s">
        <v>4902</v>
      </c>
      <c r="E185" s="22" t="s">
        <v>4897</v>
      </c>
      <c r="F185" s="22" t="s">
        <v>4903</v>
      </c>
      <c r="G185" s="22">
        <v>72.0</v>
      </c>
      <c r="H185" s="22" t="s">
        <v>4383</v>
      </c>
      <c r="I185" s="22" t="s">
        <v>492</v>
      </c>
      <c r="J185" s="22" t="s">
        <v>4073</v>
      </c>
      <c r="K185" s="22" t="s">
        <v>4904</v>
      </c>
      <c r="L185" s="22" t="s">
        <v>4905</v>
      </c>
      <c r="M185" s="22" t="s">
        <v>4054</v>
      </c>
      <c r="N185" s="22" t="s">
        <v>4889</v>
      </c>
      <c r="O185" s="22" t="s">
        <v>4890</v>
      </c>
    </row>
    <row r="186" ht="27.75" customHeight="1">
      <c r="A186" s="22">
        <v>205.0</v>
      </c>
      <c r="B186" s="22">
        <v>205.0</v>
      </c>
      <c r="C186" s="22" t="s">
        <v>4906</v>
      </c>
      <c r="D186" s="22" t="s">
        <v>4907</v>
      </c>
      <c r="E186" s="22" t="s">
        <v>4885</v>
      </c>
      <c r="F186" s="22" t="s">
        <v>4908</v>
      </c>
      <c r="G186" s="22">
        <v>82.0</v>
      </c>
      <c r="H186" s="22" t="s">
        <v>4383</v>
      </c>
      <c r="I186" s="22" t="s">
        <v>492</v>
      </c>
      <c r="J186" s="22" t="s">
        <v>4073</v>
      </c>
      <c r="K186" s="22" t="s">
        <v>4909</v>
      </c>
      <c r="L186" s="22" t="s">
        <v>4910</v>
      </c>
      <c r="M186" s="22" t="s">
        <v>4054</v>
      </c>
      <c r="N186" s="22" t="s">
        <v>4889</v>
      </c>
      <c r="O186" s="22" t="s">
        <v>4890</v>
      </c>
    </row>
    <row r="187" ht="27.75" customHeight="1">
      <c r="A187" s="22">
        <v>206.0</v>
      </c>
      <c r="B187" s="22">
        <v>206.0</v>
      </c>
      <c r="C187" s="22" t="s">
        <v>4911</v>
      </c>
      <c r="D187" s="22" t="s">
        <v>4224</v>
      </c>
      <c r="E187" s="22" t="s">
        <v>4885</v>
      </c>
      <c r="F187" s="22" t="s">
        <v>4226</v>
      </c>
      <c r="G187" s="22">
        <v>97.0</v>
      </c>
      <c r="H187" s="22" t="s">
        <v>4051</v>
      </c>
      <c r="I187" s="22" t="s">
        <v>492</v>
      </c>
      <c r="J187" s="22" t="s">
        <v>2091</v>
      </c>
      <c r="K187" s="22" t="s">
        <v>4912</v>
      </c>
      <c r="L187" s="22" t="s">
        <v>4913</v>
      </c>
      <c r="M187" s="22" t="s">
        <v>4054</v>
      </c>
      <c r="N187" s="22" t="s">
        <v>4889</v>
      </c>
      <c r="O187" s="22" t="s">
        <v>4890</v>
      </c>
    </row>
    <row r="188" ht="27.75" customHeight="1">
      <c r="A188" s="22">
        <v>207.0</v>
      </c>
      <c r="B188" s="22">
        <v>207.0</v>
      </c>
      <c r="C188" s="22" t="s">
        <v>4914</v>
      </c>
      <c r="D188" s="22" t="s">
        <v>4915</v>
      </c>
      <c r="E188" s="22" t="s">
        <v>4885</v>
      </c>
      <c r="F188" s="22" t="s">
        <v>4916</v>
      </c>
      <c r="G188" s="22">
        <v>76.0</v>
      </c>
      <c r="H188" s="22" t="s">
        <v>4383</v>
      </c>
      <c r="I188" s="22" t="s">
        <v>492</v>
      </c>
      <c r="J188" s="22" t="s">
        <v>4073</v>
      </c>
      <c r="K188" s="22" t="s">
        <v>4917</v>
      </c>
      <c r="L188" s="22" t="s">
        <v>4918</v>
      </c>
      <c r="M188" s="22" t="s">
        <v>4054</v>
      </c>
      <c r="N188" s="22" t="s">
        <v>4889</v>
      </c>
      <c r="O188" s="22" t="s">
        <v>4890</v>
      </c>
    </row>
    <row r="189" ht="27.75" customHeight="1">
      <c r="A189" s="22">
        <v>208.0</v>
      </c>
      <c r="B189" s="22">
        <v>208.0</v>
      </c>
      <c r="C189" s="22" t="s">
        <v>4919</v>
      </c>
      <c r="D189" s="22" t="s">
        <v>4920</v>
      </c>
      <c r="E189" s="22" t="s">
        <v>4885</v>
      </c>
      <c r="F189" s="22" t="s">
        <v>4226</v>
      </c>
      <c r="G189" s="22">
        <v>97.0</v>
      </c>
      <c r="H189" s="22" t="s">
        <v>4051</v>
      </c>
      <c r="I189" s="22" t="s">
        <v>492</v>
      </c>
      <c r="J189" s="22" t="s">
        <v>4073</v>
      </c>
      <c r="K189" s="22" t="s">
        <v>4921</v>
      </c>
      <c r="L189" s="22" t="s">
        <v>4922</v>
      </c>
      <c r="M189" s="22" t="s">
        <v>4054</v>
      </c>
      <c r="N189" s="22" t="s">
        <v>4889</v>
      </c>
      <c r="O189" s="22" t="s">
        <v>4890</v>
      </c>
    </row>
    <row r="190" ht="27.75" customHeight="1">
      <c r="A190" s="22">
        <v>209.0</v>
      </c>
      <c r="B190" s="22">
        <v>209.0</v>
      </c>
      <c r="C190" s="22" t="s">
        <v>4923</v>
      </c>
      <c r="D190" s="22" t="s">
        <v>157</v>
      </c>
      <c r="E190" s="22" t="s">
        <v>4885</v>
      </c>
      <c r="F190" s="22" t="s">
        <v>4924</v>
      </c>
      <c r="G190" s="22">
        <v>74.0</v>
      </c>
      <c r="H190" s="22" t="s">
        <v>4383</v>
      </c>
      <c r="I190" s="22" t="s">
        <v>4097</v>
      </c>
      <c r="J190" s="22" t="s">
        <v>4073</v>
      </c>
      <c r="K190" s="22" t="s">
        <v>4925</v>
      </c>
      <c r="L190" s="22" t="s">
        <v>4926</v>
      </c>
      <c r="M190" s="22" t="s">
        <v>4054</v>
      </c>
      <c r="N190" s="22" t="s">
        <v>4889</v>
      </c>
      <c r="O190" s="22" t="s">
        <v>4890</v>
      </c>
    </row>
    <row r="191" ht="27.75" customHeight="1">
      <c r="A191" s="22">
        <v>210.0</v>
      </c>
      <c r="B191" s="22">
        <v>210.0</v>
      </c>
      <c r="C191" s="22" t="s">
        <v>4927</v>
      </c>
      <c r="D191" s="22" t="s">
        <v>4928</v>
      </c>
      <c r="E191" s="22" t="s">
        <v>4885</v>
      </c>
      <c r="F191" s="22" t="s">
        <v>4226</v>
      </c>
      <c r="G191" s="22">
        <v>92.0</v>
      </c>
      <c r="H191" s="22" t="s">
        <v>4154</v>
      </c>
      <c r="I191" s="22" t="s">
        <v>492</v>
      </c>
      <c r="J191" s="22" t="s">
        <v>4073</v>
      </c>
      <c r="K191" s="22" t="s">
        <v>4929</v>
      </c>
      <c r="L191" s="22" t="s">
        <v>4930</v>
      </c>
      <c r="M191" s="22" t="s">
        <v>4054</v>
      </c>
      <c r="N191" s="22" t="s">
        <v>4889</v>
      </c>
      <c r="O191" s="22" t="s">
        <v>4890</v>
      </c>
    </row>
    <row r="192" ht="27.75" customHeight="1">
      <c r="A192" s="1681">
        <v>211.0</v>
      </c>
      <c r="B192" s="1682">
        <v>211.0</v>
      </c>
      <c r="C192" s="1683" t="s">
        <v>161</v>
      </c>
      <c r="D192" s="1684" t="s">
        <v>162</v>
      </c>
      <c r="E192" s="1684" t="s">
        <v>4931</v>
      </c>
      <c r="F192" s="1684" t="s">
        <v>4932</v>
      </c>
      <c r="G192" s="1685">
        <v>90.0</v>
      </c>
      <c r="H192" s="1686" t="s">
        <v>4255</v>
      </c>
      <c r="I192" s="1691" t="s">
        <v>4462</v>
      </c>
      <c r="J192" s="1688" t="s">
        <v>4073</v>
      </c>
      <c r="K192" s="1684" t="s">
        <v>4933</v>
      </c>
      <c r="L192" s="1688" t="s">
        <v>4934</v>
      </c>
      <c r="M192" s="1682" t="s">
        <v>4054</v>
      </c>
      <c r="N192" s="1684" t="s">
        <v>4055</v>
      </c>
      <c r="O192" s="1618"/>
      <c r="P192" s="1618"/>
    </row>
    <row r="193" ht="27.75" customHeight="1">
      <c r="A193" s="1619">
        <v>212.0</v>
      </c>
      <c r="B193" s="1620">
        <v>212.0</v>
      </c>
      <c r="C193" s="1621" t="s">
        <v>4935</v>
      </c>
      <c r="D193" s="1622" t="s">
        <v>4936</v>
      </c>
      <c r="E193" s="1622" t="s">
        <v>4931</v>
      </c>
      <c r="F193" s="1622" t="s">
        <v>4937</v>
      </c>
      <c r="G193" s="1689">
        <v>91.0</v>
      </c>
      <c r="H193" s="1690" t="s">
        <v>4154</v>
      </c>
      <c r="I193" s="1625" t="s">
        <v>4462</v>
      </c>
      <c r="J193" s="1626" t="s">
        <v>4073</v>
      </c>
      <c r="K193" s="1622" t="s">
        <v>4938</v>
      </c>
      <c r="L193" s="1626" t="s">
        <v>4939</v>
      </c>
      <c r="M193" s="1620" t="s">
        <v>4054</v>
      </c>
      <c r="N193" s="1622" t="s">
        <v>4055</v>
      </c>
      <c r="O193" s="1618"/>
      <c r="P193" s="1618"/>
    </row>
    <row r="194" ht="27.75" customHeight="1">
      <c r="A194" s="1681">
        <v>213.0</v>
      </c>
      <c r="B194" s="1682">
        <v>213.0</v>
      </c>
      <c r="C194" s="1683" t="s">
        <v>4940</v>
      </c>
      <c r="D194" s="1684" t="s">
        <v>4941</v>
      </c>
      <c r="E194" s="1684" t="s">
        <v>4931</v>
      </c>
      <c r="F194" s="1684" t="s">
        <v>4942</v>
      </c>
      <c r="G194" s="1685">
        <v>88.0</v>
      </c>
      <c r="H194" s="1686" t="s">
        <v>4255</v>
      </c>
      <c r="I194" s="1687" t="s">
        <v>492</v>
      </c>
      <c r="J194" s="1688" t="s">
        <v>4073</v>
      </c>
      <c r="K194" s="1684" t="s">
        <v>4943</v>
      </c>
      <c r="L194" s="1688" t="s">
        <v>4944</v>
      </c>
      <c r="M194" s="1682" t="s">
        <v>4054</v>
      </c>
      <c r="N194" s="1684" t="s">
        <v>4055</v>
      </c>
      <c r="O194" s="1618"/>
      <c r="P194" s="1618"/>
    </row>
    <row r="195" ht="27.75" customHeight="1">
      <c r="A195" s="1619">
        <v>214.0</v>
      </c>
      <c r="B195" s="1620">
        <v>214.0</v>
      </c>
      <c r="C195" s="1621" t="s">
        <v>4945</v>
      </c>
      <c r="D195" s="1622" t="s">
        <v>4946</v>
      </c>
      <c r="E195" s="1622" t="s">
        <v>4931</v>
      </c>
      <c r="F195" s="1622" t="s">
        <v>4947</v>
      </c>
      <c r="G195" s="1689">
        <v>80.0</v>
      </c>
      <c r="H195" s="1690" t="s">
        <v>4383</v>
      </c>
      <c r="I195" s="1628" t="s">
        <v>492</v>
      </c>
      <c r="J195" s="1626" t="s">
        <v>4073</v>
      </c>
      <c r="K195" s="1622" t="s">
        <v>4948</v>
      </c>
      <c r="L195" s="1626" t="s">
        <v>4949</v>
      </c>
      <c r="M195" s="1620" t="s">
        <v>4054</v>
      </c>
      <c r="N195" s="1622" t="s">
        <v>4055</v>
      </c>
      <c r="O195" s="1618"/>
      <c r="P195" s="1618"/>
    </row>
    <row r="196" ht="27.75" customHeight="1">
      <c r="A196" s="1681">
        <v>215.0</v>
      </c>
      <c r="B196" s="1682">
        <v>215.0</v>
      </c>
      <c r="C196" s="1683" t="s">
        <v>163</v>
      </c>
      <c r="D196" s="1684" t="s">
        <v>164</v>
      </c>
      <c r="E196" s="1684" t="s">
        <v>4931</v>
      </c>
      <c r="F196" s="1684" t="s">
        <v>4950</v>
      </c>
      <c r="G196" s="1685">
        <v>93.0</v>
      </c>
      <c r="H196" s="1686" t="s">
        <v>4154</v>
      </c>
      <c r="I196" s="1687" t="s">
        <v>492</v>
      </c>
      <c r="J196" s="1688" t="s">
        <v>4073</v>
      </c>
      <c r="K196" s="1684" t="s">
        <v>4951</v>
      </c>
      <c r="L196" s="1688" t="s">
        <v>4952</v>
      </c>
      <c r="M196" s="1682" t="s">
        <v>4054</v>
      </c>
      <c r="N196" s="1684" t="s">
        <v>4055</v>
      </c>
      <c r="O196" s="1618"/>
      <c r="P196" s="1618"/>
    </row>
    <row r="197" ht="27.75" customHeight="1">
      <c r="A197" s="1619">
        <v>216.0</v>
      </c>
      <c r="B197" s="1620">
        <v>216.0</v>
      </c>
      <c r="C197" s="1621" t="s">
        <v>4953</v>
      </c>
      <c r="D197" s="1622" t="s">
        <v>4954</v>
      </c>
      <c r="E197" s="1622" t="s">
        <v>4955</v>
      </c>
      <c r="F197" s="1622" t="s">
        <v>4956</v>
      </c>
      <c r="G197" s="1689">
        <v>92.0</v>
      </c>
      <c r="H197" s="1690" t="s">
        <v>4154</v>
      </c>
      <c r="I197" s="1628" t="s">
        <v>492</v>
      </c>
      <c r="J197" s="1626" t="s">
        <v>4073</v>
      </c>
      <c r="K197" s="1622" t="s">
        <v>4957</v>
      </c>
      <c r="L197" s="1626" t="s">
        <v>4958</v>
      </c>
      <c r="M197" s="1620" t="s">
        <v>4054</v>
      </c>
      <c r="N197" s="1622" t="s">
        <v>4055</v>
      </c>
      <c r="O197" s="1618"/>
      <c r="P197" s="1618"/>
    </row>
    <row r="198" ht="27.75" customHeight="1">
      <c r="A198" s="1681">
        <v>217.0</v>
      </c>
      <c r="B198" s="1682">
        <v>217.0</v>
      </c>
      <c r="C198" s="1683" t="s">
        <v>4959</v>
      </c>
      <c r="D198" s="1684" t="s">
        <v>4960</v>
      </c>
      <c r="E198" s="1684" t="s">
        <v>4955</v>
      </c>
      <c r="F198" s="1684" t="s">
        <v>4961</v>
      </c>
      <c r="G198" s="1685">
        <v>91.0</v>
      </c>
      <c r="H198" s="1686" t="s">
        <v>4154</v>
      </c>
      <c r="I198" s="1687" t="s">
        <v>492</v>
      </c>
      <c r="J198" s="1688" t="s">
        <v>4073</v>
      </c>
      <c r="K198" s="1684" t="s">
        <v>4962</v>
      </c>
      <c r="L198" s="1688" t="s">
        <v>4963</v>
      </c>
      <c r="M198" s="1682" t="s">
        <v>4054</v>
      </c>
      <c r="N198" s="1684" t="s">
        <v>4055</v>
      </c>
      <c r="O198" s="1618"/>
      <c r="P198" s="1618"/>
    </row>
    <row r="199" ht="27.75" customHeight="1">
      <c r="A199" s="1619">
        <v>218.0</v>
      </c>
      <c r="B199" s="1620">
        <v>218.0</v>
      </c>
      <c r="C199" s="1621" t="s">
        <v>4964</v>
      </c>
      <c r="D199" s="1622" t="s">
        <v>4965</v>
      </c>
      <c r="E199" s="1622" t="s">
        <v>4966</v>
      </c>
      <c r="F199" s="1622" t="s">
        <v>4967</v>
      </c>
      <c r="G199" s="1689">
        <v>94.0</v>
      </c>
      <c r="H199" s="1690" t="s">
        <v>4154</v>
      </c>
      <c r="I199" s="1628" t="s">
        <v>492</v>
      </c>
      <c r="J199" s="1626" t="s">
        <v>4073</v>
      </c>
      <c r="K199" s="1622" t="s">
        <v>4968</v>
      </c>
      <c r="L199" s="1626" t="s">
        <v>4969</v>
      </c>
      <c r="M199" s="1620" t="s">
        <v>4054</v>
      </c>
      <c r="N199" s="1622" t="s">
        <v>4055</v>
      </c>
      <c r="O199" s="1618"/>
      <c r="P199" s="1618"/>
    </row>
    <row r="200" ht="27.75" customHeight="1">
      <c r="A200" s="1681">
        <v>219.0</v>
      </c>
      <c r="B200" s="1682">
        <v>219.0</v>
      </c>
      <c r="C200" s="1683" t="s">
        <v>4970</v>
      </c>
      <c r="D200" s="1684" t="s">
        <v>4840</v>
      </c>
      <c r="E200" s="1684" t="s">
        <v>4966</v>
      </c>
      <c r="F200" s="1684" t="s">
        <v>4971</v>
      </c>
      <c r="G200" s="1685">
        <v>97.0</v>
      </c>
      <c r="H200" s="1686" t="s">
        <v>4051</v>
      </c>
      <c r="I200" s="1687" t="s">
        <v>492</v>
      </c>
      <c r="J200" s="1688" t="s">
        <v>4073</v>
      </c>
      <c r="K200" s="1684" t="s">
        <v>4972</v>
      </c>
      <c r="L200" s="1688" t="s">
        <v>4973</v>
      </c>
      <c r="M200" s="1682" t="s">
        <v>4054</v>
      </c>
      <c r="N200" s="1684" t="s">
        <v>4055</v>
      </c>
      <c r="O200" s="1618"/>
      <c r="P200" s="1618"/>
    </row>
    <row r="201" ht="27.75" customHeight="1">
      <c r="A201" s="1619">
        <v>220.0</v>
      </c>
      <c r="B201" s="1620">
        <v>220.0</v>
      </c>
      <c r="C201" s="1621" t="s">
        <v>4974</v>
      </c>
      <c r="D201" s="1622" t="s">
        <v>4975</v>
      </c>
      <c r="E201" s="1622" t="s">
        <v>4931</v>
      </c>
      <c r="F201" s="1622" t="s">
        <v>4976</v>
      </c>
      <c r="G201" s="1689">
        <v>85.0</v>
      </c>
      <c r="H201" s="1690" t="s">
        <v>4255</v>
      </c>
      <c r="I201" s="1625" t="s">
        <v>4097</v>
      </c>
      <c r="J201" s="1626" t="s">
        <v>4073</v>
      </c>
      <c r="K201" s="1622" t="s">
        <v>4977</v>
      </c>
      <c r="L201" s="1626" t="s">
        <v>4978</v>
      </c>
      <c r="M201" s="1620" t="s">
        <v>4054</v>
      </c>
      <c r="N201" s="1622" t="s">
        <v>4055</v>
      </c>
      <c r="O201" s="1618"/>
      <c r="P201" s="1618"/>
    </row>
    <row r="202" ht="27.75" customHeight="1">
      <c r="A202" s="1681">
        <v>187.0</v>
      </c>
      <c r="B202" s="1682">
        <v>149.0</v>
      </c>
      <c r="C202" s="1683" t="s">
        <v>4979</v>
      </c>
      <c r="D202" s="1684" t="s">
        <v>4980</v>
      </c>
      <c r="E202" s="1684" t="s">
        <v>4730</v>
      </c>
      <c r="F202" s="1684" t="s">
        <v>4981</v>
      </c>
      <c r="G202" s="1685">
        <v>68.0</v>
      </c>
      <c r="H202" s="1686" t="s">
        <v>4709</v>
      </c>
      <c r="I202" s="1691" t="s">
        <v>4193</v>
      </c>
      <c r="J202" s="1688" t="s">
        <v>4073</v>
      </c>
      <c r="K202" s="1684" t="s">
        <v>4982</v>
      </c>
      <c r="L202" s="1688" t="s">
        <v>4983</v>
      </c>
      <c r="M202" s="1682" t="s">
        <v>4054</v>
      </c>
      <c r="N202" s="1684" t="s">
        <v>4055</v>
      </c>
      <c r="O202" s="1618"/>
      <c r="P202" s="1618"/>
    </row>
    <row r="203" ht="27.75" customHeight="1">
      <c r="A203" s="1619">
        <v>188.0</v>
      </c>
      <c r="B203" s="1620">
        <v>181.0</v>
      </c>
      <c r="C203" s="1621" t="s">
        <v>4984</v>
      </c>
      <c r="D203" s="1622" t="s">
        <v>4985</v>
      </c>
      <c r="E203" s="1622" t="s">
        <v>4446</v>
      </c>
      <c r="F203" s="1622" t="s">
        <v>4184</v>
      </c>
      <c r="G203" s="1689">
        <v>68.0</v>
      </c>
      <c r="H203" s="1690" t="s">
        <v>4709</v>
      </c>
      <c r="I203" s="1628" t="s">
        <v>492</v>
      </c>
      <c r="J203" s="1626" t="s">
        <v>4073</v>
      </c>
      <c r="K203" s="1622" t="s">
        <v>4986</v>
      </c>
      <c r="L203" s="1626" t="s">
        <v>4987</v>
      </c>
      <c r="M203" s="1620" t="s">
        <v>4054</v>
      </c>
      <c r="N203" s="1622" t="s">
        <v>4055</v>
      </c>
      <c r="O203" s="1618"/>
      <c r="P203" s="1618"/>
    </row>
    <row r="204" ht="27.75" customHeight="1">
      <c r="A204" s="1681">
        <v>189.0</v>
      </c>
      <c r="B204" s="1682">
        <v>136.0</v>
      </c>
      <c r="C204" s="1683" t="s">
        <v>4988</v>
      </c>
      <c r="D204" s="1684" t="s">
        <v>4095</v>
      </c>
      <c r="E204" s="1684" t="s">
        <v>4713</v>
      </c>
      <c r="F204" s="1684" t="s">
        <v>4989</v>
      </c>
      <c r="G204" s="1685">
        <v>67.0</v>
      </c>
      <c r="H204" s="1686" t="s">
        <v>4709</v>
      </c>
      <c r="I204" s="1691" t="s">
        <v>4097</v>
      </c>
      <c r="J204" s="1688" t="s">
        <v>4073</v>
      </c>
      <c r="K204" s="1684" t="s">
        <v>4990</v>
      </c>
      <c r="L204" s="1688" t="s">
        <v>4991</v>
      </c>
      <c r="M204" s="1682" t="s">
        <v>4054</v>
      </c>
      <c r="N204" s="1684" t="s">
        <v>4055</v>
      </c>
      <c r="O204" s="1618"/>
      <c r="P204" s="1618"/>
    </row>
    <row r="205" ht="27.75" customHeight="1">
      <c r="A205" s="1619">
        <v>190.0</v>
      </c>
      <c r="B205" s="1620">
        <v>137.0</v>
      </c>
      <c r="C205" s="1621" t="s">
        <v>4992</v>
      </c>
      <c r="D205" s="1622" t="s">
        <v>4350</v>
      </c>
      <c r="E205" s="1622" t="s">
        <v>4713</v>
      </c>
      <c r="F205" s="1622" t="s">
        <v>4993</v>
      </c>
      <c r="G205" s="1689">
        <v>67.0</v>
      </c>
      <c r="H205" s="1690" t="s">
        <v>4709</v>
      </c>
      <c r="I205" s="1625" t="s">
        <v>4097</v>
      </c>
      <c r="J205" s="1626" t="s">
        <v>4073</v>
      </c>
      <c r="K205" s="1622" t="s">
        <v>4994</v>
      </c>
      <c r="L205" s="1626" t="s">
        <v>4995</v>
      </c>
      <c r="M205" s="1620" t="s">
        <v>4054</v>
      </c>
      <c r="N205" s="1622" t="s">
        <v>4055</v>
      </c>
      <c r="O205" s="1618"/>
      <c r="P205" s="1618"/>
    </row>
    <row r="206" ht="14.25" customHeight="1">
      <c r="A206" s="1681">
        <v>191.0</v>
      </c>
      <c r="B206" s="1682">
        <v>140.0</v>
      </c>
      <c r="C206" s="1683" t="s">
        <v>4996</v>
      </c>
      <c r="D206" s="1684" t="s">
        <v>4997</v>
      </c>
      <c r="E206" s="1684" t="s">
        <v>4713</v>
      </c>
      <c r="F206" s="1684" t="s">
        <v>4998</v>
      </c>
      <c r="G206" s="1685">
        <v>67.0</v>
      </c>
      <c r="H206" s="1686" t="s">
        <v>4709</v>
      </c>
      <c r="I206" s="1691" t="s">
        <v>4097</v>
      </c>
      <c r="J206" s="1688" t="s">
        <v>4073</v>
      </c>
      <c r="K206" s="1684" t="s">
        <v>4999</v>
      </c>
      <c r="L206" s="1688" t="s">
        <v>5000</v>
      </c>
      <c r="M206" s="1682" t="s">
        <v>4054</v>
      </c>
      <c r="N206" s="1684" t="s">
        <v>4055</v>
      </c>
      <c r="O206" s="1618"/>
      <c r="P206" s="1618"/>
    </row>
    <row r="207" ht="24.0" customHeight="1">
      <c r="A207" s="1692">
        <v>192.0</v>
      </c>
      <c r="B207" s="460"/>
      <c r="C207" s="460"/>
      <c r="D207" s="460"/>
      <c r="E207" s="460"/>
      <c r="F207" s="460"/>
      <c r="G207" s="460"/>
      <c r="H207" s="460"/>
      <c r="I207" s="460"/>
      <c r="J207" s="460"/>
      <c r="K207" s="460"/>
      <c r="L207" s="460"/>
      <c r="M207" s="460"/>
      <c r="N207" s="460"/>
      <c r="O207" s="460"/>
      <c r="P207" s="461"/>
    </row>
    <row r="208" ht="19.5" customHeight="1">
      <c r="A208" s="1681">
        <v>193.0</v>
      </c>
      <c r="B208" s="1682">
        <v>158.0</v>
      </c>
      <c r="C208" s="1683" t="s">
        <v>5001</v>
      </c>
      <c r="D208" s="1684" t="s">
        <v>5002</v>
      </c>
      <c r="E208" s="1684" t="s">
        <v>4730</v>
      </c>
      <c r="F208" s="1684" t="s">
        <v>5003</v>
      </c>
      <c r="G208" s="1685">
        <v>67.0</v>
      </c>
      <c r="H208" s="1686" t="s">
        <v>4709</v>
      </c>
      <c r="I208" s="1691" t="s">
        <v>4097</v>
      </c>
      <c r="J208" s="1688" t="s">
        <v>4073</v>
      </c>
      <c r="K208" s="1684" t="s">
        <v>5004</v>
      </c>
      <c r="L208" s="1688" t="s">
        <v>5005</v>
      </c>
      <c r="M208" s="1682" t="s">
        <v>4054</v>
      </c>
      <c r="N208" s="1684" t="s">
        <v>4055</v>
      </c>
      <c r="O208" s="1618"/>
      <c r="P208" s="1618"/>
    </row>
    <row r="209" ht="14.25" customHeight="1">
      <c r="A209" s="1619">
        <v>194.0</v>
      </c>
      <c r="B209" s="1620">
        <v>147.0</v>
      </c>
      <c r="C209" s="1621" t="s">
        <v>5006</v>
      </c>
      <c r="D209" s="1622" t="s">
        <v>5007</v>
      </c>
      <c r="E209" s="1622" t="s">
        <v>4730</v>
      </c>
      <c r="F209" s="1622" t="s">
        <v>5008</v>
      </c>
      <c r="G209" s="1689">
        <v>65.0</v>
      </c>
      <c r="H209" s="1690" t="s">
        <v>4709</v>
      </c>
      <c r="I209" s="1625" t="s">
        <v>4462</v>
      </c>
      <c r="J209" s="1626" t="s">
        <v>4073</v>
      </c>
      <c r="K209" s="1622" t="s">
        <v>5009</v>
      </c>
      <c r="L209" s="1626" t="s">
        <v>5010</v>
      </c>
      <c r="M209" s="1620" t="s">
        <v>4054</v>
      </c>
      <c r="N209" s="1622" t="s">
        <v>4055</v>
      </c>
      <c r="O209" s="1618"/>
      <c r="P209" s="1618"/>
    </row>
    <row r="210" ht="19.5" customHeight="1">
      <c r="A210" s="1681">
        <v>195.0</v>
      </c>
      <c r="B210" s="1682">
        <v>198.0</v>
      </c>
      <c r="C210" s="1683" t="s">
        <v>5011</v>
      </c>
      <c r="D210" s="1684"/>
      <c r="E210" s="1684" t="s">
        <v>4147</v>
      </c>
      <c r="F210" s="1684" t="s">
        <v>5012</v>
      </c>
      <c r="G210" s="1685">
        <v>65.0</v>
      </c>
      <c r="H210" s="1686" t="s">
        <v>4709</v>
      </c>
      <c r="I210" s="1691" t="s">
        <v>4193</v>
      </c>
      <c r="J210" s="1688" t="s">
        <v>4073</v>
      </c>
      <c r="K210" s="1684" t="s">
        <v>5013</v>
      </c>
      <c r="L210" s="1688" t="s">
        <v>5014</v>
      </c>
      <c r="M210" s="1682" t="s">
        <v>4054</v>
      </c>
      <c r="N210" s="1684" t="s">
        <v>4055</v>
      </c>
      <c r="O210" s="1618"/>
      <c r="P210" s="1618"/>
    </row>
    <row r="211" ht="14.25" customHeight="1">
      <c r="A211" s="1619">
        <v>196.0</v>
      </c>
      <c r="B211" s="1620">
        <v>145.0</v>
      </c>
      <c r="C211" s="1621" t="s">
        <v>5015</v>
      </c>
      <c r="D211" s="1622" t="s">
        <v>5016</v>
      </c>
      <c r="E211" s="1622" t="s">
        <v>4713</v>
      </c>
      <c r="F211" s="1622" t="s">
        <v>5017</v>
      </c>
      <c r="G211" s="1689">
        <v>64.0</v>
      </c>
      <c r="H211" s="1690" t="s">
        <v>4709</v>
      </c>
      <c r="I211" s="1625" t="s">
        <v>4462</v>
      </c>
      <c r="J211" s="1626" t="s">
        <v>4073</v>
      </c>
      <c r="K211" s="1622" t="s">
        <v>5018</v>
      </c>
      <c r="L211" s="1626" t="s">
        <v>5019</v>
      </c>
      <c r="M211" s="1620" t="s">
        <v>4054</v>
      </c>
      <c r="N211" s="1622" t="s">
        <v>4055</v>
      </c>
      <c r="O211" s="1618"/>
      <c r="P211" s="1618"/>
    </row>
    <row r="212" ht="14.25" customHeight="1">
      <c r="A212" s="1681">
        <v>197.0</v>
      </c>
      <c r="B212" s="1682">
        <v>150.0</v>
      </c>
      <c r="C212" s="1683" t="s">
        <v>5020</v>
      </c>
      <c r="D212" s="1684" t="s">
        <v>5021</v>
      </c>
      <c r="E212" s="1684" t="s">
        <v>4730</v>
      </c>
      <c r="F212" s="1684" t="s">
        <v>5022</v>
      </c>
      <c r="G212" s="1685">
        <v>64.0</v>
      </c>
      <c r="H212" s="1686" t="s">
        <v>4709</v>
      </c>
      <c r="I212" s="1691" t="s">
        <v>4462</v>
      </c>
      <c r="J212" s="1688" t="s">
        <v>4073</v>
      </c>
      <c r="K212" s="1684" t="s">
        <v>5023</v>
      </c>
      <c r="L212" s="1688" t="s">
        <v>5024</v>
      </c>
      <c r="M212" s="1682" t="s">
        <v>4054</v>
      </c>
      <c r="N212" s="1684" t="s">
        <v>4055</v>
      </c>
      <c r="O212" s="1618"/>
      <c r="P212" s="1618"/>
    </row>
    <row r="213" ht="14.25" customHeight="1">
      <c r="A213" s="1619">
        <v>198.0</v>
      </c>
      <c r="B213" s="1620">
        <v>184.0</v>
      </c>
      <c r="C213" s="1621" t="s">
        <v>5025</v>
      </c>
      <c r="D213" s="1622" t="s">
        <v>5026</v>
      </c>
      <c r="E213" s="1622" t="s">
        <v>4446</v>
      </c>
      <c r="F213" s="1622" t="s">
        <v>5027</v>
      </c>
      <c r="G213" s="1689">
        <v>63.0</v>
      </c>
      <c r="H213" s="1690" t="s">
        <v>4709</v>
      </c>
      <c r="I213" s="1625" t="s">
        <v>4097</v>
      </c>
      <c r="J213" s="1626" t="s">
        <v>4073</v>
      </c>
      <c r="K213" s="1622" t="s">
        <v>5028</v>
      </c>
      <c r="L213" s="1626" t="s">
        <v>5029</v>
      </c>
      <c r="M213" s="1620" t="s">
        <v>4054</v>
      </c>
      <c r="N213" s="1622" t="s">
        <v>4055</v>
      </c>
      <c r="O213" s="1618"/>
      <c r="P213" s="1618"/>
    </row>
    <row r="214" ht="21.75" customHeight="1">
      <c r="A214" s="1693">
        <v>199.0</v>
      </c>
      <c r="B214" s="460"/>
      <c r="C214" s="460"/>
      <c r="D214" s="460"/>
      <c r="E214" s="460"/>
      <c r="F214" s="460"/>
      <c r="G214" s="460"/>
      <c r="H214" s="460"/>
      <c r="I214" s="460"/>
      <c r="J214" s="460"/>
      <c r="K214" s="460"/>
      <c r="L214" s="460"/>
      <c r="M214" s="460"/>
      <c r="N214" s="460"/>
      <c r="O214" s="460"/>
      <c r="P214" s="461"/>
    </row>
    <row r="215" ht="19.5" customHeight="1">
      <c r="A215" s="1619">
        <v>200.0</v>
      </c>
      <c r="B215" s="1694">
        <v>180.0</v>
      </c>
      <c r="C215" s="460"/>
      <c r="D215" s="460"/>
      <c r="E215" s="460"/>
      <c r="F215" s="460"/>
      <c r="G215" s="460"/>
      <c r="H215" s="460"/>
      <c r="I215" s="460"/>
      <c r="J215" s="460"/>
      <c r="K215" s="460"/>
      <c r="L215" s="460"/>
      <c r="M215" s="460"/>
      <c r="N215" s="460"/>
      <c r="O215" s="460"/>
      <c r="P215" s="461"/>
    </row>
    <row r="216" ht="19.5" customHeight="1">
      <c r="B216" s="1090"/>
    </row>
    <row r="217" ht="19.5" customHeight="1">
      <c r="A217" s="1695" t="s">
        <v>5030</v>
      </c>
      <c r="B217" s="1090"/>
    </row>
    <row r="218" ht="19.5" customHeight="1">
      <c r="A218" s="1696" t="s">
        <v>5031</v>
      </c>
      <c r="B218" s="1693" t="s">
        <v>5032</v>
      </c>
      <c r="C218" s="460"/>
      <c r="D218" s="460"/>
      <c r="E218" s="460"/>
      <c r="F218" s="460"/>
      <c r="G218" s="460"/>
      <c r="H218" s="460"/>
      <c r="I218" s="460"/>
      <c r="J218" s="460"/>
      <c r="K218" s="460"/>
      <c r="L218" s="460"/>
      <c r="M218" s="460"/>
      <c r="N218" s="460"/>
      <c r="O218" s="460"/>
      <c r="P218" s="461"/>
    </row>
    <row r="219" ht="19.5" customHeight="1">
      <c r="B219" s="1090"/>
    </row>
    <row r="220" ht="19.5" customHeight="1">
      <c r="A220" s="1696" t="s">
        <v>5033</v>
      </c>
      <c r="B220" s="1693" t="s">
        <v>5034</v>
      </c>
      <c r="C220" s="460"/>
      <c r="D220" s="460"/>
      <c r="E220" s="460"/>
      <c r="F220" s="460"/>
      <c r="G220" s="460"/>
      <c r="H220" s="460"/>
      <c r="I220" s="460"/>
      <c r="J220" s="460"/>
      <c r="K220" s="460"/>
      <c r="L220" s="460"/>
      <c r="M220" s="460"/>
      <c r="N220" s="460"/>
      <c r="O220" s="460"/>
      <c r="P220" s="461"/>
    </row>
    <row r="221" ht="14.25" customHeight="1"/>
    <row r="222" ht="14.25" customHeight="1"/>
    <row r="223" ht="14.25" customHeight="1"/>
    <row r="224" ht="14.25" customHeight="1">
      <c r="A224" s="1697" t="s">
        <v>5035</v>
      </c>
    </row>
    <row r="225" ht="14.25" customHeight="1">
      <c r="A225" s="1621" t="s">
        <v>5036</v>
      </c>
      <c r="B225" s="1698" t="s">
        <v>5037</v>
      </c>
      <c r="C225" s="1699"/>
      <c r="D225" s="1699"/>
      <c r="E225" s="1699"/>
      <c r="F225" s="1699"/>
      <c r="G225" s="1699"/>
      <c r="H225" s="1699"/>
      <c r="I225" s="1699"/>
      <c r="J225" s="1699"/>
      <c r="K225" s="1699"/>
      <c r="L225" s="1699"/>
      <c r="M225" s="1699"/>
      <c r="N225" s="1699"/>
      <c r="O225" s="1699"/>
      <c r="P225" s="1700"/>
    </row>
    <row r="226" ht="14.25" customHeight="1">
      <c r="A226" s="1621" t="s">
        <v>5038</v>
      </c>
      <c r="B226" s="1675" t="s">
        <v>5039</v>
      </c>
      <c r="C226" s="1699"/>
      <c r="D226" s="1699"/>
      <c r="E226" s="1699"/>
      <c r="F226" s="1699"/>
      <c r="G226" s="1699"/>
      <c r="H226" s="1699"/>
      <c r="I226" s="1699"/>
      <c r="J226" s="1699"/>
      <c r="K226" s="1699"/>
      <c r="L226" s="1699"/>
      <c r="M226" s="1699"/>
      <c r="N226" s="1699"/>
      <c r="O226" s="1699"/>
      <c r="P226" s="1700"/>
    </row>
    <row r="227" ht="14.25" customHeight="1">
      <c r="A227" s="1621" t="s">
        <v>5040</v>
      </c>
      <c r="B227" s="1640" t="s">
        <v>5041</v>
      </c>
      <c r="C227" s="1699"/>
      <c r="D227" s="1699"/>
      <c r="E227" s="1699"/>
      <c r="F227" s="1699"/>
      <c r="G227" s="1699"/>
      <c r="H227" s="1699"/>
      <c r="I227" s="1699"/>
      <c r="J227" s="1699"/>
      <c r="K227" s="1699"/>
      <c r="L227" s="1699"/>
      <c r="M227" s="1699"/>
      <c r="N227" s="1699"/>
      <c r="O227" s="1699"/>
      <c r="P227" s="1700"/>
    </row>
    <row r="228" ht="14.25" customHeight="1">
      <c r="A228" s="1621" t="s">
        <v>5042</v>
      </c>
      <c r="B228" s="1658" t="s">
        <v>5043</v>
      </c>
      <c r="C228" s="1699"/>
      <c r="D228" s="1699"/>
      <c r="E228" s="1699"/>
      <c r="F228" s="1699"/>
      <c r="G228" s="1699"/>
      <c r="H228" s="1699"/>
      <c r="I228" s="1699"/>
      <c r="J228" s="1699"/>
      <c r="K228" s="1699"/>
      <c r="L228" s="1699"/>
      <c r="M228" s="1699"/>
      <c r="N228" s="1699"/>
      <c r="O228" s="1699"/>
      <c r="P228" s="1700"/>
    </row>
    <row r="229" ht="14.25" customHeight="1">
      <c r="A229" s="1621" t="s">
        <v>5044</v>
      </c>
      <c r="B229" s="1701" t="s">
        <v>5045</v>
      </c>
      <c r="C229" s="1699"/>
      <c r="D229" s="1699"/>
      <c r="E229" s="1699"/>
      <c r="F229" s="1699"/>
      <c r="G229" s="1699"/>
      <c r="H229" s="1699"/>
      <c r="I229" s="1699"/>
      <c r="J229" s="1699"/>
      <c r="K229" s="1699"/>
      <c r="L229" s="1699"/>
      <c r="M229" s="1699"/>
      <c r="N229" s="1699"/>
      <c r="O229" s="1699"/>
      <c r="P229" s="1700"/>
    </row>
    <row r="230" ht="14.25" customHeight="1">
      <c r="A230" s="1621" t="s">
        <v>5046</v>
      </c>
      <c r="B230" s="1632" t="s">
        <v>5047</v>
      </c>
      <c r="C230" s="1699"/>
      <c r="D230" s="1699"/>
      <c r="E230" s="1699"/>
      <c r="F230" s="1699"/>
      <c r="G230" s="1699"/>
      <c r="H230" s="1699"/>
      <c r="I230" s="1699"/>
      <c r="J230" s="1699"/>
      <c r="K230" s="1699"/>
      <c r="L230" s="1699"/>
      <c r="M230" s="1699"/>
      <c r="N230" s="1699"/>
      <c r="O230" s="1699"/>
      <c r="P230" s="1700"/>
    </row>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P$205"/>
  <mergeCells count="11">
    <mergeCell ref="B217:P217"/>
    <mergeCell ref="B218:P218"/>
    <mergeCell ref="B219:P219"/>
    <mergeCell ref="B220:P220"/>
    <mergeCell ref="A1:P1"/>
    <mergeCell ref="A2:P2"/>
    <mergeCell ref="A3:P3"/>
    <mergeCell ref="A207:P207"/>
    <mergeCell ref="A214:P214"/>
    <mergeCell ref="B215:P215"/>
    <mergeCell ref="B216:P216"/>
  </mergeCells>
  <conditionalFormatting sqref="G6:G205">
    <cfRule type="colorScale" priority="1">
      <colorScale>
        <cfvo type="min"/>
        <cfvo type="percentile" val="50"/>
        <cfvo type="max"/>
        <color rgb="FFFF6B6B"/>
        <color rgb="FFFFEB3B"/>
        <color rgb="FF4CAF50"/>
      </colorScale>
    </cfRule>
  </conditionalFormatting>
  <conditionalFormatting sqref="G6:G205">
    <cfRule type="colorScale" priority="2">
      <colorScale>
        <cfvo type="min"/>
        <cfvo type="percentile" val="50"/>
        <cfvo type="max"/>
        <color rgb="FFFF6B6B"/>
        <color rgb="FFFFEB3B"/>
        <color rgb="FF4CAF50"/>
      </colorScale>
    </cfRule>
  </conditionalFormatting>
  <printOptions/>
  <pageMargins bottom="1.0" footer="0.0" header="0.0" left="0.75" right="0.75" top="1.0"/>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22.0"/>
    <col customWidth="1" min="3" max="5" width="18.0"/>
    <col customWidth="1" min="6" max="6" width="25.0"/>
    <col customWidth="1" min="7" max="7" width="30.0"/>
  </cols>
  <sheetData>
    <row r="1" ht="27.75" customHeight="1">
      <c r="B1" s="1702" t="s">
        <v>5048</v>
      </c>
      <c r="C1" s="2"/>
      <c r="D1" s="2"/>
      <c r="E1" s="2"/>
      <c r="F1" s="2"/>
      <c r="G1" s="2"/>
    </row>
    <row r="2" ht="15.0" customHeight="1">
      <c r="B2" s="1703" t="s">
        <v>5049</v>
      </c>
    </row>
    <row r="3" ht="14.25" customHeight="1"/>
    <row r="4" ht="15.0" customHeight="1">
      <c r="B4" s="1704" t="s">
        <v>5050</v>
      </c>
      <c r="C4" s="2"/>
      <c r="D4" s="2"/>
      <c r="E4" s="2"/>
      <c r="F4" s="2"/>
      <c r="G4" s="2"/>
    </row>
    <row r="5" ht="15.0" customHeight="1">
      <c r="B5" s="1705" t="s">
        <v>5051</v>
      </c>
      <c r="C5" s="1706" t="s">
        <v>5052</v>
      </c>
      <c r="D5" s="1707" t="s">
        <v>5053</v>
      </c>
    </row>
    <row r="6" ht="15.0" customHeight="1">
      <c r="B6" s="1705" t="s">
        <v>5054</v>
      </c>
      <c r="C6" s="1706" t="s">
        <v>5055</v>
      </c>
      <c r="D6" s="1707" t="s">
        <v>5056</v>
      </c>
    </row>
    <row r="7" ht="15.0" customHeight="1">
      <c r="B7" s="1705" t="s">
        <v>5057</v>
      </c>
      <c r="C7" s="1706" t="s">
        <v>5058</v>
      </c>
      <c r="D7" s="1707"/>
    </row>
    <row r="8" ht="15.0" customHeight="1">
      <c r="B8" s="1705" t="s">
        <v>5059</v>
      </c>
      <c r="C8" s="1706" t="s">
        <v>5060</v>
      </c>
      <c r="D8" s="1707" t="s">
        <v>5061</v>
      </c>
    </row>
    <row r="9" ht="15.0" customHeight="1">
      <c r="B9" s="1705" t="s">
        <v>5062</v>
      </c>
      <c r="C9" s="1706" t="s">
        <v>5063</v>
      </c>
      <c r="D9" s="1707" t="s">
        <v>5064</v>
      </c>
    </row>
    <row r="10" ht="23.25" customHeight="1">
      <c r="B10" s="1705" t="s">
        <v>5065</v>
      </c>
      <c r="C10" s="1706" t="s">
        <v>5066</v>
      </c>
      <c r="D10" s="1707" t="s">
        <v>5067</v>
      </c>
    </row>
    <row r="11" ht="23.25" customHeight="1">
      <c r="B11" s="1705" t="s">
        <v>5068</v>
      </c>
      <c r="C11" s="1706" t="s">
        <v>5069</v>
      </c>
      <c r="D11" s="1707" t="s">
        <v>5070</v>
      </c>
    </row>
    <row r="12" ht="14.25" customHeight="1"/>
    <row r="13" ht="15.0" customHeight="1">
      <c r="B13" s="1704" t="s">
        <v>5071</v>
      </c>
      <c r="C13" s="2"/>
      <c r="D13" s="2"/>
      <c r="E13" s="2"/>
      <c r="F13" s="2"/>
      <c r="G13" s="2"/>
    </row>
    <row r="14" ht="15.0" customHeight="1">
      <c r="B14" s="1708" t="s">
        <v>5072</v>
      </c>
      <c r="C14" s="1708" t="s">
        <v>5073</v>
      </c>
      <c r="D14" s="1708" t="s">
        <v>1205</v>
      </c>
      <c r="E14" s="1708" t="s">
        <v>337</v>
      </c>
      <c r="F14" s="1708" t="s">
        <v>5074</v>
      </c>
      <c r="G14" s="1708"/>
    </row>
    <row r="15" ht="15.0" customHeight="1">
      <c r="B15" s="477" t="s">
        <v>5075</v>
      </c>
      <c r="C15" s="477" t="s">
        <v>5076</v>
      </c>
      <c r="D15" s="477" t="s">
        <v>2982</v>
      </c>
      <c r="E15" s="477" t="s">
        <v>5077</v>
      </c>
      <c r="F15" s="477"/>
    </row>
    <row r="16" ht="15.0" customHeight="1">
      <c r="B16" s="477" t="s">
        <v>5078</v>
      </c>
      <c r="C16" s="477" t="s">
        <v>5079</v>
      </c>
      <c r="D16" s="477" t="s">
        <v>2982</v>
      </c>
      <c r="E16" s="477" t="s">
        <v>5080</v>
      </c>
      <c r="F16" s="477"/>
    </row>
    <row r="17" ht="15.0" customHeight="1">
      <c r="B17" s="477" t="s">
        <v>5081</v>
      </c>
      <c r="C17" s="477" t="s">
        <v>5080</v>
      </c>
      <c r="D17" s="477" t="s">
        <v>2982</v>
      </c>
      <c r="E17" s="477" t="s">
        <v>5082</v>
      </c>
      <c r="F17" s="477"/>
    </row>
    <row r="18" ht="15.0" customHeight="1">
      <c r="B18" s="477" t="s">
        <v>5083</v>
      </c>
      <c r="C18" s="477" t="s">
        <v>5084</v>
      </c>
      <c r="D18" s="477" t="s">
        <v>2982</v>
      </c>
      <c r="E18" s="477" t="s">
        <v>5085</v>
      </c>
      <c r="F18" s="477"/>
    </row>
    <row r="19" ht="15.0" customHeight="1">
      <c r="B19" s="477" t="s">
        <v>5086</v>
      </c>
      <c r="C19" s="477" t="s">
        <v>434</v>
      </c>
      <c r="D19" s="477"/>
      <c r="E19" s="477" t="s">
        <v>5087</v>
      </c>
      <c r="F19" s="477"/>
    </row>
    <row r="20" ht="15.0" customHeight="1">
      <c r="B20" s="477" t="s">
        <v>5088</v>
      </c>
      <c r="C20" s="477" t="s">
        <v>5089</v>
      </c>
      <c r="D20" s="477" t="s">
        <v>2982</v>
      </c>
      <c r="E20" s="477" t="s">
        <v>5090</v>
      </c>
      <c r="F20" s="477" t="s">
        <v>5091</v>
      </c>
    </row>
    <row r="21" ht="15.0" customHeight="1">
      <c r="B21" s="477" t="s">
        <v>5092</v>
      </c>
      <c r="C21" s="477" t="s">
        <v>434</v>
      </c>
      <c r="D21" s="477"/>
      <c r="E21" s="477"/>
      <c r="F21" s="477"/>
    </row>
    <row r="22" ht="14.25" customHeight="1">
      <c r="B22" s="21" t="s">
        <v>5093</v>
      </c>
    </row>
    <row r="23" ht="15.0" customHeight="1">
      <c r="B23" s="21" t="s">
        <v>1771</v>
      </c>
    </row>
    <row r="24" ht="23.25" customHeight="1">
      <c r="B24" s="22" t="s">
        <v>5094</v>
      </c>
      <c r="C24" s="1090" t="s">
        <v>5095</v>
      </c>
    </row>
    <row r="25" ht="15.0" customHeight="1">
      <c r="B25" s="22" t="s">
        <v>5096</v>
      </c>
      <c r="C25" s="1090" t="s">
        <v>5097</v>
      </c>
    </row>
    <row r="26" ht="34.5" customHeight="1">
      <c r="B26" s="22" t="s">
        <v>5098</v>
      </c>
      <c r="C26" s="1090" t="s">
        <v>5099</v>
      </c>
    </row>
    <row r="27" ht="15.0" customHeight="1">
      <c r="B27" s="22" t="s">
        <v>5100</v>
      </c>
      <c r="C27" s="1090" t="s">
        <v>5101</v>
      </c>
    </row>
    <row r="28" ht="15.0" customHeight="1">
      <c r="B28" s="22" t="s">
        <v>5102</v>
      </c>
      <c r="C28" s="1090" t="s">
        <v>5103</v>
      </c>
    </row>
    <row r="29" ht="15.0" customHeight="1">
      <c r="C29" s="1090"/>
    </row>
    <row r="30" ht="15.0" customHeight="1">
      <c r="C30" s="1090"/>
    </row>
    <row r="31" ht="14.25" customHeight="1">
      <c r="B31" s="1709" t="s">
        <v>5104</v>
      </c>
    </row>
    <row r="32" ht="15.0" customHeight="1">
      <c r="B32" s="1705" t="s">
        <v>5105</v>
      </c>
    </row>
    <row r="33" ht="15.0" customHeight="1">
      <c r="B33" s="1705" t="s">
        <v>5106</v>
      </c>
      <c r="C33" s="477" t="s">
        <v>5107</v>
      </c>
    </row>
    <row r="34" ht="15.0" customHeight="1">
      <c r="B34" s="1705" t="s">
        <v>5108</v>
      </c>
      <c r="C34" s="477" t="s">
        <v>5109</v>
      </c>
    </row>
    <row r="35" ht="15.0" customHeight="1">
      <c r="B35" s="1705" t="s">
        <v>5110</v>
      </c>
      <c r="C35" s="477" t="s">
        <v>5111</v>
      </c>
    </row>
    <row r="36" ht="15.0" customHeight="1">
      <c r="B36" s="1705" t="s">
        <v>5112</v>
      </c>
      <c r="C36" s="477" t="s">
        <v>5113</v>
      </c>
    </row>
    <row r="37" ht="15.0" customHeight="1">
      <c r="B37" s="1705" t="s">
        <v>5114</v>
      </c>
      <c r="C37" s="477" t="s">
        <v>5115</v>
      </c>
    </row>
    <row r="38" ht="14.25" customHeight="1">
      <c r="B38" s="1705" t="s">
        <v>5116</v>
      </c>
      <c r="C38" s="477" t="s">
        <v>5117</v>
      </c>
    </row>
    <row r="39" ht="15.0" customHeight="1">
      <c r="B39" s="1090"/>
    </row>
    <row r="40" ht="15.0" customHeight="1">
      <c r="B40" s="1709" t="s">
        <v>5118</v>
      </c>
    </row>
    <row r="41" ht="15.0" customHeight="1">
      <c r="B41" s="1708" t="s">
        <v>337</v>
      </c>
      <c r="C41" s="1708" t="s">
        <v>272</v>
      </c>
      <c r="D41" s="1708" t="s">
        <v>5119</v>
      </c>
      <c r="E41" s="1708" t="s">
        <v>5120</v>
      </c>
      <c r="F41" s="1708" t="s">
        <v>5074</v>
      </c>
    </row>
    <row r="42" ht="14.25" customHeight="1">
      <c r="B42" s="1706" t="s">
        <v>5121</v>
      </c>
      <c r="C42" s="1706" t="s">
        <v>5122</v>
      </c>
      <c r="D42" s="1706" t="s">
        <v>2983</v>
      </c>
      <c r="E42" s="1706" t="s">
        <v>5123</v>
      </c>
      <c r="F42" s="1706" t="s">
        <v>5124</v>
      </c>
    </row>
    <row r="43" ht="14.25" customHeight="1">
      <c r="B43" s="1706" t="s">
        <v>5125</v>
      </c>
      <c r="C43" s="1706" t="s">
        <v>5126</v>
      </c>
      <c r="D43" s="1706" t="s">
        <v>2430</v>
      </c>
      <c r="E43" s="1706"/>
      <c r="F43" s="1706" t="s">
        <v>5127</v>
      </c>
    </row>
    <row r="44" ht="14.25" customHeight="1">
      <c r="B44" s="1706" t="s">
        <v>5128</v>
      </c>
      <c r="C44" s="1706" t="s">
        <v>5129</v>
      </c>
      <c r="D44" s="1706" t="s">
        <v>5130</v>
      </c>
      <c r="E44" s="1706" t="s">
        <v>5131</v>
      </c>
      <c r="F44" s="1706"/>
    </row>
    <row r="45" ht="14.25" customHeight="1">
      <c r="B45" s="1706" t="s">
        <v>5132</v>
      </c>
      <c r="C45" s="1706" t="s">
        <v>5133</v>
      </c>
      <c r="D45" s="1706" t="s">
        <v>5130</v>
      </c>
      <c r="E45" s="1706"/>
      <c r="F45" s="1706" t="s">
        <v>5134</v>
      </c>
    </row>
    <row r="46" ht="14.25" customHeight="1"/>
    <row r="47" ht="14.25" customHeight="1">
      <c r="B47" s="1709" t="s">
        <v>5135</v>
      </c>
    </row>
    <row r="48" ht="14.25" customHeight="1">
      <c r="B48" s="1708" t="s">
        <v>1205</v>
      </c>
      <c r="C48" s="1708" t="s">
        <v>5136</v>
      </c>
      <c r="D48" s="1708" t="s">
        <v>5137</v>
      </c>
      <c r="E48" s="1708" t="s">
        <v>5138</v>
      </c>
      <c r="F48" s="1708" t="s">
        <v>5139</v>
      </c>
      <c r="G48" s="1708" t="s">
        <v>5074</v>
      </c>
    </row>
    <row r="49" ht="14.25" customHeight="1">
      <c r="B49" s="1710" t="s">
        <v>1093</v>
      </c>
    </row>
    <row r="50" ht="14.25" customHeight="1"/>
    <row r="51" ht="14.25" customHeight="1">
      <c r="B51" s="22" t="s">
        <v>5140</v>
      </c>
    </row>
    <row r="52" ht="14.25" customHeight="1">
      <c r="B52" s="22" t="s">
        <v>2021</v>
      </c>
      <c r="C52" s="22" t="s">
        <v>270</v>
      </c>
      <c r="D52" s="22" t="s">
        <v>271</v>
      </c>
    </row>
    <row r="53" ht="14.25" customHeight="1">
      <c r="B53" s="22" t="s">
        <v>38</v>
      </c>
      <c r="C53" s="22" t="s">
        <v>5141</v>
      </c>
      <c r="D53" s="22" t="s">
        <v>5142</v>
      </c>
    </row>
    <row r="54" ht="14.25" customHeight="1">
      <c r="B54" s="22" t="s">
        <v>45</v>
      </c>
      <c r="C54" s="22" t="s">
        <v>5143</v>
      </c>
      <c r="D54" s="22" t="s">
        <v>2040</v>
      </c>
    </row>
    <row r="55" ht="14.25" customHeight="1">
      <c r="B55" s="22" t="s">
        <v>45</v>
      </c>
      <c r="C55" s="22" t="s">
        <v>5144</v>
      </c>
      <c r="D55" s="22" t="s">
        <v>5142</v>
      </c>
    </row>
    <row r="56" ht="14.25" customHeight="1"/>
    <row r="57" ht="14.25" customHeight="1">
      <c r="B57" s="22" t="s">
        <v>5145</v>
      </c>
    </row>
    <row r="58" ht="14.25" customHeight="1">
      <c r="B58" s="22" t="s">
        <v>1771</v>
      </c>
      <c r="C58" s="22" t="s">
        <v>5146</v>
      </c>
      <c r="D58" s="22" t="s">
        <v>1937</v>
      </c>
      <c r="E58" s="22" t="s">
        <v>5147</v>
      </c>
    </row>
    <row r="59" ht="14.25" customHeight="1">
      <c r="B59" s="22" t="s">
        <v>5148</v>
      </c>
      <c r="C59" s="22" t="s">
        <v>5055</v>
      </c>
      <c r="D59" s="22" t="s">
        <v>5149</v>
      </c>
      <c r="E59" s="22" t="s">
        <v>5150</v>
      </c>
    </row>
    <row r="60" ht="14.25" customHeight="1">
      <c r="B60" s="22" t="s">
        <v>5075</v>
      </c>
      <c r="C60" s="22" t="s">
        <v>5076</v>
      </c>
      <c r="D60" s="22" t="s">
        <v>5077</v>
      </c>
      <c r="E60" s="22" t="s">
        <v>2431</v>
      </c>
    </row>
    <row r="61" ht="14.25" customHeight="1">
      <c r="B61" s="22" t="s">
        <v>5078</v>
      </c>
      <c r="C61" s="22" t="s">
        <v>5079</v>
      </c>
      <c r="D61" s="22" t="s">
        <v>5080</v>
      </c>
      <c r="E61" s="22" t="s">
        <v>2432</v>
      </c>
    </row>
    <row r="62" ht="14.25" customHeight="1">
      <c r="B62" s="22" t="s">
        <v>5081</v>
      </c>
      <c r="C62" s="22" t="s">
        <v>5080</v>
      </c>
      <c r="D62" s="22" t="s">
        <v>5082</v>
      </c>
      <c r="E62" s="22" t="s">
        <v>2432</v>
      </c>
    </row>
    <row r="63" ht="14.25" customHeight="1">
      <c r="B63" s="22" t="s">
        <v>5088</v>
      </c>
      <c r="C63" s="22" t="s">
        <v>5089</v>
      </c>
      <c r="D63" s="22" t="s">
        <v>5090</v>
      </c>
      <c r="E63" s="22" t="s">
        <v>2431</v>
      </c>
    </row>
    <row r="64" ht="14.25" customHeight="1">
      <c r="B64" s="22" t="s">
        <v>5151</v>
      </c>
      <c r="C64" s="22" t="s">
        <v>5152</v>
      </c>
      <c r="D64" s="22" t="s">
        <v>5153</v>
      </c>
      <c r="E64" s="22" t="s">
        <v>2430</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C26:G26"/>
    <mergeCell ref="C27:G27"/>
    <mergeCell ref="C28:G28"/>
    <mergeCell ref="C29:G29"/>
    <mergeCell ref="C30:G30"/>
    <mergeCell ref="B32:G32"/>
    <mergeCell ref="B39:G39"/>
    <mergeCell ref="B1:G1"/>
    <mergeCell ref="B2:G2"/>
    <mergeCell ref="B4:G4"/>
    <mergeCell ref="B13:G13"/>
    <mergeCell ref="B23:G23"/>
    <mergeCell ref="C24:G24"/>
    <mergeCell ref="C25:G25"/>
  </mergeCells>
  <printOptions/>
  <pageMargins bottom="1.0" footer="0.0" header="0.0" left="0.75" right="0.75" top="1.0"/>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25.0"/>
    <col customWidth="1" min="3" max="5" width="15.0"/>
    <col customWidth="1" min="6" max="7" width="30.0"/>
  </cols>
  <sheetData>
    <row r="1" ht="27.75" customHeight="1">
      <c r="B1" s="1702" t="s">
        <v>5154</v>
      </c>
      <c r="C1" s="2"/>
      <c r="D1" s="2"/>
      <c r="E1" s="2"/>
      <c r="F1" s="2"/>
      <c r="G1" s="2"/>
    </row>
    <row r="2" ht="14.25" customHeight="1"/>
    <row r="3" ht="14.25" customHeight="1"/>
    <row r="4" ht="15.0" customHeight="1">
      <c r="B4" s="1704" t="s">
        <v>5155</v>
      </c>
      <c r="C4" s="2"/>
      <c r="D4" s="2"/>
      <c r="E4" s="2"/>
      <c r="F4" s="2"/>
      <c r="G4" s="2"/>
    </row>
    <row r="5" ht="15.0" customHeight="1">
      <c r="B5" s="1708" t="s">
        <v>5156</v>
      </c>
      <c r="C5" s="1708" t="s">
        <v>272</v>
      </c>
      <c r="D5" s="1708" t="s">
        <v>5157</v>
      </c>
      <c r="E5" s="1708" t="s">
        <v>5158</v>
      </c>
      <c r="F5" s="1708" t="s">
        <v>5159</v>
      </c>
      <c r="G5" s="1708" t="s">
        <v>5160</v>
      </c>
    </row>
    <row r="6" ht="15.0" customHeight="1">
      <c r="B6" s="1710" t="s">
        <v>5161</v>
      </c>
    </row>
    <row r="7" ht="14.25" customHeight="1">
      <c r="B7" s="22" t="s">
        <v>5162</v>
      </c>
      <c r="C7" s="22" t="s">
        <v>5163</v>
      </c>
      <c r="D7" s="22" t="s">
        <v>5164</v>
      </c>
      <c r="E7" s="22" t="s">
        <v>5165</v>
      </c>
      <c r="F7" s="22" t="s">
        <v>5165</v>
      </c>
      <c r="G7" s="22" t="s">
        <v>5165</v>
      </c>
    </row>
    <row r="8" ht="14.25" customHeight="1"/>
    <row r="9" ht="15.0" customHeight="1">
      <c r="B9" s="1090"/>
    </row>
    <row r="10" ht="15.0" customHeight="1">
      <c r="B10" s="1709" t="s">
        <v>5166</v>
      </c>
    </row>
    <row r="11" ht="15.0" customHeight="1">
      <c r="B11" s="1708" t="s">
        <v>3869</v>
      </c>
      <c r="C11" s="1708" t="s">
        <v>431</v>
      </c>
      <c r="D11" s="1708" t="s">
        <v>2981</v>
      </c>
      <c r="E11" s="1708" t="s">
        <v>5158</v>
      </c>
      <c r="F11" s="1708" t="s">
        <v>5167</v>
      </c>
      <c r="G11" s="1708" t="s">
        <v>5168</v>
      </c>
    </row>
    <row r="12" ht="14.25" customHeight="1">
      <c r="B12" s="1710" t="s">
        <v>1093</v>
      </c>
    </row>
    <row r="13" ht="14.25" customHeight="1"/>
    <row r="14" ht="15.0" customHeight="1">
      <c r="B14" s="1090"/>
    </row>
    <row r="15" ht="15.0" customHeight="1">
      <c r="B15" s="1709" t="s">
        <v>5169</v>
      </c>
    </row>
    <row r="16" ht="15.0" customHeight="1">
      <c r="B16" s="1708" t="s">
        <v>1205</v>
      </c>
      <c r="C16" s="1708" t="s">
        <v>5170</v>
      </c>
      <c r="D16" s="1708" t="s">
        <v>1726</v>
      </c>
      <c r="E16" s="1708" t="s">
        <v>5157</v>
      </c>
      <c r="F16" s="1708" t="s">
        <v>5171</v>
      </c>
      <c r="G16" s="1708" t="s">
        <v>5172</v>
      </c>
    </row>
    <row r="17" ht="14.25" customHeight="1">
      <c r="B17" s="1706" t="s">
        <v>1455</v>
      </c>
      <c r="C17" s="1706" t="s">
        <v>5173</v>
      </c>
      <c r="D17" s="1706" t="s">
        <v>5174</v>
      </c>
      <c r="E17" s="1706" t="s">
        <v>5175</v>
      </c>
      <c r="F17" s="1706" t="s">
        <v>5176</v>
      </c>
      <c r="G17" s="1706" t="s">
        <v>5177</v>
      </c>
    </row>
    <row r="18" ht="14.25" customHeight="1"/>
    <row r="19" ht="15.0" customHeight="1">
      <c r="B19" s="1090"/>
    </row>
    <row r="20" ht="15.0" customHeight="1">
      <c r="B20" s="1709" t="s">
        <v>5178</v>
      </c>
    </row>
    <row r="21" ht="15.0" customHeight="1">
      <c r="B21" s="1708" t="s">
        <v>5179</v>
      </c>
      <c r="C21" s="1708" t="s">
        <v>5180</v>
      </c>
      <c r="D21" s="1708" t="s">
        <v>272</v>
      </c>
      <c r="E21" s="1708" t="s">
        <v>5181</v>
      </c>
      <c r="F21" s="1708" t="s">
        <v>5074</v>
      </c>
    </row>
    <row r="22" ht="14.25" customHeight="1">
      <c r="B22" s="22" t="s">
        <v>5182</v>
      </c>
      <c r="C22" s="22" t="s">
        <v>434</v>
      </c>
      <c r="D22" s="22" t="s">
        <v>5183</v>
      </c>
      <c r="E22" s="22" t="s">
        <v>434</v>
      </c>
      <c r="F22" s="22" t="s">
        <v>5184</v>
      </c>
    </row>
    <row r="23" ht="14.25" customHeight="1">
      <c r="B23" s="1710" t="s">
        <v>1093</v>
      </c>
    </row>
    <row r="24" ht="14.25" customHeight="1"/>
    <row r="25" ht="14.25" customHeight="1">
      <c r="B25" s="22" t="s">
        <v>5185</v>
      </c>
    </row>
    <row r="26" ht="14.25" customHeight="1">
      <c r="B26" s="22" t="s">
        <v>1205</v>
      </c>
      <c r="C26" s="22" t="s">
        <v>5186</v>
      </c>
      <c r="D26" s="22" t="s">
        <v>5187</v>
      </c>
    </row>
    <row r="27" ht="14.25" customHeight="1">
      <c r="B27" s="22" t="s">
        <v>1455</v>
      </c>
      <c r="C27" s="22" t="s">
        <v>5188</v>
      </c>
      <c r="D27" s="22" t="s">
        <v>5189</v>
      </c>
    </row>
    <row r="28" ht="14.25" customHeight="1">
      <c r="B28" s="22" t="s">
        <v>1455</v>
      </c>
      <c r="C28" s="22" t="s">
        <v>5190</v>
      </c>
      <c r="D28" s="22" t="s">
        <v>5191</v>
      </c>
    </row>
    <row r="29" ht="14.25" customHeight="1"/>
    <row r="30" ht="14.25" customHeight="1">
      <c r="B30" s="22" t="s">
        <v>5192</v>
      </c>
    </row>
    <row r="31" ht="14.25" customHeight="1">
      <c r="B31" s="22" t="s">
        <v>5193</v>
      </c>
      <c r="C31" s="22" t="s">
        <v>5157</v>
      </c>
      <c r="D31" s="22" t="s">
        <v>324</v>
      </c>
    </row>
    <row r="32" ht="14.25" customHeight="1">
      <c r="B32" s="22" t="s">
        <v>5194</v>
      </c>
      <c r="C32" s="22" t="s">
        <v>5195</v>
      </c>
      <c r="D32" s="22" t="s">
        <v>5196</v>
      </c>
    </row>
    <row r="33" ht="14.25" customHeight="1">
      <c r="B33" s="22" t="s">
        <v>4953</v>
      </c>
      <c r="C33" s="22" t="s">
        <v>5197</v>
      </c>
      <c r="D33" s="22" t="s">
        <v>5198</v>
      </c>
    </row>
    <row r="34" ht="14.25" customHeight="1">
      <c r="B34" s="22" t="s">
        <v>5199</v>
      </c>
      <c r="C34" s="22" t="s">
        <v>5200</v>
      </c>
      <c r="D34" s="22" t="s">
        <v>5201</v>
      </c>
    </row>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G1"/>
    <mergeCell ref="B4:G4"/>
    <mergeCell ref="B9:G9"/>
    <mergeCell ref="B14:G14"/>
    <mergeCell ref="B19:G19"/>
  </mergeCells>
  <printOptions/>
  <pageMargins bottom="1.0" footer="0.0" header="0.0" left="0.75" right="0.75" top="1.0"/>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25.0"/>
    <col customWidth="1" min="3" max="4" width="15.0"/>
    <col customWidth="1" min="5" max="5" width="20.0"/>
    <col customWidth="1" min="6" max="6" width="30.0"/>
    <col customWidth="1" min="7" max="7" width="25.0"/>
  </cols>
  <sheetData>
    <row r="1" ht="27.75" customHeight="1">
      <c r="B1" s="1702" t="s">
        <v>5202</v>
      </c>
      <c r="C1" s="2"/>
      <c r="D1" s="2"/>
      <c r="E1" s="2"/>
      <c r="F1" s="2"/>
      <c r="G1" s="2"/>
    </row>
    <row r="2" ht="14.25" customHeight="1"/>
    <row r="3" ht="14.25" customHeight="1"/>
    <row r="4" ht="15.0" customHeight="1">
      <c r="B4" s="1704" t="s">
        <v>5203</v>
      </c>
      <c r="C4" s="2"/>
      <c r="D4" s="2"/>
      <c r="E4" s="2"/>
      <c r="F4" s="2"/>
      <c r="G4" s="2"/>
    </row>
    <row r="5" ht="15.0" customHeight="1">
      <c r="B5" s="1708" t="s">
        <v>4038</v>
      </c>
      <c r="C5" s="1708" t="s">
        <v>337</v>
      </c>
      <c r="D5" s="1708" t="s">
        <v>272</v>
      </c>
      <c r="E5" s="1711" t="s">
        <v>5204</v>
      </c>
      <c r="F5" s="2"/>
      <c r="G5" s="2"/>
    </row>
    <row r="6" ht="34.5" customHeight="1">
      <c r="B6" s="477" t="s">
        <v>5205</v>
      </c>
      <c r="C6" s="477" t="s">
        <v>5206</v>
      </c>
      <c r="D6" s="477" t="s">
        <v>5122</v>
      </c>
      <c r="E6" s="477" t="s">
        <v>5207</v>
      </c>
    </row>
    <row r="7" ht="23.25" customHeight="1">
      <c r="B7" s="477" t="s">
        <v>5208</v>
      </c>
      <c r="C7" s="477" t="s">
        <v>5209</v>
      </c>
      <c r="D7" s="477" t="s">
        <v>5210</v>
      </c>
      <c r="E7" s="477" t="s">
        <v>5211</v>
      </c>
    </row>
    <row r="8" ht="15.0" customHeight="1">
      <c r="B8" s="477" t="s">
        <v>5212</v>
      </c>
      <c r="C8" s="477" t="s">
        <v>5213</v>
      </c>
      <c r="D8" s="477" t="s">
        <v>5122</v>
      </c>
      <c r="E8" s="477" t="s">
        <v>5214</v>
      </c>
    </row>
    <row r="9" ht="34.5" customHeight="1">
      <c r="B9" s="477" t="s">
        <v>5215</v>
      </c>
      <c r="C9" s="477" t="s">
        <v>5216</v>
      </c>
      <c r="D9" s="477" t="s">
        <v>5122</v>
      </c>
      <c r="E9" s="477" t="s">
        <v>5217</v>
      </c>
    </row>
    <row r="10" ht="23.25" customHeight="1">
      <c r="B10" s="477" t="s">
        <v>5218</v>
      </c>
      <c r="C10" s="477" t="s">
        <v>5219</v>
      </c>
      <c r="D10" s="477" t="s">
        <v>5220</v>
      </c>
      <c r="E10" s="477" t="s">
        <v>5221</v>
      </c>
    </row>
    <row r="11" ht="45.75" customHeight="1">
      <c r="B11" s="477" t="s">
        <v>5222</v>
      </c>
      <c r="C11" s="477" t="s">
        <v>5223</v>
      </c>
      <c r="D11" s="477" t="s">
        <v>5122</v>
      </c>
      <c r="E11" s="477" t="s">
        <v>2982</v>
      </c>
    </row>
    <row r="12" ht="34.5" customHeight="1">
      <c r="B12" s="477" t="s">
        <v>5224</v>
      </c>
      <c r="C12" s="477" t="s">
        <v>5225</v>
      </c>
      <c r="D12" s="477" t="s">
        <v>5122</v>
      </c>
      <c r="E12" s="477" t="s">
        <v>5226</v>
      </c>
    </row>
    <row r="13" ht="14.25" customHeight="1"/>
    <row r="14" ht="15.0" customHeight="1">
      <c r="B14" s="1704" t="s">
        <v>5227</v>
      </c>
      <c r="C14" s="2"/>
      <c r="D14" s="2"/>
      <c r="E14" s="2"/>
      <c r="F14" s="2"/>
      <c r="G14" s="2"/>
    </row>
    <row r="15" ht="15.0" customHeight="1">
      <c r="B15" s="1708" t="s">
        <v>5228</v>
      </c>
      <c r="C15" s="1708" t="s">
        <v>272</v>
      </c>
      <c r="D15" s="1708" t="s">
        <v>2021</v>
      </c>
      <c r="E15" s="1708" t="s">
        <v>5229</v>
      </c>
      <c r="F15" s="1708" t="s">
        <v>5119</v>
      </c>
      <c r="G15" s="1708" t="s">
        <v>5074</v>
      </c>
    </row>
    <row r="16" ht="23.25" customHeight="1">
      <c r="B16" s="477" t="s">
        <v>5230</v>
      </c>
      <c r="C16" s="477" t="s">
        <v>5122</v>
      </c>
      <c r="D16" s="477" t="s">
        <v>5231</v>
      </c>
      <c r="E16" s="477" t="s">
        <v>5232</v>
      </c>
      <c r="F16" s="477" t="s">
        <v>5130</v>
      </c>
      <c r="G16" s="477" t="s">
        <v>5233</v>
      </c>
    </row>
    <row r="17" ht="15.0" customHeight="1">
      <c r="B17" s="477" t="s">
        <v>5234</v>
      </c>
      <c r="C17" s="477" t="s">
        <v>5129</v>
      </c>
      <c r="D17" s="477" t="s">
        <v>5235</v>
      </c>
      <c r="E17" s="477" t="s">
        <v>5236</v>
      </c>
      <c r="F17" s="477" t="s">
        <v>5237</v>
      </c>
      <c r="G17" s="477" t="s">
        <v>5238</v>
      </c>
    </row>
    <row r="18" ht="23.25" customHeight="1">
      <c r="B18" s="477" t="s">
        <v>5239</v>
      </c>
      <c r="C18" s="477" t="s">
        <v>5122</v>
      </c>
      <c r="D18" s="477" t="s">
        <v>5235</v>
      </c>
      <c r="E18" s="477" t="s">
        <v>5240</v>
      </c>
      <c r="F18" s="477" t="s">
        <v>2982</v>
      </c>
      <c r="G18" s="477"/>
    </row>
    <row r="19" ht="23.25" customHeight="1">
      <c r="B19" s="477" t="s">
        <v>522</v>
      </c>
      <c r="C19" s="477" t="s">
        <v>5241</v>
      </c>
      <c r="D19" s="477" t="s">
        <v>5242</v>
      </c>
      <c r="E19" s="477" t="s">
        <v>5243</v>
      </c>
      <c r="F19" s="477" t="s">
        <v>281</v>
      </c>
      <c r="G19" s="477" t="s">
        <v>5244</v>
      </c>
    </row>
    <row r="20" ht="23.25" customHeight="1">
      <c r="B20" s="477" t="s">
        <v>5125</v>
      </c>
      <c r="C20" s="477" t="s">
        <v>5126</v>
      </c>
      <c r="D20" s="477" t="s">
        <v>5235</v>
      </c>
      <c r="E20" s="477" t="s">
        <v>5245</v>
      </c>
      <c r="F20" s="477" t="s">
        <v>2430</v>
      </c>
      <c r="G20" s="477"/>
    </row>
    <row r="21" ht="14.25" customHeight="1"/>
    <row r="22" ht="15.0" customHeight="1">
      <c r="B22" s="1704" t="s">
        <v>5246</v>
      </c>
      <c r="C22" s="2"/>
      <c r="D22" s="2"/>
      <c r="E22" s="2"/>
      <c r="F22" s="2"/>
      <c r="G22" s="2"/>
    </row>
    <row r="23" ht="15.0" customHeight="1">
      <c r="B23" s="1708" t="s">
        <v>5247</v>
      </c>
      <c r="C23" s="1708" t="s">
        <v>5248</v>
      </c>
      <c r="D23" s="1708" t="s">
        <v>5249</v>
      </c>
      <c r="E23" s="1708" t="s">
        <v>2414</v>
      </c>
      <c r="F23" s="1708" t="s">
        <v>272</v>
      </c>
    </row>
    <row r="24" ht="34.5" customHeight="1">
      <c r="B24" s="477" t="s">
        <v>5250</v>
      </c>
      <c r="C24" s="477" t="s">
        <v>5251</v>
      </c>
      <c r="D24" s="477" t="s">
        <v>5252</v>
      </c>
      <c r="E24" s="477" t="s">
        <v>5253</v>
      </c>
      <c r="F24" s="477" t="s">
        <v>5254</v>
      </c>
    </row>
    <row r="25" ht="45.75" customHeight="1">
      <c r="B25" s="477" t="s">
        <v>5255</v>
      </c>
      <c r="C25" s="477" t="s">
        <v>5256</v>
      </c>
      <c r="D25" s="477" t="s">
        <v>5257</v>
      </c>
      <c r="E25" s="477" t="s">
        <v>5258</v>
      </c>
      <c r="F25" s="477" t="s">
        <v>5259</v>
      </c>
    </row>
    <row r="26" ht="34.5" customHeight="1">
      <c r="B26" s="477" t="s">
        <v>5260</v>
      </c>
      <c r="C26" s="477" t="s">
        <v>5224</v>
      </c>
      <c r="D26" s="477" t="s">
        <v>5261</v>
      </c>
      <c r="E26" s="477" t="s">
        <v>5262</v>
      </c>
      <c r="F26" s="477" t="s">
        <v>5263</v>
      </c>
    </row>
    <row r="27" ht="14.25" customHeight="1"/>
    <row r="28" ht="15.0" customHeight="1">
      <c r="B28" s="1704" t="s">
        <v>5264</v>
      </c>
      <c r="C28" s="2"/>
      <c r="D28" s="2"/>
      <c r="E28" s="2"/>
      <c r="F28" s="2"/>
      <c r="G28" s="2"/>
    </row>
    <row r="29" ht="15.0" customHeight="1">
      <c r="B29" s="1708" t="s">
        <v>1205</v>
      </c>
      <c r="C29" s="1708" t="s">
        <v>1418</v>
      </c>
      <c r="D29" s="1708" t="s">
        <v>1592</v>
      </c>
      <c r="E29" s="1708" t="s">
        <v>1429</v>
      </c>
      <c r="F29" s="1708" t="s">
        <v>1465</v>
      </c>
      <c r="G29" s="1708" t="s">
        <v>5265</v>
      </c>
    </row>
    <row r="30" ht="57.0" customHeight="1">
      <c r="B30" s="477" t="s">
        <v>1455</v>
      </c>
      <c r="C30" s="477" t="s">
        <v>5266</v>
      </c>
      <c r="D30" s="477" t="s">
        <v>5267</v>
      </c>
      <c r="E30" s="477" t="s">
        <v>5268</v>
      </c>
      <c r="F30" s="477" t="s">
        <v>5269</v>
      </c>
      <c r="G30" s="477"/>
    </row>
    <row r="31" ht="45.0" customHeight="1">
      <c r="B31" s="477" t="s">
        <v>1455</v>
      </c>
      <c r="C31" s="477" t="s">
        <v>5270</v>
      </c>
      <c r="D31" s="477" t="s">
        <v>5271</v>
      </c>
      <c r="E31" s="477" t="s">
        <v>5272</v>
      </c>
      <c r="F31" s="477" t="s">
        <v>5273</v>
      </c>
      <c r="G31" s="477" t="s">
        <v>5274</v>
      </c>
    </row>
    <row r="32" ht="14.25" customHeight="1"/>
    <row r="33" ht="14.25" customHeight="1">
      <c r="B33" s="22" t="s">
        <v>5275</v>
      </c>
    </row>
    <row r="34" ht="14.25" customHeight="1">
      <c r="B34" s="22" t="s">
        <v>1205</v>
      </c>
      <c r="C34" s="22" t="s">
        <v>1418</v>
      </c>
      <c r="D34" s="22" t="s">
        <v>1429</v>
      </c>
    </row>
    <row r="35" ht="14.25" customHeight="1">
      <c r="B35" s="22" t="s">
        <v>1455</v>
      </c>
      <c r="C35" s="22" t="s">
        <v>5276</v>
      </c>
      <c r="D35" s="22" t="s">
        <v>5277</v>
      </c>
    </row>
    <row r="36" ht="14.25" customHeight="1">
      <c r="B36" s="22" t="s">
        <v>1455</v>
      </c>
      <c r="C36" s="22" t="s">
        <v>5278</v>
      </c>
      <c r="D36" s="22" t="s">
        <v>5279</v>
      </c>
    </row>
    <row r="37" ht="14.25" customHeight="1"/>
    <row r="38" ht="14.25" customHeight="1">
      <c r="B38" s="22" t="s">
        <v>5280</v>
      </c>
    </row>
    <row r="39" ht="14.25" customHeight="1">
      <c r="B39" s="22" t="s">
        <v>1418</v>
      </c>
      <c r="C39" s="22" t="s">
        <v>5281</v>
      </c>
      <c r="D39" s="22" t="s">
        <v>5282</v>
      </c>
    </row>
    <row r="40" ht="14.25" customHeight="1">
      <c r="B40" s="22" t="s">
        <v>5283</v>
      </c>
      <c r="C40" s="22" t="s">
        <v>5284</v>
      </c>
      <c r="D40" s="22" t="s">
        <v>5142</v>
      </c>
    </row>
    <row r="41" ht="14.25" customHeight="1">
      <c r="B41" s="22" t="s">
        <v>39</v>
      </c>
      <c r="C41" s="22" t="s">
        <v>5285</v>
      </c>
      <c r="D41" s="22" t="s">
        <v>5286</v>
      </c>
    </row>
    <row r="42" ht="14.25" customHeight="1">
      <c r="B42" s="22" t="s">
        <v>5287</v>
      </c>
      <c r="C42" s="22" t="s">
        <v>5288</v>
      </c>
      <c r="D42" s="22" t="s">
        <v>5289</v>
      </c>
    </row>
    <row r="43" ht="14.25" customHeight="1">
      <c r="B43" s="22" t="s">
        <v>5290</v>
      </c>
      <c r="C43" s="22" t="s">
        <v>5291</v>
      </c>
      <c r="D43" s="22" t="s">
        <v>5292</v>
      </c>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E10:G10"/>
    <mergeCell ref="E11:G11"/>
    <mergeCell ref="E12:G12"/>
    <mergeCell ref="B14:G14"/>
    <mergeCell ref="B22:G22"/>
    <mergeCell ref="B28:G28"/>
    <mergeCell ref="B1:G1"/>
    <mergeCell ref="B4:G4"/>
    <mergeCell ref="E5:G5"/>
    <mergeCell ref="E6:G6"/>
    <mergeCell ref="E7:G7"/>
    <mergeCell ref="E8:G8"/>
    <mergeCell ref="E9:G9"/>
  </mergeCells>
  <printOptions/>
  <pageMargins bottom="1.0" footer="0.0" header="0.0" left="0.75" right="0.75" top="1.0"/>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4" width="20.0"/>
    <col customWidth="1" min="5" max="5" width="25.0"/>
    <col customWidth="1" min="6" max="6" width="30.0"/>
    <col customWidth="1" min="7" max="7" width="20.0"/>
  </cols>
  <sheetData>
    <row r="1" ht="27.75" customHeight="1">
      <c r="B1" s="1702" t="s">
        <v>5293</v>
      </c>
      <c r="C1" s="2"/>
      <c r="D1" s="2"/>
      <c r="E1" s="2"/>
      <c r="F1" s="2"/>
      <c r="G1" s="2"/>
    </row>
    <row r="2" ht="15.0" customHeight="1">
      <c r="B2" s="1703" t="s">
        <v>5294</v>
      </c>
    </row>
    <row r="3" ht="14.25" customHeight="1"/>
    <row r="4" ht="15.0" customHeight="1">
      <c r="B4" s="1704" t="s">
        <v>5295</v>
      </c>
      <c r="C4" s="2"/>
      <c r="D4" s="2"/>
      <c r="E4" s="2"/>
      <c r="F4" s="2"/>
      <c r="G4" s="2"/>
    </row>
    <row r="5" ht="15.0" customHeight="1">
      <c r="B5" s="1708" t="s">
        <v>1205</v>
      </c>
      <c r="C5" s="1708" t="s">
        <v>3597</v>
      </c>
      <c r="D5" s="1708" t="s">
        <v>5296</v>
      </c>
      <c r="E5" s="1708" t="s">
        <v>5297</v>
      </c>
      <c r="F5" s="1708" t="s">
        <v>1366</v>
      </c>
      <c r="G5" s="1708" t="s">
        <v>272</v>
      </c>
    </row>
    <row r="6" ht="34.5" customHeight="1">
      <c r="B6" s="477" t="s">
        <v>1455</v>
      </c>
      <c r="C6" s="477" t="s">
        <v>5298</v>
      </c>
      <c r="D6" s="477" t="s">
        <v>5299</v>
      </c>
      <c r="E6" s="477" t="s">
        <v>5300</v>
      </c>
      <c r="F6" s="477" t="s">
        <v>5301</v>
      </c>
      <c r="G6" s="477" t="s">
        <v>5302</v>
      </c>
    </row>
    <row r="7" ht="34.5" customHeight="1">
      <c r="B7" s="477" t="s">
        <v>1455</v>
      </c>
      <c r="C7" s="477" t="s">
        <v>5303</v>
      </c>
      <c r="D7" s="477" t="s">
        <v>5304</v>
      </c>
      <c r="E7" s="477" t="s">
        <v>5305</v>
      </c>
      <c r="F7" s="477" t="s">
        <v>5306</v>
      </c>
      <c r="G7" s="477" t="s">
        <v>5302</v>
      </c>
    </row>
    <row r="8" ht="34.5" customHeight="1">
      <c r="B8" s="477" t="s">
        <v>1455</v>
      </c>
      <c r="C8" s="477" t="s">
        <v>5307</v>
      </c>
      <c r="D8" s="477" t="s">
        <v>5308</v>
      </c>
      <c r="E8" s="477" t="s">
        <v>5309</v>
      </c>
      <c r="F8" s="477" t="s">
        <v>5310</v>
      </c>
      <c r="G8" s="477" t="s">
        <v>5302</v>
      </c>
    </row>
    <row r="9" ht="34.5" customHeight="1">
      <c r="B9" s="477" t="s">
        <v>1455</v>
      </c>
      <c r="C9" s="477" t="s">
        <v>5307</v>
      </c>
      <c r="D9" s="477" t="s">
        <v>5311</v>
      </c>
      <c r="E9" s="477" t="s">
        <v>5312</v>
      </c>
      <c r="F9" s="477" t="s">
        <v>5313</v>
      </c>
      <c r="G9" s="477" t="s">
        <v>5302</v>
      </c>
    </row>
    <row r="10" ht="39.75" customHeight="1">
      <c r="B10" s="477" t="s">
        <v>1455</v>
      </c>
      <c r="C10" s="477" t="s">
        <v>5237</v>
      </c>
      <c r="D10" s="477" t="s">
        <v>5314</v>
      </c>
      <c r="E10" s="477" t="s">
        <v>5315</v>
      </c>
      <c r="F10" s="477" t="s">
        <v>5316</v>
      </c>
      <c r="G10" s="477" t="s">
        <v>5302</v>
      </c>
    </row>
    <row r="11" ht="15.0" customHeight="1">
      <c r="B11" s="1704" t="s">
        <v>5317</v>
      </c>
      <c r="C11" s="2"/>
      <c r="D11" s="2"/>
      <c r="E11" s="2"/>
      <c r="F11" s="2"/>
      <c r="G11" s="2"/>
    </row>
    <row r="12" ht="15.0" customHeight="1">
      <c r="B12" s="1708" t="s">
        <v>4038</v>
      </c>
      <c r="C12" s="1708" t="s">
        <v>5318</v>
      </c>
      <c r="D12" s="1708" t="s">
        <v>1726</v>
      </c>
      <c r="E12" s="1711" t="s">
        <v>5319</v>
      </c>
      <c r="F12" s="2"/>
      <c r="G12" s="2"/>
    </row>
    <row r="13" ht="57.0" customHeight="1">
      <c r="B13" s="477" t="s">
        <v>5320</v>
      </c>
      <c r="C13" s="477" t="s">
        <v>5321</v>
      </c>
      <c r="D13" s="477" t="s">
        <v>5322</v>
      </c>
      <c r="E13" s="477" t="s">
        <v>5323</v>
      </c>
    </row>
    <row r="14" ht="45.75" customHeight="1">
      <c r="B14" s="477" t="s">
        <v>5324</v>
      </c>
      <c r="C14" s="477" t="s">
        <v>5325</v>
      </c>
      <c r="D14" s="477" t="s">
        <v>5326</v>
      </c>
      <c r="E14" s="477" t="s">
        <v>5323</v>
      </c>
    </row>
    <row r="15" ht="57.0" customHeight="1">
      <c r="B15" s="477" t="s">
        <v>5327</v>
      </c>
      <c r="C15" s="477" t="s">
        <v>5328</v>
      </c>
      <c r="D15" s="477" t="s">
        <v>5329</v>
      </c>
      <c r="E15" s="477" t="s">
        <v>5323</v>
      </c>
    </row>
    <row r="16" ht="45.75" customHeight="1">
      <c r="B16" s="477" t="s">
        <v>5330</v>
      </c>
      <c r="C16" s="477" t="s">
        <v>5331</v>
      </c>
      <c r="D16" s="477" t="s">
        <v>5332</v>
      </c>
      <c r="E16" s="477" t="s">
        <v>5323</v>
      </c>
    </row>
    <row r="17" ht="45.75" customHeight="1">
      <c r="B17" s="477" t="s">
        <v>5333</v>
      </c>
      <c r="C17" s="477" t="s">
        <v>5334</v>
      </c>
      <c r="D17" s="477" t="s">
        <v>5335</v>
      </c>
      <c r="E17" s="477" t="s">
        <v>5323</v>
      </c>
    </row>
    <row r="18" ht="57.0" customHeight="1">
      <c r="B18" s="477" t="s">
        <v>5336</v>
      </c>
      <c r="C18" s="477" t="s">
        <v>5337</v>
      </c>
      <c r="D18" s="477" t="s">
        <v>5307</v>
      </c>
      <c r="E18" s="477" t="s">
        <v>5323</v>
      </c>
    </row>
    <row r="19" ht="57.0" customHeight="1">
      <c r="B19" s="477" t="s">
        <v>5338</v>
      </c>
      <c r="C19" s="477" t="s">
        <v>5339</v>
      </c>
      <c r="D19" s="477" t="s">
        <v>5307</v>
      </c>
      <c r="E19" s="477" t="s">
        <v>5323</v>
      </c>
    </row>
    <row r="20" ht="57.0" customHeight="1">
      <c r="B20" s="477" t="s">
        <v>5250</v>
      </c>
      <c r="C20" s="477" t="s">
        <v>5340</v>
      </c>
      <c r="D20" s="477" t="s">
        <v>5341</v>
      </c>
      <c r="E20" s="477" t="s">
        <v>5235</v>
      </c>
    </row>
    <row r="21" ht="14.25" customHeight="1"/>
    <row r="22" ht="15.0" customHeight="1">
      <c r="B22" s="1704" t="s">
        <v>5342</v>
      </c>
      <c r="C22" s="2"/>
      <c r="D22" s="2"/>
      <c r="E22" s="2"/>
      <c r="F22" s="2"/>
      <c r="G22" s="2"/>
    </row>
    <row r="23" ht="15.0" customHeight="1">
      <c r="B23" s="1708" t="s">
        <v>3597</v>
      </c>
      <c r="C23" s="1708" t="s">
        <v>1205</v>
      </c>
      <c r="D23" s="1708" t="s">
        <v>5343</v>
      </c>
      <c r="E23" s="1708" t="s">
        <v>5344</v>
      </c>
      <c r="F23" s="1708" t="s">
        <v>5345</v>
      </c>
      <c r="G23" s="1708" t="s">
        <v>5346</v>
      </c>
    </row>
    <row r="24" ht="45.0" customHeight="1">
      <c r="B24" s="477" t="s">
        <v>5347</v>
      </c>
      <c r="C24" s="477" t="s">
        <v>1455</v>
      </c>
      <c r="D24" s="477" t="s">
        <v>5348</v>
      </c>
      <c r="E24" s="477" t="s">
        <v>5349</v>
      </c>
      <c r="F24" s="477" t="s">
        <v>5350</v>
      </c>
      <c r="G24" s="477" t="s">
        <v>5351</v>
      </c>
    </row>
    <row r="25" ht="45.0" customHeight="1">
      <c r="B25" s="477" t="s">
        <v>5352</v>
      </c>
      <c r="C25" s="477" t="s">
        <v>1455</v>
      </c>
      <c r="D25" s="477" t="s">
        <v>5353</v>
      </c>
      <c r="E25" s="477" t="s">
        <v>5354</v>
      </c>
      <c r="F25" s="477" t="s">
        <v>5355</v>
      </c>
      <c r="G25" s="477" t="s">
        <v>5356</v>
      </c>
    </row>
    <row r="26" ht="45.0" customHeight="1">
      <c r="B26" s="477" t="s">
        <v>5357</v>
      </c>
      <c r="C26" s="477" t="s">
        <v>1455</v>
      </c>
      <c r="D26" s="477" t="s">
        <v>5358</v>
      </c>
      <c r="E26" s="477" t="s">
        <v>5359</v>
      </c>
      <c r="F26" s="477" t="s">
        <v>5360</v>
      </c>
      <c r="G26" s="477" t="s">
        <v>5361</v>
      </c>
    </row>
    <row r="27" ht="45.0" customHeight="1">
      <c r="B27" s="477" t="s">
        <v>5237</v>
      </c>
      <c r="C27" s="477" t="s">
        <v>1455</v>
      </c>
      <c r="D27" s="477" t="s">
        <v>5362</v>
      </c>
      <c r="E27" s="477" t="s">
        <v>5363</v>
      </c>
      <c r="F27" s="477" t="s">
        <v>5364</v>
      </c>
      <c r="G27" s="477" t="s">
        <v>5361</v>
      </c>
    </row>
    <row r="28" ht="15.0" customHeight="1">
      <c r="B28" s="1704" t="s">
        <v>5365</v>
      </c>
      <c r="C28" s="2"/>
      <c r="D28" s="2"/>
      <c r="E28" s="2"/>
      <c r="F28" s="2"/>
      <c r="G28" s="2"/>
    </row>
    <row r="29" ht="15.0" customHeight="1">
      <c r="B29" s="1708" t="s">
        <v>1564</v>
      </c>
      <c r="C29" s="1708" t="s">
        <v>353</v>
      </c>
      <c r="D29" s="1708" t="s">
        <v>1726</v>
      </c>
      <c r="E29" s="1708" t="s">
        <v>5157</v>
      </c>
      <c r="F29" s="1708" t="s">
        <v>272</v>
      </c>
    </row>
    <row r="30" ht="34.5" customHeight="1">
      <c r="B30" s="477" t="s">
        <v>1001</v>
      </c>
      <c r="C30" s="477" t="s">
        <v>5366</v>
      </c>
      <c r="D30" s="477" t="s">
        <v>5307</v>
      </c>
      <c r="E30" s="477" t="s">
        <v>5175</v>
      </c>
      <c r="F30" s="477" t="s">
        <v>5367</v>
      </c>
    </row>
    <row r="31" ht="34.5" customHeight="1">
      <c r="B31" s="477" t="s">
        <v>1003</v>
      </c>
      <c r="C31" s="477" t="s">
        <v>5368</v>
      </c>
      <c r="D31" s="477" t="s">
        <v>5307</v>
      </c>
      <c r="E31" s="477" t="s">
        <v>5175</v>
      </c>
      <c r="F31" s="477" t="s">
        <v>5367</v>
      </c>
    </row>
    <row r="32" ht="34.5" customHeight="1">
      <c r="B32" s="477" t="s">
        <v>1005</v>
      </c>
      <c r="C32" s="477" t="s">
        <v>5369</v>
      </c>
      <c r="D32" s="477" t="s">
        <v>5307</v>
      </c>
      <c r="E32" s="477" t="s">
        <v>5175</v>
      </c>
      <c r="F32" s="477" t="s">
        <v>5367</v>
      </c>
    </row>
    <row r="33" ht="34.5" customHeight="1">
      <c r="B33" s="477" t="s">
        <v>1007</v>
      </c>
      <c r="C33" s="477" t="s">
        <v>5370</v>
      </c>
      <c r="D33" s="477" t="s">
        <v>5371</v>
      </c>
      <c r="E33" s="477" t="s">
        <v>5336</v>
      </c>
      <c r="F33" s="477" t="s">
        <v>5367</v>
      </c>
    </row>
    <row r="34" ht="34.5" customHeight="1">
      <c r="B34" s="477" t="s">
        <v>1009</v>
      </c>
      <c r="C34" s="477" t="s">
        <v>5372</v>
      </c>
      <c r="D34" s="477" t="s">
        <v>5373</v>
      </c>
      <c r="E34" s="477" t="s">
        <v>5224</v>
      </c>
      <c r="F34" s="477" t="s">
        <v>5367</v>
      </c>
    </row>
    <row r="35" ht="34.5" customHeight="1">
      <c r="B35" s="477" t="s">
        <v>1011</v>
      </c>
      <c r="C35" s="477" t="s">
        <v>5374</v>
      </c>
      <c r="D35" s="477" t="s">
        <v>5307</v>
      </c>
      <c r="E35" s="477" t="s">
        <v>5336</v>
      </c>
      <c r="F35" s="477" t="s">
        <v>5367</v>
      </c>
    </row>
    <row r="36" ht="34.5" customHeight="1">
      <c r="B36" s="477" t="s">
        <v>1013</v>
      </c>
      <c r="C36" s="477" t="s">
        <v>5375</v>
      </c>
      <c r="D36" s="477" t="s">
        <v>5371</v>
      </c>
      <c r="E36" s="477" t="s">
        <v>5376</v>
      </c>
      <c r="F36" s="477" t="s">
        <v>5367</v>
      </c>
    </row>
    <row r="37" ht="34.5" customHeight="1">
      <c r="B37" s="477" t="s">
        <v>977</v>
      </c>
      <c r="C37" s="477" t="s">
        <v>5377</v>
      </c>
      <c r="D37" s="477" t="s">
        <v>5378</v>
      </c>
      <c r="E37" s="477" t="s">
        <v>5224</v>
      </c>
      <c r="F37" s="477" t="s">
        <v>5367</v>
      </c>
    </row>
    <row r="38" ht="34.5" customHeight="1">
      <c r="B38" s="477" t="s">
        <v>979</v>
      </c>
      <c r="C38" s="477" t="s">
        <v>5379</v>
      </c>
      <c r="D38" s="477" t="s">
        <v>5378</v>
      </c>
      <c r="E38" s="477" t="s">
        <v>5224</v>
      </c>
      <c r="F38" s="477" t="s">
        <v>5367</v>
      </c>
    </row>
    <row r="39" ht="14.25" customHeight="1"/>
    <row r="40" ht="14.25" customHeight="1">
      <c r="B40" s="22" t="s">
        <v>1455</v>
      </c>
      <c r="C40" s="22" t="s">
        <v>5380</v>
      </c>
      <c r="D40" s="22" t="s">
        <v>5381</v>
      </c>
      <c r="E40" s="22" t="s">
        <v>5382</v>
      </c>
      <c r="F40" s="22" t="s">
        <v>5383</v>
      </c>
      <c r="G40" s="22" t="s">
        <v>5302</v>
      </c>
    </row>
    <row r="41" ht="14.25" customHeight="1">
      <c r="B41" s="22" t="s">
        <v>1455</v>
      </c>
      <c r="C41" s="22" t="s">
        <v>5380</v>
      </c>
      <c r="D41" s="22" t="s">
        <v>5384</v>
      </c>
      <c r="E41" s="22" t="s">
        <v>5385</v>
      </c>
      <c r="F41" s="22" t="s">
        <v>5386</v>
      </c>
      <c r="G41" s="22" t="s">
        <v>5302</v>
      </c>
    </row>
    <row r="42" ht="14.25" customHeight="1"/>
    <row r="43" ht="14.25" customHeight="1"/>
    <row r="44" ht="14.25" customHeight="1">
      <c r="B44" s="22" t="s">
        <v>5387</v>
      </c>
      <c r="C44" s="22" t="s">
        <v>5388</v>
      </c>
      <c r="D44" s="22" t="s">
        <v>5380</v>
      </c>
      <c r="E44" s="22" t="s">
        <v>5323</v>
      </c>
    </row>
    <row r="45" ht="14.25" customHeight="1">
      <c r="B45" s="22" t="s">
        <v>5389</v>
      </c>
      <c r="C45" s="22" t="s">
        <v>5390</v>
      </c>
      <c r="D45" s="22" t="s">
        <v>5380</v>
      </c>
      <c r="E45" s="22" t="s">
        <v>5323</v>
      </c>
    </row>
    <row r="46" ht="14.25" customHeight="1"/>
    <row r="47" ht="14.25" customHeight="1"/>
    <row r="48" ht="14.25" customHeight="1">
      <c r="B48" s="22" t="s">
        <v>5380</v>
      </c>
      <c r="C48" s="22" t="s">
        <v>1455</v>
      </c>
      <c r="D48" s="22" t="s">
        <v>5391</v>
      </c>
      <c r="E48" s="22" t="s">
        <v>5392</v>
      </c>
      <c r="F48" s="22" t="s">
        <v>5393</v>
      </c>
      <c r="G48" s="22" t="s">
        <v>5394</v>
      </c>
    </row>
    <row r="49" ht="14.25" customHeight="1"/>
    <row r="50" ht="14.25" customHeight="1"/>
    <row r="51" ht="14.25" customHeight="1">
      <c r="B51" s="22" t="s">
        <v>981</v>
      </c>
      <c r="C51" s="22" t="s">
        <v>5395</v>
      </c>
      <c r="D51" s="22" t="s">
        <v>5380</v>
      </c>
      <c r="E51" s="22" t="s">
        <v>5224</v>
      </c>
      <c r="F51" s="22" t="s">
        <v>5367</v>
      </c>
    </row>
    <row r="52" ht="14.25" customHeight="1">
      <c r="B52" s="22" t="s">
        <v>993</v>
      </c>
      <c r="C52" s="22" t="s">
        <v>5396</v>
      </c>
      <c r="D52" s="22" t="s">
        <v>5380</v>
      </c>
      <c r="E52" s="22" t="s">
        <v>4361</v>
      </c>
      <c r="F52" s="22" t="s">
        <v>5367</v>
      </c>
    </row>
    <row r="53" ht="14.25" customHeight="1"/>
    <row r="54" ht="14.25" customHeight="1">
      <c r="B54" s="22" t="s">
        <v>1455</v>
      </c>
      <c r="C54" s="22" t="s">
        <v>5380</v>
      </c>
      <c r="D54" s="22" t="s">
        <v>5397</v>
      </c>
      <c r="E54" s="22" t="s">
        <v>5398</v>
      </c>
      <c r="F54" s="22" t="s">
        <v>5399</v>
      </c>
      <c r="G54" s="22" t="s">
        <v>5302</v>
      </c>
    </row>
    <row r="55" ht="14.25" customHeight="1">
      <c r="B55" s="22" t="s">
        <v>1455</v>
      </c>
      <c r="C55" s="22" t="s">
        <v>5400</v>
      </c>
      <c r="D55" s="22" t="s">
        <v>5401</v>
      </c>
      <c r="E55" s="22" t="s">
        <v>5402</v>
      </c>
      <c r="F55" s="22" t="s">
        <v>5403</v>
      </c>
      <c r="G55" s="22" t="s">
        <v>5302</v>
      </c>
    </row>
    <row r="56" ht="14.25" customHeight="1">
      <c r="B56" s="22" t="s">
        <v>5318</v>
      </c>
      <c r="C56" s="22" t="s">
        <v>5324</v>
      </c>
      <c r="D56" s="22" t="s">
        <v>5404</v>
      </c>
      <c r="E56" s="22" t="s">
        <v>5405</v>
      </c>
      <c r="F56" s="22" t="s">
        <v>5323</v>
      </c>
    </row>
    <row r="57" ht="14.25" customHeight="1"/>
    <row r="58" ht="14.25" customHeight="1">
      <c r="B58" s="22" t="s">
        <v>1455</v>
      </c>
      <c r="C58" s="22" t="s">
        <v>5406</v>
      </c>
      <c r="D58" s="22" t="s">
        <v>5407</v>
      </c>
      <c r="E58" s="22" t="s">
        <v>5408</v>
      </c>
      <c r="F58" s="22" t="s">
        <v>5409</v>
      </c>
    </row>
    <row r="59" ht="14.25" customHeight="1">
      <c r="B59" s="22" t="s">
        <v>1455</v>
      </c>
      <c r="C59" s="22" t="s">
        <v>5406</v>
      </c>
      <c r="D59" s="22" t="s">
        <v>5410</v>
      </c>
      <c r="E59" s="22" t="s">
        <v>5411</v>
      </c>
      <c r="F59" s="22" t="s">
        <v>5412</v>
      </c>
    </row>
    <row r="60" ht="14.25" customHeight="1">
      <c r="B60" s="22" t="s">
        <v>1455</v>
      </c>
      <c r="C60" s="22" t="s">
        <v>5406</v>
      </c>
      <c r="D60" s="22" t="s">
        <v>5413</v>
      </c>
      <c r="E60" s="22" t="s">
        <v>5414</v>
      </c>
      <c r="F60" s="22" t="s">
        <v>5415</v>
      </c>
    </row>
    <row r="61" ht="14.25" customHeight="1"/>
    <row r="62" ht="14.25" customHeight="1">
      <c r="B62" s="22" t="s">
        <v>5416</v>
      </c>
      <c r="C62" s="22" t="s">
        <v>5417</v>
      </c>
      <c r="D62" s="22" t="s">
        <v>5406</v>
      </c>
      <c r="E62" s="22" t="s">
        <v>5323</v>
      </c>
    </row>
    <row r="63" ht="14.25" customHeight="1">
      <c r="B63" s="22" t="s">
        <v>5418</v>
      </c>
      <c r="C63" s="22" t="s">
        <v>5419</v>
      </c>
      <c r="D63" s="22" t="s">
        <v>5406</v>
      </c>
      <c r="E63" s="22" t="s">
        <v>5323</v>
      </c>
    </row>
    <row r="64" ht="14.25" customHeight="1">
      <c r="B64" s="22" t="s">
        <v>5420</v>
      </c>
      <c r="C64" s="22" t="s">
        <v>5421</v>
      </c>
      <c r="D64" s="22" t="s">
        <v>5406</v>
      </c>
      <c r="E64" s="22" t="s">
        <v>5323</v>
      </c>
    </row>
    <row r="65" ht="14.25" customHeight="1"/>
    <row r="66" ht="14.25" customHeight="1">
      <c r="B66" s="22" t="s">
        <v>995</v>
      </c>
      <c r="C66" s="22" t="s">
        <v>5422</v>
      </c>
      <c r="D66" s="22" t="s">
        <v>5406</v>
      </c>
      <c r="E66" s="22" t="s">
        <v>4361</v>
      </c>
      <c r="F66" s="22" t="s">
        <v>5367</v>
      </c>
    </row>
    <row r="67" ht="14.25" customHeight="1">
      <c r="B67" s="22" t="s">
        <v>997</v>
      </c>
      <c r="C67" s="22" t="s">
        <v>5423</v>
      </c>
      <c r="D67" s="22" t="s">
        <v>5406</v>
      </c>
      <c r="E67" s="22" t="s">
        <v>4361</v>
      </c>
      <c r="F67" s="22" t="s">
        <v>5367</v>
      </c>
    </row>
    <row r="68" ht="14.25" customHeight="1">
      <c r="B68" s="22" t="s">
        <v>5424</v>
      </c>
      <c r="C68" s="22" t="s">
        <v>5425</v>
      </c>
      <c r="D68" s="22" t="s">
        <v>5406</v>
      </c>
      <c r="E68" s="22" t="s">
        <v>5175</v>
      </c>
      <c r="F68" s="22" t="s">
        <v>5367</v>
      </c>
    </row>
    <row r="69" ht="14.25" customHeight="1"/>
    <row r="70" ht="14.25" customHeight="1">
      <c r="B70" s="22" t="s">
        <v>5426</v>
      </c>
      <c r="C70" s="22" t="s">
        <v>1455</v>
      </c>
      <c r="D70" s="22" t="s">
        <v>5427</v>
      </c>
      <c r="E70" s="22" t="s">
        <v>5428</v>
      </c>
      <c r="F70" s="22" t="s">
        <v>5429</v>
      </c>
    </row>
    <row r="71" ht="14.25" customHeight="1"/>
    <row r="72" ht="14.25" customHeight="1">
      <c r="B72" s="22" t="s">
        <v>5430</v>
      </c>
      <c r="C72" s="22" t="s">
        <v>3676</v>
      </c>
      <c r="D72" s="22" t="s">
        <v>5431</v>
      </c>
      <c r="E72" s="22" t="s">
        <v>5432</v>
      </c>
      <c r="F72" s="22" t="s">
        <v>5433</v>
      </c>
      <c r="G72" s="22" t="s">
        <v>5434</v>
      </c>
    </row>
    <row r="73" ht="14.25" customHeight="1">
      <c r="B73" s="22" t="s">
        <v>5435</v>
      </c>
      <c r="C73" s="22" t="s">
        <v>5436</v>
      </c>
      <c r="D73" s="22" t="s">
        <v>5430</v>
      </c>
      <c r="E73" s="22" t="s">
        <v>5175</v>
      </c>
      <c r="F73" s="22" t="s">
        <v>5367</v>
      </c>
    </row>
    <row r="74" ht="14.25" customHeight="1">
      <c r="B74" s="22" t="s">
        <v>5437</v>
      </c>
    </row>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E15:G15"/>
    <mergeCell ref="E16:G16"/>
    <mergeCell ref="E17:G17"/>
    <mergeCell ref="E18:G18"/>
    <mergeCell ref="E19:G19"/>
    <mergeCell ref="E20:G20"/>
    <mergeCell ref="B22:G22"/>
    <mergeCell ref="B28:G28"/>
    <mergeCell ref="B1:G1"/>
    <mergeCell ref="B2:G2"/>
    <mergeCell ref="B4:G4"/>
    <mergeCell ref="B11:G11"/>
    <mergeCell ref="E12:G12"/>
    <mergeCell ref="E13:G13"/>
    <mergeCell ref="E14:G14"/>
  </mergeCells>
  <printOptions/>
  <pageMargins bottom="1.0" footer="0.0" header="0.0" left="0.75" right="0.75" top="1.0"/>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14.0"/>
    <col customWidth="1" min="3" max="3" width="22.0"/>
    <col customWidth="1" min="4" max="4" width="20.0"/>
    <col customWidth="1" min="5" max="5" width="14.0"/>
    <col customWidth="1" min="6" max="6" width="10.0"/>
    <col customWidth="1" min="7" max="7" width="22.0"/>
    <col customWidth="1" min="8" max="8" width="60.0"/>
  </cols>
  <sheetData>
    <row r="1" ht="14.25" customHeight="1">
      <c r="A1" s="21" t="s">
        <v>5438</v>
      </c>
    </row>
    <row r="2" ht="14.25" customHeight="1">
      <c r="A2" s="1712" t="s">
        <v>5439</v>
      </c>
    </row>
    <row r="3" ht="14.25" customHeight="1"/>
    <row r="4" ht="14.25" customHeight="1">
      <c r="A4" s="1713" t="s">
        <v>5440</v>
      </c>
      <c r="B4" s="2"/>
      <c r="C4" s="2"/>
      <c r="D4" s="2"/>
      <c r="E4" s="2"/>
      <c r="F4" s="2"/>
      <c r="G4" s="2"/>
      <c r="H4" s="2"/>
    </row>
    <row r="5" ht="14.25" customHeight="1">
      <c r="A5" s="1714" t="s">
        <v>269</v>
      </c>
      <c r="B5" s="1714" t="s">
        <v>1206</v>
      </c>
      <c r="C5" s="1714" t="s">
        <v>1565</v>
      </c>
      <c r="D5" s="1714" t="s">
        <v>5441</v>
      </c>
      <c r="E5" s="1714" t="s">
        <v>5442</v>
      </c>
      <c r="F5" s="1714" t="s">
        <v>5443</v>
      </c>
      <c r="G5" s="1714" t="s">
        <v>272</v>
      </c>
      <c r="H5" s="1714" t="s">
        <v>5444</v>
      </c>
    </row>
    <row r="6" ht="14.25" customHeight="1">
      <c r="A6" s="1715">
        <v>1.0</v>
      </c>
      <c r="B6" s="1716" t="s">
        <v>536</v>
      </c>
      <c r="C6" s="1715" t="s">
        <v>2157</v>
      </c>
      <c r="D6" s="1715" t="s">
        <v>5445</v>
      </c>
      <c r="E6" s="1715" t="s">
        <v>5446</v>
      </c>
      <c r="F6" s="1715">
        <v>45.0</v>
      </c>
      <c r="G6" s="1715" t="s">
        <v>5447</v>
      </c>
      <c r="H6" s="1717" t="s">
        <v>5448</v>
      </c>
    </row>
    <row r="7" ht="14.25" customHeight="1">
      <c r="A7" s="1715">
        <v>2.0</v>
      </c>
      <c r="B7" s="1716" t="s">
        <v>2153</v>
      </c>
      <c r="C7" s="1715" t="s">
        <v>2154</v>
      </c>
      <c r="D7" s="1715" t="s">
        <v>5449</v>
      </c>
      <c r="E7" s="1715" t="s">
        <v>5446</v>
      </c>
      <c r="F7" s="1715">
        <v>25.0</v>
      </c>
      <c r="G7" s="1715" t="s">
        <v>5447</v>
      </c>
      <c r="H7" s="1717" t="s">
        <v>5450</v>
      </c>
    </row>
    <row r="8" ht="14.25" customHeight="1">
      <c r="A8" s="1715">
        <v>3.0</v>
      </c>
      <c r="B8" s="1716" t="s">
        <v>2161</v>
      </c>
      <c r="C8" s="1715" t="s">
        <v>2162</v>
      </c>
      <c r="D8" s="1715" t="s">
        <v>5451</v>
      </c>
      <c r="E8" s="1715" t="s">
        <v>5446</v>
      </c>
      <c r="F8" s="1715">
        <v>35.0</v>
      </c>
      <c r="G8" s="1715" t="s">
        <v>5447</v>
      </c>
      <c r="H8" s="1717" t="s">
        <v>5452</v>
      </c>
    </row>
    <row r="9" ht="14.25" customHeight="1">
      <c r="A9" s="1715">
        <v>4.0</v>
      </c>
      <c r="B9" s="1716" t="s">
        <v>2158</v>
      </c>
      <c r="C9" s="1715" t="s">
        <v>2159</v>
      </c>
      <c r="D9" s="1715" t="s">
        <v>5453</v>
      </c>
      <c r="E9" s="1715" t="s">
        <v>5446</v>
      </c>
      <c r="F9" s="1715">
        <v>35.0</v>
      </c>
      <c r="G9" s="1715" t="s">
        <v>5447</v>
      </c>
      <c r="H9" s="1717" t="s">
        <v>5454</v>
      </c>
    </row>
    <row r="10" ht="14.25" customHeight="1">
      <c r="A10" s="1715">
        <v>5.0</v>
      </c>
      <c r="B10" s="1716" t="s">
        <v>2169</v>
      </c>
      <c r="C10" s="1715" t="s">
        <v>2170</v>
      </c>
      <c r="D10" s="1715" t="s">
        <v>5455</v>
      </c>
      <c r="E10" s="1715" t="s">
        <v>5446</v>
      </c>
      <c r="F10" s="1715">
        <v>48.0</v>
      </c>
      <c r="G10" s="1715" t="s">
        <v>5456</v>
      </c>
      <c r="H10" s="1717" t="s">
        <v>5457</v>
      </c>
    </row>
    <row r="11" ht="14.25" customHeight="1">
      <c r="A11" s="1715">
        <v>6.0</v>
      </c>
      <c r="B11" s="1716" t="s">
        <v>2167</v>
      </c>
      <c r="C11" s="1715" t="s">
        <v>2168</v>
      </c>
      <c r="D11" s="1715" t="s">
        <v>5458</v>
      </c>
      <c r="E11" s="1715" t="s">
        <v>5446</v>
      </c>
      <c r="F11" s="1715">
        <v>50.0</v>
      </c>
      <c r="G11" s="1715" t="s">
        <v>5456</v>
      </c>
      <c r="H11" s="1717" t="s">
        <v>5459</v>
      </c>
    </row>
    <row r="12" ht="14.25" customHeight="1">
      <c r="A12" s="1715">
        <v>7.0</v>
      </c>
      <c r="B12" s="1716" t="s">
        <v>1219</v>
      </c>
      <c r="C12" s="1715" t="s">
        <v>2166</v>
      </c>
      <c r="D12" s="1715" t="s">
        <v>5460</v>
      </c>
      <c r="E12" s="1715" t="s">
        <v>5461</v>
      </c>
      <c r="F12" s="1715">
        <v>7.0</v>
      </c>
      <c r="G12" s="1715" t="s">
        <v>5447</v>
      </c>
      <c r="H12" s="1717" t="s">
        <v>5462</v>
      </c>
    </row>
    <row r="13" ht="14.25" customHeight="1">
      <c r="A13" s="1718">
        <v>8.0</v>
      </c>
      <c r="B13" s="1719" t="s">
        <v>5463</v>
      </c>
      <c r="C13" s="1718" t="s">
        <v>5464</v>
      </c>
      <c r="D13" s="1718" t="s">
        <v>5465</v>
      </c>
      <c r="E13" s="1718" t="s">
        <v>5446</v>
      </c>
      <c r="F13" s="1718">
        <v>30.0</v>
      </c>
      <c r="G13" s="1718" t="s">
        <v>5466</v>
      </c>
      <c r="H13" s="1720" t="s">
        <v>5467</v>
      </c>
    </row>
    <row r="14" ht="14.25" customHeight="1">
      <c r="A14" s="1715">
        <v>9.0</v>
      </c>
      <c r="B14" s="1716" t="s">
        <v>2178</v>
      </c>
      <c r="C14" s="1715" t="s">
        <v>2179</v>
      </c>
      <c r="D14" s="1715" t="s">
        <v>5468</v>
      </c>
      <c r="E14" s="1715" t="s">
        <v>5446</v>
      </c>
      <c r="F14" s="1715">
        <v>28.0</v>
      </c>
      <c r="G14" s="1715" t="s">
        <v>5456</v>
      </c>
      <c r="H14" s="1717" t="s">
        <v>5469</v>
      </c>
    </row>
    <row r="15" ht="14.25" customHeight="1">
      <c r="A15" s="22">
        <v>10.0</v>
      </c>
      <c r="B15" s="1721" t="s">
        <v>5470</v>
      </c>
      <c r="C15" s="22" t="s">
        <v>5471</v>
      </c>
      <c r="D15" s="22" t="s">
        <v>5472</v>
      </c>
      <c r="E15" s="22" t="s">
        <v>5446</v>
      </c>
      <c r="F15" s="22">
        <v>18.0</v>
      </c>
      <c r="G15" s="22" t="s">
        <v>5473</v>
      </c>
      <c r="H15" s="1722" t="s">
        <v>5474</v>
      </c>
    </row>
    <row r="16" ht="14.25" customHeight="1">
      <c r="A16" s="22">
        <v>11.0</v>
      </c>
      <c r="B16" s="1721" t="s">
        <v>5475</v>
      </c>
      <c r="C16" s="22" t="s">
        <v>5476</v>
      </c>
      <c r="D16" s="22" t="s">
        <v>5472</v>
      </c>
      <c r="E16" s="22" t="s">
        <v>5446</v>
      </c>
      <c r="F16" s="22">
        <v>15.0</v>
      </c>
      <c r="G16" s="22" t="s">
        <v>5473</v>
      </c>
      <c r="H16" s="1722" t="s">
        <v>5477</v>
      </c>
    </row>
    <row r="17" ht="14.25" customHeight="1">
      <c r="A17" s="22">
        <v>12.0</v>
      </c>
      <c r="B17" s="1721" t="s">
        <v>5478</v>
      </c>
      <c r="C17" s="22" t="s">
        <v>5479</v>
      </c>
      <c r="D17" s="22" t="s">
        <v>5480</v>
      </c>
      <c r="E17" s="22" t="s">
        <v>5446</v>
      </c>
      <c r="F17" s="22">
        <v>30.0</v>
      </c>
      <c r="G17" s="22" t="s">
        <v>5473</v>
      </c>
      <c r="H17" s="1722" t="s">
        <v>5481</v>
      </c>
    </row>
    <row r="18" ht="14.25" customHeight="1">
      <c r="A18" s="22">
        <v>13.0</v>
      </c>
      <c r="B18" s="1721" t="s">
        <v>5482</v>
      </c>
      <c r="C18" s="22" t="s">
        <v>5483</v>
      </c>
      <c r="D18" s="22" t="s">
        <v>5484</v>
      </c>
      <c r="E18" s="22" t="s">
        <v>5461</v>
      </c>
      <c r="F18" s="22">
        <v>15.0</v>
      </c>
      <c r="G18" s="22" t="s">
        <v>5473</v>
      </c>
      <c r="H18" s="1722" t="s">
        <v>5485</v>
      </c>
    </row>
    <row r="19" ht="14.25" customHeight="1">
      <c r="A19" s="22">
        <v>14.0</v>
      </c>
      <c r="B19" s="1721" t="s">
        <v>5486</v>
      </c>
      <c r="C19" s="22" t="s">
        <v>5487</v>
      </c>
      <c r="D19" s="22" t="s">
        <v>5488</v>
      </c>
      <c r="E19" s="22" t="s">
        <v>5446</v>
      </c>
      <c r="F19" s="22">
        <v>25.0</v>
      </c>
      <c r="G19" s="22" t="s">
        <v>5473</v>
      </c>
      <c r="H19" s="1722" t="s">
        <v>5489</v>
      </c>
    </row>
    <row r="20" ht="14.25" customHeight="1">
      <c r="A20" s="22">
        <v>15.0</v>
      </c>
      <c r="B20" s="1721" t="s">
        <v>5490</v>
      </c>
      <c r="C20" s="22" t="s">
        <v>5491</v>
      </c>
      <c r="D20" s="22" t="s">
        <v>5492</v>
      </c>
      <c r="E20" s="22" t="s">
        <v>5446</v>
      </c>
      <c r="F20" s="22">
        <v>22.0</v>
      </c>
      <c r="G20" s="22" t="s">
        <v>5473</v>
      </c>
      <c r="H20" s="1722" t="s">
        <v>5493</v>
      </c>
    </row>
    <row r="21" ht="14.25" customHeight="1">
      <c r="A21" s="22">
        <v>16.0</v>
      </c>
      <c r="B21" s="1721" t="s">
        <v>5494</v>
      </c>
      <c r="C21" s="22" t="s">
        <v>5495</v>
      </c>
      <c r="D21" s="22" t="s">
        <v>5496</v>
      </c>
      <c r="E21" s="22" t="s">
        <v>5461</v>
      </c>
      <c r="F21" s="22">
        <v>12.0</v>
      </c>
      <c r="G21" s="22" t="s">
        <v>5497</v>
      </c>
      <c r="H21" s="1722" t="s">
        <v>5498</v>
      </c>
    </row>
    <row r="22" ht="14.25" customHeight="1">
      <c r="A22" s="22">
        <v>17.0</v>
      </c>
      <c r="B22" s="1721" t="s">
        <v>5499</v>
      </c>
      <c r="C22" s="22" t="s">
        <v>5500</v>
      </c>
      <c r="D22" s="22" t="s">
        <v>5501</v>
      </c>
      <c r="E22" s="22" t="s">
        <v>5461</v>
      </c>
      <c r="F22" s="22">
        <v>15.0</v>
      </c>
      <c r="G22" s="22" t="s">
        <v>5497</v>
      </c>
      <c r="H22" s="1722" t="s">
        <v>5502</v>
      </c>
    </row>
    <row r="23" ht="14.25" customHeight="1">
      <c r="A23" s="1715">
        <v>18.0</v>
      </c>
      <c r="B23" s="1716" t="s">
        <v>2163</v>
      </c>
      <c r="C23" s="1715" t="s">
        <v>2164</v>
      </c>
      <c r="D23" s="1715" t="s">
        <v>5503</v>
      </c>
      <c r="E23" s="1715" t="s">
        <v>5461</v>
      </c>
      <c r="F23" s="1715">
        <v>8.0</v>
      </c>
      <c r="G23" s="1715" t="s">
        <v>5447</v>
      </c>
      <c r="H23" s="1717" t="s">
        <v>5504</v>
      </c>
    </row>
    <row r="24" ht="14.25" customHeight="1">
      <c r="A24" s="1718">
        <v>19.0</v>
      </c>
      <c r="B24" s="1719" t="s">
        <v>5505</v>
      </c>
      <c r="C24" s="1718" t="s">
        <v>5506</v>
      </c>
      <c r="D24" s="1718" t="s">
        <v>5507</v>
      </c>
      <c r="E24" s="1718" t="s">
        <v>5461</v>
      </c>
      <c r="F24" s="1718">
        <v>50.0</v>
      </c>
      <c r="G24" s="1718" t="s">
        <v>5508</v>
      </c>
      <c r="H24" s="1720" t="s">
        <v>5509</v>
      </c>
    </row>
    <row r="25" ht="14.25" customHeight="1">
      <c r="A25" s="22">
        <v>20.0</v>
      </c>
      <c r="B25" s="1721" t="s">
        <v>5510</v>
      </c>
      <c r="C25" s="22" t="s">
        <v>5511</v>
      </c>
      <c r="D25" s="22" t="s">
        <v>5512</v>
      </c>
      <c r="E25" s="22" t="s">
        <v>5461</v>
      </c>
      <c r="F25" s="22">
        <v>10.0</v>
      </c>
      <c r="G25" s="22" t="s">
        <v>5497</v>
      </c>
      <c r="H25" s="1722" t="s">
        <v>5513</v>
      </c>
    </row>
    <row r="26" ht="14.25" customHeight="1"/>
    <row r="27" ht="14.25" customHeight="1">
      <c r="A27" s="1713" t="s">
        <v>5514</v>
      </c>
      <c r="B27" s="2"/>
      <c r="C27" s="2"/>
      <c r="D27" s="2"/>
      <c r="E27" s="2"/>
      <c r="F27" s="2"/>
      <c r="G27" s="2"/>
      <c r="H27" s="2"/>
    </row>
    <row r="28" ht="14.25" customHeight="1">
      <c r="A28" s="1714" t="s">
        <v>269</v>
      </c>
      <c r="B28" s="1714" t="s">
        <v>1206</v>
      </c>
      <c r="C28" s="1714" t="s">
        <v>1565</v>
      </c>
      <c r="D28" s="1714" t="s">
        <v>5441</v>
      </c>
      <c r="E28" s="1714" t="s">
        <v>5442</v>
      </c>
      <c r="F28" s="1714" t="s">
        <v>5443</v>
      </c>
      <c r="G28" s="1714" t="s">
        <v>272</v>
      </c>
      <c r="H28" s="1714" t="s">
        <v>5444</v>
      </c>
    </row>
    <row r="29" ht="14.25" customHeight="1">
      <c r="A29" s="1715">
        <v>1.0</v>
      </c>
      <c r="B29" s="1716" t="s">
        <v>1247</v>
      </c>
      <c r="C29" s="1715" t="s">
        <v>5515</v>
      </c>
      <c r="D29" s="1715" t="s">
        <v>5516</v>
      </c>
      <c r="E29" s="1715" t="s">
        <v>5517</v>
      </c>
      <c r="F29" s="1715" t="s">
        <v>593</v>
      </c>
      <c r="G29" s="1715" t="s">
        <v>5447</v>
      </c>
      <c r="H29" s="1717" t="s">
        <v>5518</v>
      </c>
    </row>
    <row r="30" ht="14.25" customHeight="1">
      <c r="A30" s="1715">
        <v>2.0</v>
      </c>
      <c r="B30" s="1716" t="s">
        <v>1456</v>
      </c>
      <c r="C30" s="1715" t="s">
        <v>5519</v>
      </c>
      <c r="D30" s="1715" t="s">
        <v>5520</v>
      </c>
      <c r="E30" s="1715" t="s">
        <v>5517</v>
      </c>
      <c r="F30" s="1715" t="s">
        <v>593</v>
      </c>
      <c r="G30" s="1715" t="s">
        <v>5447</v>
      </c>
      <c r="H30" s="1717" t="s">
        <v>5521</v>
      </c>
    </row>
    <row r="31" ht="14.25" customHeight="1">
      <c r="A31" s="1715">
        <v>3.0</v>
      </c>
      <c r="B31" s="1716" t="s">
        <v>548</v>
      </c>
      <c r="C31" s="1715" t="s">
        <v>5522</v>
      </c>
      <c r="D31" s="1715" t="s">
        <v>5523</v>
      </c>
      <c r="E31" s="1715" t="s">
        <v>5517</v>
      </c>
      <c r="F31" s="1715" t="s">
        <v>593</v>
      </c>
      <c r="G31" s="1715" t="s">
        <v>5447</v>
      </c>
      <c r="H31" s="1717" t="s">
        <v>5524</v>
      </c>
    </row>
    <row r="32" ht="14.25" customHeight="1">
      <c r="A32" s="22">
        <v>4.0</v>
      </c>
      <c r="B32" s="1721" t="s">
        <v>5525</v>
      </c>
      <c r="C32" s="22" t="s">
        <v>5526</v>
      </c>
      <c r="D32" s="22" t="s">
        <v>5527</v>
      </c>
      <c r="E32" s="22" t="s">
        <v>5517</v>
      </c>
      <c r="F32" s="22" t="s">
        <v>593</v>
      </c>
      <c r="G32" s="22" t="s">
        <v>5528</v>
      </c>
      <c r="H32" s="1722" t="s">
        <v>5529</v>
      </c>
    </row>
    <row r="33" ht="14.25" customHeight="1">
      <c r="A33" s="22">
        <v>5.0</v>
      </c>
      <c r="B33" s="1721" t="s">
        <v>5530</v>
      </c>
      <c r="C33" s="22" t="s">
        <v>5531</v>
      </c>
      <c r="D33" s="22" t="s">
        <v>5532</v>
      </c>
      <c r="E33" s="22" t="s">
        <v>5533</v>
      </c>
      <c r="F33" s="22" t="s">
        <v>593</v>
      </c>
      <c r="G33" s="22" t="s">
        <v>5473</v>
      </c>
      <c r="H33" s="1722" t="s">
        <v>5534</v>
      </c>
    </row>
    <row r="34" ht="14.25" customHeight="1">
      <c r="A34" s="1715">
        <v>6.0</v>
      </c>
      <c r="B34" s="1716" t="s">
        <v>2173</v>
      </c>
      <c r="C34" s="1715" t="s">
        <v>5535</v>
      </c>
      <c r="D34" s="1715" t="s">
        <v>5536</v>
      </c>
      <c r="E34" s="1715" t="s">
        <v>5533</v>
      </c>
      <c r="F34" s="1715" t="s">
        <v>593</v>
      </c>
      <c r="G34" s="1715" t="s">
        <v>5456</v>
      </c>
      <c r="H34" s="1717" t="s">
        <v>5537</v>
      </c>
    </row>
    <row r="35" ht="14.25" customHeight="1">
      <c r="A35" s="1715">
        <v>7.0</v>
      </c>
      <c r="B35" s="1716" t="s">
        <v>1223</v>
      </c>
      <c r="C35" s="1715" t="s">
        <v>5538</v>
      </c>
      <c r="D35" s="1715" t="s">
        <v>5539</v>
      </c>
      <c r="E35" s="1715" t="s">
        <v>5540</v>
      </c>
      <c r="F35" s="1715" t="s">
        <v>593</v>
      </c>
      <c r="G35" s="1715" t="s">
        <v>5447</v>
      </c>
      <c r="H35" s="1717" t="s">
        <v>5541</v>
      </c>
    </row>
    <row r="36" ht="14.25" customHeight="1">
      <c r="A36" s="22">
        <v>8.0</v>
      </c>
      <c r="B36" s="1721" t="s">
        <v>5542</v>
      </c>
      <c r="C36" s="22" t="s">
        <v>5543</v>
      </c>
      <c r="D36" s="22" t="s">
        <v>5544</v>
      </c>
      <c r="E36" s="22" t="s">
        <v>5517</v>
      </c>
      <c r="F36" s="22" t="s">
        <v>593</v>
      </c>
      <c r="G36" s="22" t="s">
        <v>5473</v>
      </c>
      <c r="H36" s="1722" t="s">
        <v>5545</v>
      </c>
    </row>
    <row r="37" ht="14.25" customHeight="1">
      <c r="A37" s="22">
        <v>9.0</v>
      </c>
      <c r="B37" s="1721" t="s">
        <v>5546</v>
      </c>
      <c r="C37" s="22" t="s">
        <v>5547</v>
      </c>
      <c r="D37" s="22" t="s">
        <v>5548</v>
      </c>
      <c r="E37" s="22" t="s">
        <v>5517</v>
      </c>
      <c r="F37" s="22" t="s">
        <v>593</v>
      </c>
      <c r="G37" s="22" t="s">
        <v>5473</v>
      </c>
      <c r="H37" s="1722" t="s">
        <v>5549</v>
      </c>
    </row>
    <row r="38" ht="14.25" customHeight="1">
      <c r="A38" s="1715">
        <v>10.0</v>
      </c>
      <c r="B38" s="1716" t="s">
        <v>2218</v>
      </c>
      <c r="C38" s="1715" t="s">
        <v>2590</v>
      </c>
      <c r="D38" s="1715" t="s">
        <v>5550</v>
      </c>
      <c r="E38" s="1715" t="s">
        <v>5533</v>
      </c>
      <c r="F38" s="1715" t="s">
        <v>593</v>
      </c>
      <c r="G38" s="1715" t="s">
        <v>5456</v>
      </c>
      <c r="H38" s="1717" t="s">
        <v>5551</v>
      </c>
    </row>
    <row r="39" ht="14.25" customHeight="1">
      <c r="A39" s="22">
        <v>11.0</v>
      </c>
      <c r="B39" s="1721" t="s">
        <v>5552</v>
      </c>
      <c r="C39" s="22" t="s">
        <v>5553</v>
      </c>
      <c r="D39" s="22" t="s">
        <v>5554</v>
      </c>
      <c r="E39" s="22" t="s">
        <v>5517</v>
      </c>
      <c r="F39" s="22" t="s">
        <v>593</v>
      </c>
      <c r="G39" s="22" t="s">
        <v>5473</v>
      </c>
      <c r="H39" s="1722" t="s">
        <v>5555</v>
      </c>
    </row>
    <row r="40" ht="14.25" customHeight="1">
      <c r="A40" s="22">
        <v>12.0</v>
      </c>
      <c r="B40" s="1721" t="s">
        <v>5556</v>
      </c>
      <c r="C40" s="22" t="s">
        <v>5557</v>
      </c>
      <c r="D40" s="22" t="s">
        <v>5558</v>
      </c>
      <c r="E40" s="22" t="s">
        <v>5533</v>
      </c>
      <c r="F40" s="22" t="s">
        <v>593</v>
      </c>
      <c r="G40" s="22" t="s">
        <v>5473</v>
      </c>
      <c r="H40" s="1722" t="s">
        <v>5559</v>
      </c>
    </row>
    <row r="41" ht="14.25" customHeight="1">
      <c r="A41" s="22">
        <v>13.0</v>
      </c>
      <c r="B41" s="1721" t="s">
        <v>5560</v>
      </c>
      <c r="C41" s="22" t="s">
        <v>5561</v>
      </c>
      <c r="D41" s="22" t="s">
        <v>5562</v>
      </c>
      <c r="E41" s="22" t="s">
        <v>5533</v>
      </c>
      <c r="F41" s="22" t="s">
        <v>593</v>
      </c>
      <c r="G41" s="22" t="s">
        <v>5473</v>
      </c>
      <c r="H41" s="1722" t="s">
        <v>5563</v>
      </c>
    </row>
    <row r="42" ht="14.25" customHeight="1">
      <c r="A42" s="22">
        <v>14.0</v>
      </c>
      <c r="B42" s="1721" t="s">
        <v>5564</v>
      </c>
      <c r="C42" s="22" t="s">
        <v>5565</v>
      </c>
      <c r="D42" s="22" t="s">
        <v>5566</v>
      </c>
      <c r="E42" s="22" t="s">
        <v>5517</v>
      </c>
      <c r="F42" s="22" t="s">
        <v>593</v>
      </c>
      <c r="G42" s="22" t="s">
        <v>5473</v>
      </c>
      <c r="H42" s="1722" t="s">
        <v>5567</v>
      </c>
    </row>
    <row r="43" ht="14.25" customHeight="1">
      <c r="A43" s="22">
        <v>15.0</v>
      </c>
      <c r="B43" s="1721" t="s">
        <v>5568</v>
      </c>
      <c r="C43" s="22" t="s">
        <v>5569</v>
      </c>
      <c r="D43" s="22" t="s">
        <v>5539</v>
      </c>
      <c r="E43" s="22" t="s">
        <v>5540</v>
      </c>
      <c r="F43" s="22" t="s">
        <v>593</v>
      </c>
      <c r="G43" s="22" t="s">
        <v>5570</v>
      </c>
      <c r="H43" s="1722" t="s">
        <v>5571</v>
      </c>
    </row>
    <row r="44" ht="14.25" customHeight="1">
      <c r="A44" s="22">
        <v>16.0</v>
      </c>
      <c r="B44" s="1721" t="s">
        <v>5572</v>
      </c>
      <c r="C44" s="22" t="s">
        <v>5573</v>
      </c>
      <c r="D44" s="22" t="s">
        <v>5574</v>
      </c>
      <c r="E44" s="22" t="s">
        <v>5517</v>
      </c>
      <c r="F44" s="22" t="s">
        <v>593</v>
      </c>
      <c r="G44" s="22" t="s">
        <v>5473</v>
      </c>
      <c r="H44" s="1722" t="s">
        <v>5575</v>
      </c>
    </row>
    <row r="45" ht="14.25" customHeight="1">
      <c r="A45" s="22">
        <v>17.0</v>
      </c>
      <c r="B45" s="1721" t="s">
        <v>1412</v>
      </c>
      <c r="C45" s="22" t="s">
        <v>5576</v>
      </c>
      <c r="D45" s="22" t="s">
        <v>5577</v>
      </c>
      <c r="E45" s="22" t="s">
        <v>5517</v>
      </c>
      <c r="F45" s="22" t="s">
        <v>593</v>
      </c>
      <c r="G45" s="22" t="s">
        <v>5578</v>
      </c>
      <c r="H45" s="1722" t="s">
        <v>5579</v>
      </c>
    </row>
    <row r="46" ht="14.25" customHeight="1">
      <c r="A46" s="22">
        <v>18.0</v>
      </c>
      <c r="B46" s="1721" t="s">
        <v>5580</v>
      </c>
      <c r="C46" s="22" t="s">
        <v>5581</v>
      </c>
      <c r="D46" s="22" t="s">
        <v>5582</v>
      </c>
      <c r="E46" s="22" t="s">
        <v>5517</v>
      </c>
      <c r="F46" s="22" t="s">
        <v>593</v>
      </c>
      <c r="G46" s="22" t="s">
        <v>5583</v>
      </c>
      <c r="H46" s="1722" t="s">
        <v>5584</v>
      </c>
    </row>
    <row r="47" ht="14.25" customHeight="1">
      <c r="A47" s="22">
        <v>19.0</v>
      </c>
      <c r="B47" s="1721" t="s">
        <v>5585</v>
      </c>
      <c r="C47" s="22" t="s">
        <v>5586</v>
      </c>
      <c r="D47" s="22" t="s">
        <v>5587</v>
      </c>
      <c r="E47" s="22" t="s">
        <v>5533</v>
      </c>
      <c r="F47" s="22" t="s">
        <v>593</v>
      </c>
      <c r="G47" s="22" t="s">
        <v>5588</v>
      </c>
      <c r="H47" s="1722" t="s">
        <v>5589</v>
      </c>
    </row>
    <row r="48" ht="14.25" customHeight="1">
      <c r="A48" s="22">
        <v>20.0</v>
      </c>
      <c r="B48" s="1721" t="s">
        <v>5590</v>
      </c>
      <c r="C48" s="22" t="s">
        <v>5591</v>
      </c>
      <c r="D48" s="22" t="s">
        <v>5592</v>
      </c>
      <c r="E48" s="22" t="s">
        <v>5517</v>
      </c>
      <c r="F48" s="22" t="s">
        <v>593</v>
      </c>
      <c r="G48" s="22" t="s">
        <v>5593</v>
      </c>
      <c r="H48" s="1722" t="s">
        <v>5594</v>
      </c>
    </row>
    <row r="49" ht="14.25" customHeight="1"/>
    <row r="50" ht="14.25" customHeight="1">
      <c r="A50" s="1713" t="s">
        <v>5595</v>
      </c>
      <c r="B50" s="2"/>
      <c r="C50" s="2"/>
      <c r="D50" s="2"/>
      <c r="E50" s="2"/>
      <c r="F50" s="2"/>
      <c r="G50" s="2"/>
      <c r="H50" s="2"/>
    </row>
    <row r="51" ht="14.25" customHeight="1">
      <c r="A51" s="1714" t="s">
        <v>269</v>
      </c>
      <c r="B51" s="1714" t="s">
        <v>1206</v>
      </c>
      <c r="C51" s="1714" t="s">
        <v>1565</v>
      </c>
      <c r="D51" s="1714" t="s">
        <v>5441</v>
      </c>
      <c r="E51" s="1714" t="s">
        <v>5442</v>
      </c>
      <c r="F51" s="1714" t="s">
        <v>5443</v>
      </c>
      <c r="G51" s="1714" t="s">
        <v>272</v>
      </c>
      <c r="H51" s="1714" t="s">
        <v>5444</v>
      </c>
    </row>
    <row r="52" ht="14.25" customHeight="1">
      <c r="A52" s="1715">
        <v>1.0</v>
      </c>
      <c r="B52" s="1716" t="s">
        <v>2169</v>
      </c>
      <c r="C52" s="1715" t="s">
        <v>2170</v>
      </c>
      <c r="D52" s="1715" t="s">
        <v>5455</v>
      </c>
      <c r="E52" s="1715" t="s">
        <v>5446</v>
      </c>
      <c r="F52" s="1715">
        <v>48.0</v>
      </c>
      <c r="G52" s="1715" t="s">
        <v>5456</v>
      </c>
      <c r="H52" s="1717" t="s">
        <v>5596</v>
      </c>
    </row>
    <row r="53" ht="14.25" customHeight="1">
      <c r="A53" s="1715">
        <v>2.0</v>
      </c>
      <c r="B53" s="1716" t="s">
        <v>536</v>
      </c>
      <c r="C53" s="1715" t="s">
        <v>2157</v>
      </c>
      <c r="D53" s="1715" t="s">
        <v>5445</v>
      </c>
      <c r="E53" s="1715" t="s">
        <v>5446</v>
      </c>
      <c r="F53" s="1715">
        <v>45.0</v>
      </c>
      <c r="G53" s="1715" t="s">
        <v>5447</v>
      </c>
      <c r="H53" s="1717" t="s">
        <v>5597</v>
      </c>
    </row>
    <row r="54" ht="14.25" customHeight="1">
      <c r="A54" s="1718">
        <v>3.0</v>
      </c>
      <c r="B54" s="1719" t="s">
        <v>5463</v>
      </c>
      <c r="C54" s="1718" t="s">
        <v>5464</v>
      </c>
      <c r="D54" s="1718" t="s">
        <v>5465</v>
      </c>
      <c r="E54" s="1718" t="s">
        <v>5446</v>
      </c>
      <c r="F54" s="1718">
        <v>30.0</v>
      </c>
      <c r="G54" s="1718" t="s">
        <v>5598</v>
      </c>
      <c r="H54" s="1720" t="s">
        <v>5599</v>
      </c>
    </row>
    <row r="55" ht="14.25" customHeight="1">
      <c r="A55" s="1718">
        <v>4.0</v>
      </c>
      <c r="B55" s="1719" t="s">
        <v>5505</v>
      </c>
      <c r="C55" s="1718" t="s">
        <v>5506</v>
      </c>
      <c r="D55" s="1718" t="s">
        <v>5507</v>
      </c>
      <c r="E55" s="1718" t="s">
        <v>5461</v>
      </c>
      <c r="F55" s="1718">
        <v>50.0</v>
      </c>
      <c r="G55" s="1718" t="s">
        <v>5600</v>
      </c>
      <c r="H55" s="1720" t="s">
        <v>5601</v>
      </c>
    </row>
    <row r="56" ht="14.25" customHeight="1">
      <c r="A56" s="1715">
        <v>5.0</v>
      </c>
      <c r="B56" s="1716" t="s">
        <v>1219</v>
      </c>
      <c r="C56" s="1715" t="s">
        <v>2166</v>
      </c>
      <c r="D56" s="1715" t="s">
        <v>5602</v>
      </c>
      <c r="E56" s="1715" t="s">
        <v>5461</v>
      </c>
      <c r="F56" s="1715">
        <v>7.0</v>
      </c>
      <c r="G56" s="1715" t="s">
        <v>5447</v>
      </c>
      <c r="H56" s="1717" t="s">
        <v>5603</v>
      </c>
    </row>
    <row r="57" ht="14.25" customHeight="1">
      <c r="A57" s="1715">
        <v>6.0</v>
      </c>
      <c r="B57" s="1716" t="s">
        <v>2161</v>
      </c>
      <c r="C57" s="1715" t="s">
        <v>2162</v>
      </c>
      <c r="D57" s="1715" t="s">
        <v>5451</v>
      </c>
      <c r="E57" s="1715" t="s">
        <v>5446</v>
      </c>
      <c r="F57" s="1715">
        <v>35.0</v>
      </c>
      <c r="G57" s="1715" t="s">
        <v>5447</v>
      </c>
      <c r="H57" s="1717" t="s">
        <v>5604</v>
      </c>
    </row>
    <row r="58" ht="14.25" customHeight="1">
      <c r="A58" s="1718">
        <v>7.0</v>
      </c>
      <c r="B58" s="1719" t="s">
        <v>5478</v>
      </c>
      <c r="C58" s="1718" t="s">
        <v>5605</v>
      </c>
      <c r="D58" s="1718" t="s">
        <v>5480</v>
      </c>
      <c r="E58" s="1718" t="s">
        <v>5446</v>
      </c>
      <c r="F58" s="1718">
        <v>30.0</v>
      </c>
      <c r="G58" s="1718" t="s">
        <v>5600</v>
      </c>
      <c r="H58" s="1720" t="s">
        <v>5606</v>
      </c>
    </row>
    <row r="59" ht="14.25" customHeight="1">
      <c r="A59" s="1718">
        <v>8.0</v>
      </c>
      <c r="B59" s="1719" t="s">
        <v>5607</v>
      </c>
      <c r="C59" s="1718" t="s">
        <v>5608</v>
      </c>
      <c r="D59" s="1718" t="s">
        <v>5609</v>
      </c>
      <c r="E59" s="1718" t="s">
        <v>5446</v>
      </c>
      <c r="F59" s="1718">
        <v>40.0</v>
      </c>
      <c r="G59" s="1718" t="s">
        <v>5610</v>
      </c>
      <c r="H59" s="1720" t="s">
        <v>5611</v>
      </c>
    </row>
    <row r="60" ht="14.25" customHeight="1">
      <c r="A60" s="1718">
        <v>9.0</v>
      </c>
      <c r="B60" s="1719" t="s">
        <v>5490</v>
      </c>
      <c r="C60" s="1718" t="s">
        <v>5491</v>
      </c>
      <c r="D60" s="1718" t="s">
        <v>5492</v>
      </c>
      <c r="E60" s="1718" t="s">
        <v>5446</v>
      </c>
      <c r="F60" s="1718">
        <v>22.0</v>
      </c>
      <c r="G60" s="1718" t="s">
        <v>5600</v>
      </c>
      <c r="H60" s="1720" t="s">
        <v>5612</v>
      </c>
    </row>
    <row r="61" ht="14.25" customHeight="1">
      <c r="A61" s="22">
        <v>10.0</v>
      </c>
      <c r="B61" s="1721" t="s">
        <v>5613</v>
      </c>
      <c r="C61" s="22" t="s">
        <v>5614</v>
      </c>
      <c r="D61" s="22" t="s">
        <v>5615</v>
      </c>
      <c r="E61" s="22" t="s">
        <v>5446</v>
      </c>
      <c r="F61" s="22">
        <v>20.0</v>
      </c>
      <c r="G61" s="22" t="s">
        <v>5473</v>
      </c>
      <c r="H61" s="1722" t="s">
        <v>5616</v>
      </c>
    </row>
    <row r="62" ht="14.25" customHeight="1">
      <c r="A62" s="1715">
        <v>11.0</v>
      </c>
      <c r="B62" s="1716" t="s">
        <v>2158</v>
      </c>
      <c r="C62" s="1715" t="s">
        <v>2159</v>
      </c>
      <c r="D62" s="1715" t="s">
        <v>5453</v>
      </c>
      <c r="E62" s="1715" t="s">
        <v>5446</v>
      </c>
      <c r="F62" s="1715">
        <v>35.0</v>
      </c>
      <c r="G62" s="1715" t="s">
        <v>5447</v>
      </c>
      <c r="H62" s="1717" t="s">
        <v>5617</v>
      </c>
    </row>
    <row r="63" ht="14.25" customHeight="1">
      <c r="A63" s="1715">
        <v>12.0</v>
      </c>
      <c r="B63" s="1716" t="s">
        <v>2167</v>
      </c>
      <c r="C63" s="1715" t="s">
        <v>2168</v>
      </c>
      <c r="D63" s="1715" t="s">
        <v>5618</v>
      </c>
      <c r="E63" s="1715" t="s">
        <v>5446</v>
      </c>
      <c r="F63" s="1715">
        <v>50.0</v>
      </c>
      <c r="G63" s="1715" t="s">
        <v>5456</v>
      </c>
      <c r="H63" s="1717" t="s">
        <v>5619</v>
      </c>
    </row>
    <row r="64" ht="14.25" customHeight="1">
      <c r="A64" s="22">
        <v>13.0</v>
      </c>
      <c r="B64" s="1721" t="s">
        <v>5620</v>
      </c>
      <c r="C64" s="22" t="s">
        <v>5621</v>
      </c>
      <c r="D64" s="22" t="s">
        <v>5622</v>
      </c>
      <c r="E64" s="22" t="s">
        <v>5461</v>
      </c>
      <c r="F64" s="22">
        <v>20.0</v>
      </c>
      <c r="G64" s="22" t="s">
        <v>5473</v>
      </c>
      <c r="H64" s="1722" t="s">
        <v>5623</v>
      </c>
    </row>
    <row r="65" ht="14.25" customHeight="1">
      <c r="A65" s="1718">
        <v>14.0</v>
      </c>
      <c r="B65" s="1719" t="s">
        <v>5624</v>
      </c>
      <c r="C65" s="1718" t="s">
        <v>5625</v>
      </c>
      <c r="D65" s="1718" t="s">
        <v>5626</v>
      </c>
      <c r="E65" s="1718" t="s">
        <v>5446</v>
      </c>
      <c r="F65" s="1718">
        <v>25.0</v>
      </c>
      <c r="G65" s="1718" t="s">
        <v>5600</v>
      </c>
      <c r="H65" s="1720" t="s">
        <v>5627</v>
      </c>
    </row>
    <row r="66" ht="14.25" customHeight="1">
      <c r="A66" s="22">
        <v>15.0</v>
      </c>
      <c r="B66" s="1721" t="s">
        <v>5628</v>
      </c>
      <c r="C66" s="22" t="s">
        <v>5629</v>
      </c>
      <c r="D66" s="22" t="s">
        <v>5630</v>
      </c>
      <c r="E66" s="22" t="s">
        <v>5446</v>
      </c>
      <c r="F66" s="22">
        <v>20.0</v>
      </c>
      <c r="G66" s="22" t="s">
        <v>5473</v>
      </c>
      <c r="H66" s="1722" t="s">
        <v>5631</v>
      </c>
    </row>
    <row r="67" ht="14.25" customHeight="1">
      <c r="A67" s="1718">
        <v>16.0</v>
      </c>
      <c r="B67" s="1719" t="s">
        <v>5486</v>
      </c>
      <c r="C67" s="1718" t="s">
        <v>5487</v>
      </c>
      <c r="D67" s="1718" t="s">
        <v>5488</v>
      </c>
      <c r="E67" s="1718" t="s">
        <v>5446</v>
      </c>
      <c r="F67" s="1718">
        <v>25.0</v>
      </c>
      <c r="G67" s="1718" t="s">
        <v>5600</v>
      </c>
      <c r="H67" s="1720" t="s">
        <v>5632</v>
      </c>
    </row>
    <row r="68" ht="14.25" customHeight="1">
      <c r="A68" s="1715">
        <v>17.0</v>
      </c>
      <c r="B68" s="1716" t="s">
        <v>2153</v>
      </c>
      <c r="C68" s="1715" t="s">
        <v>2154</v>
      </c>
      <c r="D68" s="1715" t="s">
        <v>5449</v>
      </c>
      <c r="E68" s="1715" t="s">
        <v>5446</v>
      </c>
      <c r="F68" s="1715">
        <v>25.0</v>
      </c>
      <c r="G68" s="1715" t="s">
        <v>5447</v>
      </c>
      <c r="H68" s="1717" t="s">
        <v>5633</v>
      </c>
    </row>
    <row r="69" ht="14.25" customHeight="1">
      <c r="A69" s="22">
        <v>18.0</v>
      </c>
      <c r="B69" s="1721" t="s">
        <v>5634</v>
      </c>
      <c r="C69" s="22" t="s">
        <v>5635</v>
      </c>
      <c r="D69" s="22" t="s">
        <v>5636</v>
      </c>
      <c r="E69" s="22" t="s">
        <v>5461</v>
      </c>
      <c r="F69" s="22">
        <v>20.0</v>
      </c>
      <c r="G69" s="22" t="s">
        <v>5473</v>
      </c>
      <c r="H69" s="1722" t="s">
        <v>5637</v>
      </c>
    </row>
    <row r="70" ht="14.25" customHeight="1">
      <c r="A70" s="22">
        <v>19.0</v>
      </c>
      <c r="B70" s="1721" t="s">
        <v>5638</v>
      </c>
      <c r="C70" s="22" t="s">
        <v>5639</v>
      </c>
      <c r="D70" s="22" t="s">
        <v>5496</v>
      </c>
      <c r="E70" s="22" t="s">
        <v>5461</v>
      </c>
      <c r="F70" s="22">
        <v>15.0</v>
      </c>
      <c r="G70" s="22" t="s">
        <v>5473</v>
      </c>
      <c r="H70" s="1722" t="s">
        <v>5640</v>
      </c>
    </row>
    <row r="71" ht="14.25" customHeight="1">
      <c r="A71" s="22">
        <v>20.0</v>
      </c>
      <c r="B71" s="1721" t="s">
        <v>5641</v>
      </c>
      <c r="C71" s="22" t="s">
        <v>5642</v>
      </c>
      <c r="D71" s="22" t="s">
        <v>5643</v>
      </c>
      <c r="E71" s="22" t="s">
        <v>5461</v>
      </c>
      <c r="F71" s="22">
        <v>35.0</v>
      </c>
      <c r="G71" s="22" t="s">
        <v>5644</v>
      </c>
      <c r="H71" s="1722" t="s">
        <v>5645</v>
      </c>
    </row>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4:H4"/>
    <mergeCell ref="A27:H27"/>
    <mergeCell ref="A50:H50"/>
  </mergeCells>
  <printOptions/>
  <pageMargins bottom="1.0" footer="0.0" header="0.0" left="0.75" right="0.75" top="1.0"/>
  <pageSetup orientation="landscape"/>
  <drawing r:id="rId1"/>
</worksheet>
</file>