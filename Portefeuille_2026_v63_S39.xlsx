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🧠 CLAUDE CONTEXT" sheetId="1" state="visible" r:id="rId1"/>
    <sheet xmlns:r="http://schemas.openxmlformats.org/officeDocument/2006/relationships" name="🚀 DÉMARRAGE" sheetId="2" state="visible" r:id="rId2"/>
    <sheet xmlns:r="http://schemas.openxmlformats.org/officeDocument/2006/relationships" name="🧠 PROFIL" sheetId="3" state="visible" r:id="rId3"/>
    <sheet xmlns:r="http://schemas.openxmlformats.org/officeDocument/2006/relationships" name="📓 JOURNAL DÉCISIONS" sheetId="4" state="visible" r:id="rId4"/>
    <sheet xmlns:r="http://schemas.openxmlformats.org/officeDocument/2006/relationships" name="🧠 RAISONNEMENTS" sheetId="5" state="visible" r:id="rId5"/>
    <sheet xmlns:r="http://schemas.openxmlformats.org/officeDocument/2006/relationships" name="📋 MON PORTEFEUILLE" sheetId="6" state="visible" r:id="rId6"/>
    <sheet xmlns:r="http://schemas.openxmlformats.org/officeDocument/2006/relationships" name="🏠 DASHBOARD" sheetId="7" state="visible" r:id="rId7"/>
    <sheet xmlns:r="http://schemas.openxmlformats.org/officeDocument/2006/relationships" name="💵 BUDGET RÉEL" sheetId="8" state="visible" r:id="rId8"/>
    <sheet xmlns:r="http://schemas.openxmlformats.org/officeDocument/2006/relationships" name="📊 ANALYSE PRO" sheetId="9" state="visible" r:id="rId9"/>
    <sheet xmlns:r="http://schemas.openxmlformats.org/officeDocument/2006/relationships" name="📈 PORTEFEUILLE" sheetId="10" state="visible" r:id="rId10"/>
    <sheet xmlns:r="http://schemas.openxmlformats.org/officeDocument/2006/relationships" name="🔍 ANALYSE TRIABLE" sheetId="11" state="visible" r:id="rId11"/>
    <sheet xmlns:r="http://schemas.openxmlformats.org/officeDocument/2006/relationships" name="📊 ANALYSE TITRES" sheetId="12" state="visible" r:id="rId12"/>
    <sheet xmlns:r="http://schemas.openxmlformats.org/officeDocument/2006/relationships" name="🎯 DÉCISIONS" sheetId="13" state="visible" r:id="rId13"/>
    <sheet xmlns:r="http://schemas.openxmlformats.org/officeDocument/2006/relationships" name="🚨 ALERTES" sheetId="14" state="visible" r:id="rId14"/>
    <sheet xmlns:r="http://schemas.openxmlformats.org/officeDocument/2006/relationships" name="❄️ FISCAL" sheetId="15" state="visible" r:id="rId15"/>
    <sheet xmlns:r="http://schemas.openxmlformats.org/officeDocument/2006/relationships" name="💰 REVENUS" sheetId="16" state="visible" r:id="rId16"/>
    <sheet xmlns:r="http://schemas.openxmlformats.org/officeDocument/2006/relationships" name="🏠 MAISON 2030+" sheetId="17" state="visible" r:id="rId17"/>
    <sheet xmlns:r="http://schemas.openxmlformats.org/officeDocument/2006/relationships" name="📈 PROJECTION FI" sheetId="18" state="visible" r:id="rId18"/>
    <sheet xmlns:r="http://schemas.openxmlformats.org/officeDocument/2006/relationships" name="📓 HISTORIQUE" sheetId="19" state="visible" r:id="rId19"/>
    <sheet xmlns:r="http://schemas.openxmlformats.org/officeDocument/2006/relationships" name="🔒 VALIDATION" sheetId="20" state="visible" r:id="rId20"/>
    <sheet xmlns:r="http://schemas.openxmlformats.org/officeDocument/2006/relationships" name="CONFIG" sheetId="21" state="visible" r:id="rId21"/>
    <sheet xmlns:r="http://schemas.openxmlformats.org/officeDocument/2006/relationships" name="⚡ SCRIPTS GSHEETS" sheetId="22" state="visible" r:id="rId22"/>
    <sheet xmlns:r="http://schemas.openxmlformats.org/officeDocument/2006/relationships" name="📚 SOURCES &amp; FIABILITÉ" sheetId="23" state="visible" r:id="rId23"/>
    <sheet xmlns:r="http://schemas.openxmlformats.org/officeDocument/2006/relationships" name="💪 CORPS &amp; PERFORMANCE" sheetId="24" state="visible" r:id="rId24"/>
    <sheet xmlns:r="http://schemas.openxmlformats.org/officeDocument/2006/relationships" name="📚 CULTURE &amp; IDÉES" sheetId="25" state="visible" r:id="rId25"/>
    <sheet xmlns:r="http://schemas.openxmlformats.org/officeDocument/2006/relationships" name="🎯 PROJET DE VIE" sheetId="26" state="visible" r:id="rId26"/>
    <sheet xmlns:r="http://schemas.openxmlformats.org/officeDocument/2006/relationships" name="🤖 APPRENTISSAGE CLAUDE" sheetId="27" state="visible" r:id="rId27"/>
    <sheet xmlns:r="http://schemas.openxmlformats.org/officeDocument/2006/relationships" name="📊 WATCHLIST" sheetId="28" state="visible" r:id="rId28"/>
  </sheets>
  <definedNames>
    <definedName name="_xlnm._FilterDatabase" localSheetId="5" hidden="1">'📋 MON PORTEFEUILLE'!$A$4:$R$43</definedName>
    <definedName name="_xlnm._FilterDatabase" localSheetId="10" hidden="1">'🔍 ANALYSE TRIABLE'!$A$7:$Y$50</definedName>
    <definedName name="_xlnm._FilterDatabase" localSheetId="22" hidden="1">'📚 SOURCES &amp; FIABILITÉ'!$A$5:$P$205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1">
    <numFmt numFmtId="164" formatCode="\$#,##0"/>
    <numFmt numFmtId="165" formatCode="0.0%"/>
    <numFmt numFmtId="166" formatCode="&quot;+$&quot;#,##0;&quot;-$&quot;#,##0"/>
    <numFmt numFmtId="167" formatCode="\$#,##0.00"/>
    <numFmt numFmtId="168" formatCode="\+0.0%;[RED]\-0.0%"/>
    <numFmt numFmtId="169" formatCode="#,##0.0000"/>
    <numFmt numFmtId="170" formatCode="\+#,##0;\-#,##0"/>
    <numFmt numFmtId="171" formatCode="\+0.0%;\-0.0%"/>
    <numFmt numFmtId="172" formatCode="#,##0&quot; CAD&quot;"/>
    <numFmt numFmtId="173" formatCode="\+0.00%;\-0.00%"/>
    <numFmt numFmtId="174" formatCode="0.00\×"/>
    <numFmt numFmtId="175" formatCode="0.0"/>
    <numFmt numFmtId="176" formatCode="0.0000"/>
    <numFmt numFmtId="177" formatCode="\$#,##0.0000"/>
    <numFmt numFmtId="178" formatCode="&quot;+$&quot;#,##0;&quot;-$&quot;#,##0;\-"/>
    <numFmt numFmtId="179" formatCode="\+0.0%;\-0.0%;&quot;0%&quot;"/>
    <numFmt numFmtId="180" formatCode="#,##0.####"/>
    <numFmt numFmtId="181" formatCode="#,##0.##"/>
    <numFmt numFmtId="182" formatCode="&quot;+$&quot;#,##0;&quot;-$&quot;#,##0;\—"/>
    <numFmt numFmtId="183" formatCode="\+0.0%;\-0.0%;\—"/>
    <numFmt numFmtId="184" formatCode="#,##0.0%"/>
  </numFmts>
  <fonts count="3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9CA3A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6B7280"/>
      <sz val="9"/>
    </font>
    <font>
      <name val="Arial"/>
      <charset val="1"/>
      <family val="0"/>
      <color rgb="FF111827"/>
      <sz val="10"/>
    </font>
    <font>
      <name val="Arial"/>
      <charset val="1"/>
      <family val="0"/>
      <b val="1"/>
      <color rgb="FF00B374"/>
      <sz val="11"/>
    </font>
    <font>
      <name val="Arial"/>
      <charset val="1"/>
      <family val="0"/>
      <color rgb="FF00B374"/>
      <sz val="10"/>
    </font>
    <font>
      <name val="Arial"/>
      <charset val="1"/>
      <family val="0"/>
      <color rgb="FFE8453C"/>
      <sz val="10"/>
    </font>
    <font>
      <name val="Arial"/>
      <charset val="1"/>
      <family val="0"/>
      <color rgb="FFF59E0B"/>
      <sz val="10"/>
    </font>
    <font>
      <name val="Arial"/>
      <charset val="1"/>
      <family val="0"/>
      <color rgb="FF1D6AE8"/>
      <sz val="10"/>
    </font>
    <font>
      <name val="Cambria"/>
      <charset val="1"/>
      <family val="0"/>
      <color rgb="FF000000"/>
      <sz val="10"/>
    </font>
    <font>
      <name val="Cambria"/>
      <charset val="1"/>
      <family val="0"/>
      <b val="1"/>
      <color rgb="FFFFFFFF"/>
      <sz val="12"/>
    </font>
    <font>
      <name val="Arial"/>
      <charset val="1"/>
      <family val="0"/>
      <color rgb="FFAAAACC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D47A1"/>
      <sz val="8"/>
    </font>
    <font>
      <name val="Arial"/>
      <charset val="1"/>
      <family val="0"/>
      <b val="1"/>
      <color rgb="FF0D47A1"/>
      <sz val="9"/>
    </font>
    <font>
      <name val="Arial"/>
      <charset val="1"/>
      <family val="0"/>
      <b val="1"/>
      <color rgb="FFB71C1C"/>
      <sz val="9"/>
    </font>
    <font>
      <name val="Arial"/>
      <charset val="1"/>
      <family val="0"/>
      <b val="1"/>
      <color rgb="FF555555"/>
      <sz val="9"/>
    </font>
    <font>
      <name val="Arial"/>
      <charset val="1"/>
      <family val="0"/>
      <b val="1"/>
      <color rgb="FF2E7D32"/>
      <sz val="8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555555"/>
      <sz val="9"/>
    </font>
    <font>
      <name val="Arial"/>
      <charset val="1"/>
      <family val="0"/>
      <b val="1"/>
      <color rgb="FFC62828"/>
      <sz val="9"/>
    </font>
    <font>
      <name val="Arial"/>
      <charset val="1"/>
      <family val="0"/>
      <b val="1"/>
      <color rgb="FF7A5800"/>
      <sz val="9"/>
    </font>
    <font>
      <name val="Arial"/>
      <charset val="1"/>
      <family val="0"/>
      <b val="1"/>
      <color rgb="FF111111"/>
      <sz val="9"/>
    </font>
    <font>
      <name val="Arial"/>
      <charset val="1"/>
      <family val="0"/>
      <i val="1"/>
      <color rgb="FF555555"/>
      <sz val="8"/>
    </font>
    <font>
      <name val="Arial"/>
      <charset val="1"/>
      <family val="0"/>
      <b val="1"/>
      <color rgb="FF1A1F3A"/>
      <sz val="9"/>
    </font>
    <font>
      <name val="Arial"/>
      <charset val="1"/>
      <family val="0"/>
      <b val="1"/>
      <color rgb="FF111111"/>
      <sz val="8"/>
    </font>
    <font>
      <name val="Arial"/>
      <charset val="1"/>
      <family val="0"/>
      <color rgb="FF111111"/>
      <sz val="8"/>
    </font>
    <font>
      <name val="Cambria"/>
      <charset val="1"/>
      <family val="0"/>
      <b val="1"/>
      <color theme="1"/>
      <sz val="11"/>
    </font>
    <font>
      <name val="Calibri"/>
      <charset val="1"/>
      <family val="0"/>
      <b val="1"/>
      <color rgb="FF1E3A5F"/>
      <sz val="10"/>
    </font>
    <font>
      <name val="Calibri"/>
      <charset val="1"/>
      <family val="0"/>
      <color rgb="FF0D1B2A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A4731"/>
      <sz val="10"/>
    </font>
    <font>
      <name val="Calibri"/>
      <charset val="1"/>
      <family val="0"/>
      <b val="1"/>
      <color rgb="FF0D1B2A"/>
      <sz val="10"/>
    </font>
    <font>
      <name val="Calibri"/>
      <charset val="1"/>
      <family val="0"/>
      <color rgb="FF374151"/>
      <sz val="9"/>
    </font>
    <font>
      <name val="Arial"/>
      <charset val="1"/>
      <family val="0"/>
      <color rgb="FF555555"/>
      <sz val="8"/>
    </font>
    <font>
      <name val="Arial"/>
      <charset val="1"/>
      <family val="0"/>
      <b val="1"/>
      <color rgb="FFAAAAAA"/>
      <sz val="9"/>
    </font>
    <font>
      <name val="Arial"/>
      <charset val="1"/>
      <family val="0"/>
      <i val="1"/>
      <color rgb="FFAAAAAA"/>
      <sz val="8"/>
    </font>
    <font>
      <name val="Arial"/>
      <charset val="1"/>
      <family val="0"/>
      <i val="1"/>
      <color rgb="FF777777"/>
      <sz val="8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B5E20"/>
      <sz val="11"/>
    </font>
    <font>
      <name val="Arial"/>
      <charset val="1"/>
      <family val="0"/>
      <i val="1"/>
      <color rgb="FFB71C1C"/>
      <sz val="8"/>
    </font>
    <font>
      <name val="Arial"/>
      <charset val="1"/>
      <family val="0"/>
      <color rgb="FF1A1F3A"/>
      <sz val="8"/>
    </font>
    <font>
      <name val="Arial"/>
      <charset val="1"/>
      <family val="0"/>
      <color rgb="FF333333"/>
      <sz val="8"/>
    </font>
    <font>
      <name val="Arial"/>
      <charset val="1"/>
      <family val="0"/>
      <b val="1"/>
      <color rgb="FF1B5E20"/>
      <sz val="8"/>
    </font>
    <font>
      <name val="Cambria"/>
      <charset val="1"/>
      <family val="0"/>
      <i val="1"/>
      <color rgb="FF1A1A2E"/>
      <sz val="11"/>
    </font>
    <font>
      <name val="Calibri"/>
      <charset val="1"/>
      <family val="0"/>
      <b val="1"/>
      <color rgb="FFFFFFFF"/>
      <sz val="13"/>
    </font>
    <font>
      <name val="Calibri"/>
      <charset val="1"/>
      <family val="0"/>
      <color rgb="FF000000"/>
      <sz val="12"/>
    </font>
    <font>
      <name val="Calibri"/>
      <charset val="1"/>
      <family val="0"/>
      <b val="1"/>
      <color rgb="FF90EE90"/>
      <sz val="11"/>
    </font>
    <font>
      <name val="Calibri"/>
      <charset val="1"/>
      <family val="0"/>
      <i val="1"/>
      <color rgb="FFAAAAAA"/>
      <sz val="11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6666"/>
      <sz val="11"/>
    </font>
    <font>
      <name val="Calibri"/>
      <charset val="1"/>
      <family val="0"/>
      <i val="1"/>
      <color rgb="FFBBBBBB"/>
      <sz val="11"/>
    </font>
    <font>
      <name val="Calibri"/>
      <charset val="1"/>
      <family val="0"/>
      <b val="1"/>
      <color rgb="FFFFFF88"/>
      <sz val="11"/>
    </font>
    <font>
      <name val="Calibri"/>
      <charset val="1"/>
      <family val="0"/>
      <b val="1"/>
      <color rgb="FF87CEEB"/>
      <sz val="11"/>
    </font>
    <font>
      <name val="Calibri"/>
      <charset val="1"/>
      <family val="0"/>
      <i val="1"/>
      <color rgb="FFCCCCCC"/>
      <sz val="11"/>
    </font>
    <font>
      <name val="Calibri"/>
      <charset val="1"/>
      <family val="0"/>
      <i val="1"/>
      <color rgb="FFFFFF88"/>
      <sz val="11"/>
    </font>
    <font>
      <name val="Arial"/>
      <charset val="1"/>
      <family val="0"/>
      <color rgb="FFAAAAAA"/>
      <sz val="9"/>
    </font>
    <font>
      <name val="Arial"/>
      <charset val="1"/>
      <family val="0"/>
      <color rgb="FFCCCCCC"/>
      <sz val="8"/>
    </font>
    <font>
      <name val="Arial"/>
      <charset val="1"/>
      <family val="0"/>
      <b val="1"/>
      <color rgb="FFE65100"/>
      <sz val="8"/>
    </font>
    <font>
      <name val="Arial"/>
      <charset val="1"/>
      <family val="0"/>
      <b val="1"/>
      <color rgb="FFC62828"/>
      <sz val="8"/>
    </font>
    <font>
      <name val="Arial"/>
      <charset val="1"/>
      <family val="0"/>
      <b val="1"/>
      <color rgb="FF1A1F3A"/>
      <sz val="8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i val="1"/>
      <color rgb="FFFFFFFF"/>
      <sz val="9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theme="1"/>
      <sz val="9"/>
    </font>
    <font>
      <name val="Cambria"/>
      <charset val="1"/>
      <family val="0"/>
      <color theme="1"/>
      <sz val="9"/>
    </font>
    <font>
      <name val="Cambria"/>
      <charset val="1"/>
      <family val="0"/>
      <color rgb="FF595959"/>
      <sz val="9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color rgb="FF000000"/>
      <sz val="9"/>
    </font>
    <font>
      <name val="Cambria"/>
      <charset val="1"/>
      <family val="0"/>
      <b val="1"/>
      <color rgb="FFFFD700"/>
      <sz val="12"/>
    </font>
    <font>
      <name val="Cambria"/>
      <charset val="1"/>
      <family val="0"/>
      <b val="1"/>
      <color rgb="FFFFD700"/>
      <sz val="10"/>
    </font>
    <font>
      <name val="Cambria"/>
      <charset val="1"/>
      <family val="0"/>
      <b val="1"/>
      <color rgb="FF00FF87"/>
      <sz val="11"/>
    </font>
    <font>
      <name val="Cambria"/>
      <charset val="1"/>
      <family val="0"/>
      <b val="1"/>
      <color rgb="FFFFB800"/>
      <sz val="9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b val="1"/>
      <color rgb="FF006600"/>
      <sz val="11"/>
    </font>
    <font>
      <name val="Cambria"/>
      <charset val="1"/>
      <family val="0"/>
      <i val="1"/>
      <color rgb="FF888888"/>
      <sz val="11"/>
    </font>
    <font>
      <name val="Cambria"/>
      <charset val="1"/>
      <family val="0"/>
      <color rgb="FF444444"/>
      <sz val="11"/>
    </font>
    <font>
      <name val="Cambria"/>
      <charset val="1"/>
      <family val="0"/>
      <b val="1"/>
      <color rgb="FF0000FF"/>
      <sz val="11"/>
    </font>
    <font>
      <name val="Cambria"/>
      <charset val="1"/>
      <family val="0"/>
      <b val="1"/>
      <color rgb="FF7D3C98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color rgb="FF888888"/>
      <sz val="11"/>
    </font>
    <font>
      <name val="Cambria"/>
      <charset val="1"/>
      <family val="0"/>
      <b val="1"/>
      <color rgb="FFCC0000"/>
      <sz val="11"/>
    </font>
    <font>
      <name val="Cambria"/>
      <charset val="1"/>
      <family val="0"/>
      <color rgb="FFFFFFFF"/>
      <sz val="11"/>
    </font>
    <font>
      <name val="Cambria"/>
      <charset val="1"/>
      <family val="0"/>
      <color rgb="FF006600"/>
      <sz val="11"/>
    </font>
    <font>
      <name val="Cambria"/>
      <charset val="1"/>
      <family val="0"/>
      <color rgb="FF333333"/>
      <sz val="11"/>
    </font>
    <font>
      <name val="Cambria"/>
      <charset val="1"/>
      <family val="0"/>
      <i val="1"/>
      <color rgb="FFCC0000"/>
      <sz val="11"/>
    </font>
    <font>
      <name val="Cambria"/>
      <charset val="1"/>
      <family val="0"/>
      <b val="1"/>
      <color rgb="FF1A3A2E"/>
      <sz val="11"/>
    </font>
    <font>
      <name val="Cambria"/>
      <charset val="1"/>
      <family val="0"/>
      <i val="1"/>
      <color rgb="FF555555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1B5E20"/>
      <sz val="9"/>
    </font>
    <font>
      <name val="Arial"/>
      <charset val="1"/>
      <family val="0"/>
      <color rgb="FFC62828"/>
      <sz val="9"/>
    </font>
    <font>
      <name val="Arial"/>
      <charset val="1"/>
      <family val="0"/>
      <b val="1"/>
      <i val="1"/>
      <color rgb="FF888888"/>
      <sz val="9"/>
    </font>
    <font>
      <name val="Arial"/>
      <charset val="1"/>
      <family val="0"/>
      <color rgb="FF111111"/>
      <sz val="9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999999"/>
      <sz val="8"/>
    </font>
    <font>
      <name val="Cambria"/>
      <charset val="1"/>
      <family val="0"/>
      <color rgb="FFCC6600"/>
      <sz val="11"/>
    </font>
    <font>
      <name val="Cambria"/>
      <charset val="1"/>
      <family val="0"/>
      <color rgb="FFCCCCCC"/>
      <sz val="11"/>
    </font>
    <font>
      <name val="Arial"/>
      <charset val="1"/>
      <family val="0"/>
      <i val="1"/>
      <color rgb="FF000000"/>
      <sz val="8"/>
    </font>
    <font>
      <name val="Calibri"/>
      <charset val="1"/>
      <family val="0"/>
      <color rgb="FF6B7280"/>
      <sz val="9"/>
    </font>
    <font>
      <name val="Calibri"/>
      <charset val="1"/>
      <family val="0"/>
      <b val="1"/>
      <color rgb="FF1A1A1A"/>
      <sz val="10"/>
    </font>
    <font>
      <name val="Calibri"/>
      <charset val="1"/>
      <family val="0"/>
      <color rgb="FF1A1A1A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color rgb="FF6B7280"/>
      <sz val="10"/>
    </font>
    <font>
      <name val="Calibri"/>
      <charset val="1"/>
      <family val="0"/>
      <b val="1"/>
      <color rgb="FF92400E"/>
      <sz val="10"/>
    </font>
    <font>
      <name val="Calibri"/>
      <charset val="1"/>
      <family val="0"/>
      <i val="1"/>
      <color rgb="FF1E40AF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i val="1"/>
      <color rgb="FF6B7280"/>
      <sz val="10"/>
    </font>
    <font>
      <name val="Calibri"/>
      <charset val="1"/>
      <family val="0"/>
      <b val="1"/>
      <color rgb="FF7B1A1A"/>
      <sz val="10"/>
    </font>
    <font>
      <name val="Calibri"/>
      <charset val="1"/>
      <family val="0"/>
      <i val="1"/>
      <color rgb="FF92400E"/>
      <sz val="10"/>
    </font>
    <font>
      <name val="Calibri"/>
      <charset val="1"/>
      <family val="0"/>
      <b val="1"/>
      <color rgb="FF4C1D95"/>
      <sz val="10"/>
    </font>
    <font>
      <name val="Calibri"/>
      <charset val="1"/>
      <family val="0"/>
      <color rgb="FF000000"/>
      <sz val="10"/>
    </font>
    <font>
      <name val="Arial"/>
      <charset val="1"/>
      <family val="0"/>
      <sz val="10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b val="1"/>
      <color rgb="FF375623"/>
      <sz val="9"/>
    </font>
    <font>
      <name val="Cambria"/>
      <charset val="1"/>
      <family val="0"/>
      <b val="1"/>
      <color rgb="FF7F6000"/>
      <sz val="9"/>
    </font>
    <font>
      <name val="Cambria"/>
      <charset val="1"/>
      <family val="0"/>
      <b val="1"/>
      <color rgb="FFC55A11"/>
      <sz val="9"/>
    </font>
    <font>
      <name val="Cambria"/>
      <charset val="1"/>
      <family val="0"/>
      <b val="1"/>
      <color rgb="FF595959"/>
      <sz val="9"/>
    </font>
    <font>
      <name val="Cambria"/>
      <charset val="1"/>
      <family val="0"/>
      <b val="1"/>
      <color rgb="FF375623"/>
      <sz val="10"/>
      <u val="single"/>
    </font>
    <font>
      <name val="Cambria"/>
      <charset val="1"/>
      <family val="0"/>
      <b val="1"/>
      <color rgb="FF375623"/>
      <sz val="10"/>
    </font>
    <font>
      <name val="Cambria"/>
      <charset val="1"/>
      <family val="0"/>
      <b val="1"/>
      <color rgb="FF1F4E79"/>
      <sz val="10"/>
    </font>
    <font>
      <name val="Cambria"/>
      <charset val="1"/>
      <family val="0"/>
      <color rgb="FF375623"/>
      <sz val="10"/>
    </font>
    <font>
      <name val="Cambria"/>
      <charset val="1"/>
      <family val="0"/>
      <b val="1"/>
      <color rgb="FF000000"/>
      <sz val="10"/>
    </font>
    <font>
      <name val="Cambria"/>
      <charset val="1"/>
      <family val="0"/>
      <b val="1"/>
      <color rgb="FFC55A11"/>
      <sz val="10"/>
      <u val="single"/>
    </font>
    <font>
      <name val="Cambria"/>
      <charset val="1"/>
      <family val="0"/>
      <b val="1"/>
      <color rgb="FFC55A11"/>
      <sz val="10"/>
    </font>
    <font>
      <name val="Cambria"/>
      <charset val="1"/>
      <family val="0"/>
      <color rgb="FF0070C0"/>
      <sz val="10"/>
    </font>
    <font>
      <name val="Cambria"/>
      <charset val="1"/>
      <family val="0"/>
      <b val="1"/>
      <color rgb="FFC00000"/>
      <sz val="10"/>
    </font>
    <font>
      <name val="Cambria"/>
      <charset val="1"/>
      <family val="0"/>
      <b val="1"/>
      <color rgb="FF595959"/>
      <sz val="10"/>
      <u val="single"/>
    </font>
    <font>
      <name val="Cambria"/>
      <charset val="1"/>
      <family val="0"/>
      <b val="1"/>
      <color rgb="FF595959"/>
      <sz val="10"/>
    </font>
    <font>
      <name val="Cambria"/>
      <charset val="1"/>
      <family val="0"/>
      <b val="1"/>
      <color rgb="FF7F6000"/>
      <sz val="10"/>
    </font>
    <font>
      <name val="Cambria"/>
      <charset val="1"/>
      <family val="0"/>
      <b val="1"/>
      <color rgb="FF7F6000"/>
      <sz val="10"/>
      <u val="single"/>
    </font>
    <font>
      <name val="Cambria"/>
      <charset val="1"/>
      <family val="0"/>
      <color rgb="FFFFFFFF"/>
      <sz val="10"/>
    </font>
    <font>
      <name val="Cambria"/>
      <charset val="1"/>
      <family val="0"/>
      <color rgb="FF375623"/>
      <sz val="9"/>
    </font>
    <font>
      <name val="Cambria"/>
      <charset val="1"/>
      <family val="0"/>
      <color rgb="FF7F6000"/>
      <sz val="9"/>
    </font>
    <font>
      <name val="Cambria"/>
      <charset val="1"/>
      <family val="0"/>
      <color rgb="FFC55A11"/>
      <sz val="9"/>
    </font>
    <font>
      <name val="Calibri"/>
      <charset val="1"/>
      <family val="0"/>
      <i val="1"/>
      <color rgb="FFFFFFFF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FFFFFF"/>
      <sz val="8"/>
    </font>
    <font>
      <name val="Calibri"/>
      <charset val="1"/>
      <family val="0"/>
      <b val="1"/>
      <color rgb="FF666666"/>
      <sz val="9"/>
    </font>
    <font>
      <name val="Calibri"/>
      <charset val="1"/>
      <family val="0"/>
      <color rgb="FF1A1A1A"/>
      <sz val="9"/>
    </font>
    <font>
      <name val="Calibri"/>
      <charset val="1"/>
      <family val="0"/>
      <b val="1"/>
      <color rgb="FF1A1A1A"/>
      <sz val="9"/>
    </font>
    <font>
      <name val="Calibri"/>
      <charset val="1"/>
      <family val="0"/>
      <color rgb="FF1F3864"/>
      <sz val="9"/>
    </font>
    <font>
      <name val="Calibri"/>
      <charset val="1"/>
      <family val="0"/>
      <b val="1"/>
      <color rgb="FF1E7145"/>
      <sz val="9"/>
    </font>
    <font>
      <name val="Calibri"/>
      <charset val="1"/>
      <family val="0"/>
      <color rgb="FF666666"/>
      <sz val="9"/>
    </font>
    <font>
      <name val="Calibri"/>
      <charset val="1"/>
      <family val="0"/>
      <b val="1"/>
      <color rgb="FFBF5700"/>
      <sz val="9"/>
    </font>
    <font>
      <name val="Calibri"/>
      <charset val="1"/>
      <family val="0"/>
      <color rgb="FF1E7145"/>
      <sz val="9"/>
    </font>
    <font>
      <name val="Calibri"/>
      <charset val="1"/>
      <family val="0"/>
      <b val="1"/>
      <color rgb="FFC00000"/>
      <sz val="9"/>
    </font>
    <font>
      <name val="Calibri"/>
      <charset val="1"/>
      <family val="0"/>
      <color rgb="FFC00000"/>
      <sz val="9"/>
    </font>
    <font>
      <name val="Calibri"/>
      <charset val="1"/>
      <family val="0"/>
      <i val="1"/>
      <color rgb="FF1A1A1A"/>
      <sz val="9"/>
    </font>
    <font>
      <name val="Cambria"/>
      <charset val="1"/>
      <family val="0"/>
      <b val="1"/>
      <color rgb="FFFFFFFF"/>
      <sz val="13"/>
    </font>
    <font>
      <name val="Cambria"/>
      <charset val="1"/>
      <family val="0"/>
      <i val="1"/>
      <color rgb="FF595959"/>
      <sz val="9"/>
    </font>
    <font>
      <name val="Cambria"/>
      <charset val="1"/>
      <family val="0"/>
      <color theme="1"/>
      <sz val="10"/>
    </font>
    <font>
      <name val="Cambria"/>
      <charset val="1"/>
      <family val="0"/>
      <b val="1"/>
      <color theme="1"/>
      <sz val="10"/>
    </font>
    <font>
      <name val="Cambria"/>
      <charset val="1"/>
      <family val="0"/>
      <color rgb="FF595959"/>
      <sz val="10"/>
    </font>
    <font>
      <name val="Cambria"/>
      <charset val="1"/>
      <family val="0"/>
      <b val="1"/>
      <color rgb="FF00B050"/>
      <sz val="10"/>
    </font>
    <font>
      <name val="Cambria"/>
      <charset val="1"/>
      <family val="0"/>
      <b val="1"/>
      <color rgb="FFFF8C00"/>
      <sz val="10"/>
    </font>
    <font>
      <name val="Cambria"/>
      <charset val="1"/>
      <family val="0"/>
      <b val="1"/>
      <color rgb="FFFF0000"/>
      <sz val="10"/>
    </font>
    <font>
      <name val="Cambria"/>
      <charset val="1"/>
      <family val="0"/>
      <b val="1"/>
      <color rgb="FF7030A0"/>
      <sz val="10"/>
    </font>
    <font>
      <name val="Cambria"/>
      <charset val="1"/>
      <family val="0"/>
      <b val="1"/>
      <color rgb="FF000000"/>
      <sz val="9"/>
    </font>
    <font>
      <name val="Calibri"/>
      <charset val="1"/>
      <family val="0"/>
      <color rgb="FF000000"/>
      <sz val="11"/>
    </font>
    <font>
      <name val="Arial"/>
      <charset val="1"/>
      <family val="0"/>
      <i val="1"/>
      <color rgb="FF7A8AA0"/>
      <sz val="8"/>
    </font>
    <font>
      <name val="Arial"/>
      <charset val="1"/>
      <family val="0"/>
      <b val="1"/>
      <color rgb="FF7A5800"/>
      <sz val="10"/>
    </font>
    <font>
      <name val="Arial"/>
      <charset val="1"/>
      <family val="0"/>
      <color rgb="FF0D47A1"/>
      <sz val="9"/>
    </font>
    <font>
      <name val="Arial"/>
      <charset val="1"/>
      <family val="0"/>
      <color rgb="FFE65100"/>
      <sz val="9"/>
    </font>
    <font>
      <name val="Arial"/>
      <charset val="1"/>
      <family val="0"/>
      <color rgb="FFB71C1C"/>
      <sz val="9"/>
    </font>
    <font>
      <name val="Arial"/>
      <charset val="1"/>
      <family val="0"/>
      <b val="1"/>
      <color rgb="FF1A1A2E"/>
      <sz val="9"/>
    </font>
    <font>
      <name val="Arial"/>
      <charset val="1"/>
      <family val="0"/>
      <color rgb="FF1A1A2E"/>
      <sz val="9"/>
    </font>
    <font>
      <name val="Arial"/>
      <charset val="1"/>
      <family val="0"/>
      <color rgb="FFFFFFFF"/>
      <sz val="9"/>
    </font>
    <font>
      <name val="Arial"/>
      <charset val="1"/>
      <family val="0"/>
      <b val="1"/>
      <color rgb="FF1565C0"/>
      <sz val="10"/>
    </font>
    <font>
      <name val="Arial"/>
      <charset val="1"/>
      <family val="0"/>
      <color rgb="FF1A1A2E"/>
      <sz val="8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1B5E20"/>
      <sz val="9"/>
    </font>
    <font>
      <name val="Arial"/>
      <charset val="1"/>
      <family val="0"/>
      <color rgb="FF1565C0"/>
      <sz val="9"/>
    </font>
    <font>
      <name val="Arial"/>
      <charset val="1"/>
      <family val="0"/>
      <color rgb="FF1B5E20"/>
      <sz val="8"/>
    </font>
    <font>
      <name val="Arial"/>
      <charset val="1"/>
      <family val="0"/>
      <b val="1"/>
      <color rgb="FF064E3B"/>
      <sz val="8"/>
    </font>
    <font>
      <name val="Arial"/>
      <charset val="1"/>
      <family val="0"/>
      <color rgb="FF666666"/>
      <sz val="7"/>
    </font>
    <font>
      <name val="Arial"/>
      <charset val="1"/>
      <family val="0"/>
      <b val="1"/>
      <color rgb="FF888888"/>
      <sz val="8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1E3A5F"/>
      <sz val="8"/>
    </font>
    <font>
      <name val="Arial"/>
      <charset val="1"/>
      <family val="0"/>
      <b val="1"/>
      <color rgb="FF7030A0"/>
      <sz val="10"/>
    </font>
    <font>
      <name val="Arial"/>
      <charset val="1"/>
      <family val="0"/>
      <b val="1"/>
      <color rgb="FF92400E"/>
      <sz val="8"/>
    </font>
    <font>
      <name val="Arial"/>
      <charset val="1"/>
      <family val="0"/>
      <b val="1"/>
      <color rgb="FF595959"/>
      <sz val="10"/>
    </font>
    <font>
      <name val="Arial"/>
      <charset val="1"/>
      <family val="0"/>
      <b val="1"/>
      <color rgb="FF4C1D95"/>
      <sz val="8"/>
    </font>
    <font>
      <name val="Arial"/>
      <charset val="1"/>
      <family val="0"/>
      <color rgb="FF0D47A1"/>
      <sz val="8"/>
    </font>
    <font>
      <name val="Arial"/>
      <charset val="1"/>
      <family val="0"/>
      <b val="1"/>
      <color rgb="FF713F12"/>
      <sz val="8"/>
    </font>
    <font>
      <name val="Arial"/>
      <charset val="1"/>
      <family val="0"/>
      <b val="1"/>
      <color rgb="FFE65100"/>
      <sz val="9"/>
    </font>
    <font>
      <name val="Arial"/>
      <charset val="1"/>
      <family val="0"/>
      <color rgb="FFE65100"/>
      <sz val="8"/>
    </font>
    <font>
      <name val="Arial"/>
      <charset val="1"/>
      <family val="0"/>
      <b val="1"/>
      <color rgb="FF7F1D1D"/>
      <sz val="8"/>
    </font>
    <font>
      <name val="Arial"/>
      <charset val="1"/>
      <family val="0"/>
      <b val="1"/>
      <color rgb="FF9A3412"/>
      <sz val="8"/>
    </font>
    <font>
      <name val="Arial"/>
      <charset val="1"/>
      <family val="0"/>
      <color rgb="FFBF360C"/>
      <sz val="8"/>
    </font>
    <font>
      <name val="Arial"/>
      <charset val="1"/>
      <family val="0"/>
      <b val="1"/>
      <color rgb="FF14532D"/>
      <sz val="8"/>
    </font>
    <font>
      <name val="Arial"/>
      <charset val="1"/>
      <family val="0"/>
      <b val="1"/>
      <color rgb="FF0F766E"/>
      <sz val="8"/>
    </font>
    <font>
      <name val="Arial"/>
      <charset val="1"/>
      <family val="0"/>
      <color rgb="FF888888"/>
      <sz val="10"/>
    </font>
    <font>
      <name val="Arial"/>
      <charset val="1"/>
      <family val="0"/>
      <i val="1"/>
      <color rgb="FF444444"/>
      <sz val="8"/>
    </font>
    <font>
      <name val="Arial"/>
      <charset val="1"/>
      <family val="0"/>
      <b val="1"/>
      <color rgb="FF0D47A1"/>
      <sz val="10"/>
    </font>
    <font>
      <name val="Arial"/>
      <charset val="1"/>
      <family val="0"/>
      <b val="1"/>
      <color rgb="FF33333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333333"/>
      <sz val="10"/>
    </font>
    <font>
      <name val="Arial"/>
      <charset val="1"/>
      <family val="0"/>
      <color rgb="FF666666"/>
      <sz val="10"/>
    </font>
    <font>
      <name val="Arial"/>
      <charset val="1"/>
      <family val="0"/>
      <b val="1"/>
      <color rgb="FF1A237E"/>
      <sz val="10"/>
    </font>
    <font>
      <name val="Arial"/>
      <charset val="1"/>
      <family val="0"/>
      <color rgb="FF7B1FA2"/>
      <sz val="10"/>
    </font>
    <font>
      <name val="Arial"/>
      <charset val="1"/>
      <family val="0"/>
      <b val="1"/>
      <color rgb="FF4A148C"/>
      <sz val="10"/>
    </font>
    <font>
      <name val="Arial"/>
      <charset val="1"/>
      <family val="0"/>
      <b val="1"/>
      <color rgb="FF666666"/>
      <sz val="10"/>
    </font>
    <font>
      <name val="Arial"/>
      <charset val="1"/>
      <family val="0"/>
      <b val="1"/>
      <color rgb="FFF9A825"/>
      <sz val="10"/>
    </font>
    <font>
      <name val="Arial"/>
      <charset val="1"/>
      <family val="0"/>
      <b val="1"/>
      <color rgb="FFFFD700"/>
      <sz val="13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color rgb="FFFFD700"/>
      <sz val="12"/>
    </font>
    <font>
      <name val="Arial"/>
      <charset val="1"/>
      <family val="0"/>
      <b val="1"/>
      <color rgb="FF0D1B2A"/>
      <sz val="10"/>
    </font>
    <font>
      <name val="Calibri"/>
      <charset val="1"/>
      <family val="0"/>
      <b val="1"/>
      <color rgb="FF1A4731"/>
      <sz val="12"/>
    </font>
    <font>
      <name val="Calibri"/>
      <charset val="1"/>
      <family val="0"/>
      <color rgb="FF1A4731"/>
      <sz val="9"/>
    </font>
    <font>
      <name val="Calibri"/>
      <charset val="1"/>
      <family val="0"/>
      <b val="1"/>
      <color rgb="FF92400E"/>
      <sz val="12"/>
    </font>
    <font>
      <name val="Arial"/>
      <charset val="1"/>
      <family val="0"/>
      <i val="1"/>
      <color rgb="FF999999"/>
      <sz val="8"/>
    </font>
    <font>
      <name val="Arial"/>
      <charset val="1"/>
      <family val="0"/>
      <color rgb="FF7A5800"/>
      <sz val="9"/>
    </font>
    <font>
      <name val="Arial"/>
      <charset val="1"/>
      <family val="0"/>
      <b val="1"/>
      <color rgb="FFBBDEFB"/>
      <sz val="11"/>
    </font>
    <font>
      <name val="Arial"/>
      <charset val="1"/>
      <family val="0"/>
      <b val="1"/>
      <color rgb="FFCCFFCC"/>
      <sz val="11"/>
    </font>
    <font>
      <name val="Arial"/>
      <charset val="1"/>
      <family val="0"/>
      <b val="1"/>
      <color rgb="FFCC0000"/>
      <sz val="9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276221"/>
      <sz val="9"/>
    </font>
    <font>
      <name val="Arial"/>
      <charset val="1"/>
      <family val="0"/>
      <i val="1"/>
      <color rgb="FF999999"/>
      <sz val="10"/>
    </font>
    <font>
      <name val="Cambria"/>
      <charset val="1"/>
      <family val="0"/>
      <b val="1"/>
      <i val="1"/>
      <color rgb="FF1A5276"/>
      <sz val="11"/>
    </font>
    <font>
      <name val="Arial"/>
      <charset val="1"/>
      <family val="0"/>
      <color rgb="FF888888"/>
      <sz val="9"/>
    </font>
    <font>
      <name val="Arial"/>
      <charset val="1"/>
      <family val="0"/>
      <b val="1"/>
      <color rgb="FFE8D5B7"/>
      <sz val="10"/>
    </font>
    <font>
      <name val="Arial"/>
      <charset val="1"/>
      <family val="0"/>
      <i val="1"/>
      <color rgb="FF666666"/>
      <sz val="8"/>
    </font>
    <font>
      <name val="Arial"/>
      <charset val="1"/>
      <family val="0"/>
      <color rgb="FF1F3864"/>
      <sz val="9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6400"/>
      <sz val="11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06400"/>
      <sz val="11"/>
    </font>
    <font>
      <name val="Arial"/>
      <charset val="1"/>
      <family val="0"/>
      <b val="1"/>
      <color rgb="FF276221"/>
      <sz val="10"/>
    </font>
    <font>
      <name val="Arial"/>
      <charset val="1"/>
      <family val="0"/>
      <color rgb="FF888888"/>
      <sz val="7"/>
    </font>
    <font>
      <name val="Arial"/>
      <charset val="1"/>
      <family val="0"/>
      <b val="1"/>
      <color rgb="FF1565C0"/>
      <sz val="9"/>
    </font>
    <font>
      <name val="Arial"/>
      <charset val="1"/>
      <family val="0"/>
      <b val="1"/>
      <color rgb="FF1565C0"/>
      <sz val="11"/>
    </font>
    <font>
      <name val="Arial"/>
      <charset val="1"/>
      <family val="0"/>
      <color rgb="FF1565C0"/>
      <sz val="8"/>
    </font>
    <font>
      <name val="Arial"/>
      <charset val="1"/>
      <family val="0"/>
      <b val="1"/>
      <color rgb="FFE65100"/>
      <sz val="11"/>
    </font>
    <font>
      <name val="Arial"/>
      <charset val="1"/>
      <family val="0"/>
      <color rgb="FFAABBCC"/>
      <sz val="8"/>
    </font>
    <font>
      <name val="Arial"/>
      <charset val="1"/>
      <family val="0"/>
      <b val="1"/>
      <color rgb="FFFFDD88"/>
      <sz val="11"/>
    </font>
    <font>
      <name val="Arial"/>
      <charset val="1"/>
      <family val="0"/>
      <color rgb="FFFFFFFF"/>
      <sz val="8"/>
    </font>
    <font>
      <name val="Arial"/>
      <charset val="1"/>
      <family val="0"/>
      <color rgb="FFBF360C"/>
      <sz val="9"/>
    </font>
    <font>
      <name val="Cambria"/>
      <charset val="1"/>
      <family val="0"/>
      <b val="1"/>
      <i val="1"/>
      <color rgb="FF1A3A2E"/>
      <sz val="11"/>
    </font>
    <font>
      <name val="Cambria"/>
      <charset val="1"/>
      <family val="0"/>
      <color rgb="FF7D3C98"/>
      <sz val="11"/>
    </font>
    <font>
      <name val="Cambria"/>
      <charset val="1"/>
      <family val="0"/>
      <color rgb="FFAAAAAA"/>
      <sz val="11"/>
    </font>
    <font>
      <name val="Cambria"/>
      <charset val="1"/>
      <family val="0"/>
      <color rgb="FF1A5276"/>
      <sz val="11"/>
    </font>
    <font>
      <name val="Cambria"/>
      <charset val="1"/>
      <family val="0"/>
      <b val="1"/>
      <color rgb="FF1A5276"/>
      <sz val="11"/>
    </font>
    <font>
      <name val="Cambria"/>
      <charset val="1"/>
      <family val="0"/>
      <b val="1"/>
      <color rgb="FF003366"/>
      <sz val="11"/>
    </font>
    <font>
      <name val="Arial"/>
      <charset val="1"/>
      <family val="0"/>
      <color rgb="FFAAAAAA"/>
      <sz val="8"/>
    </font>
    <font>
      <name val="Arial"/>
      <charset val="1"/>
      <family val="0"/>
      <b val="1"/>
      <color rgb="FFB71C1C"/>
      <sz val="10"/>
    </font>
    <font>
      <name val="Arial"/>
      <charset val="1"/>
      <family val="0"/>
      <b val="1"/>
      <color rgb="FF1A1F3A"/>
      <sz val="10"/>
    </font>
    <font>
      <name val="Arial"/>
      <charset val="1"/>
      <family val="0"/>
      <b val="1"/>
      <color rgb="FF555555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color rgb="FFAAAACC"/>
      <sz val="9"/>
    </font>
    <font>
      <name val="Arial"/>
      <charset val="1"/>
      <family val="0"/>
      <b val="1"/>
      <color rgb="FFB45309"/>
      <sz val="10"/>
    </font>
    <font>
      <name val="Arial"/>
      <charset val="1"/>
      <family val="0"/>
      <b val="1"/>
      <color rgb="FF999999"/>
      <sz val="9"/>
    </font>
    <font>
      <name val="Arial"/>
      <charset val="1"/>
      <family val="0"/>
      <color rgb="FF999999"/>
      <sz val="9"/>
    </font>
    <font>
      <name val="Arial"/>
      <charset val="1"/>
      <family val="0"/>
      <b val="1"/>
      <color rgb="FF1B5E20"/>
      <sz val="10"/>
    </font>
    <font>
      <name val="Arial"/>
      <charset val="1"/>
      <family val="0"/>
      <b val="1"/>
      <color rgb="FF1A3A5C"/>
      <sz val="10"/>
    </font>
    <font>
      <name val="Arial"/>
      <charset val="1"/>
      <family val="0"/>
      <b val="1"/>
      <color rgb="FF1D4ED8"/>
      <sz val="10"/>
    </font>
    <font>
      <name val="Arial"/>
      <charset val="1"/>
      <family val="0"/>
      <i val="1"/>
      <color rgb="FF1B5E20"/>
      <sz val="8"/>
    </font>
    <font>
      <name val="Arial"/>
      <charset val="1"/>
      <family val="0"/>
      <b val="1"/>
      <color rgb="FF065F46"/>
      <sz val="10"/>
    </font>
    <font>
      <name val="Arial"/>
      <charset val="1"/>
      <family val="0"/>
      <color rgb="FF843C0C"/>
      <sz val="9"/>
    </font>
    <font>
      <name val="Arial"/>
      <charset val="1"/>
      <family val="0"/>
      <b val="1"/>
      <color rgb="FF0000FF"/>
      <sz val="12"/>
    </font>
    <font>
      <name val="Arial"/>
      <charset val="1"/>
      <family val="0"/>
      <b val="1"/>
      <color rgb="FF006400"/>
      <sz val="12"/>
    </font>
    <font>
      <name val="Arial"/>
      <charset val="1"/>
      <family val="0"/>
      <color rgb="FF006400"/>
      <sz val="9"/>
    </font>
    <font>
      <name val="Arial"/>
      <charset val="1"/>
      <family val="0"/>
      <b val="1"/>
      <color rgb="FFC00000"/>
      <sz val="12"/>
    </font>
    <font>
      <name val="Arial"/>
      <charset val="1"/>
      <family val="0"/>
      <b val="1"/>
      <color rgb="FFC00000"/>
      <sz val="9"/>
    </font>
    <font>
      <name val="Arial"/>
      <charset val="1"/>
      <family val="0"/>
      <b val="1"/>
      <color rgb="FF374151"/>
      <sz val="8"/>
    </font>
    <font>
      <name val="Arial"/>
      <charset val="1"/>
      <family val="0"/>
      <b val="1"/>
      <color rgb="FF1A1F3A"/>
      <sz val="11"/>
    </font>
    <font>
      <name val="Arial"/>
      <charset val="1"/>
      <family val="0"/>
      <color rgb="FFC62828"/>
      <sz val="8"/>
    </font>
    <font>
      <name val="Arial"/>
      <charset val="1"/>
      <family val="0"/>
      <i val="1"/>
      <color rgb="FF1565C0"/>
      <sz val="8"/>
    </font>
    <font>
      <name val="Arial"/>
      <charset val="1"/>
      <family val="0"/>
      <b val="1"/>
      <color rgb="FFCCCCCC"/>
      <sz val="8"/>
    </font>
    <font>
      <name val="Arial"/>
      <charset val="1"/>
      <family val="0"/>
      <b val="1"/>
      <color rgb="FFB71C1C"/>
      <sz val="8"/>
    </font>
    <font>
      <name val="Cambria"/>
      <charset val="1"/>
      <family val="0"/>
      <color rgb="FF555555"/>
      <sz val="11"/>
    </font>
    <font>
      <name val="Cambria"/>
      <charset val="1"/>
      <family val="0"/>
      <b val="1"/>
      <color rgb="FF333333"/>
      <sz val="11"/>
    </font>
    <font>
      <name val="Cambria"/>
      <charset val="1"/>
      <family val="0"/>
      <b val="1"/>
      <color rgb="FF1F1F1F"/>
      <sz val="9"/>
    </font>
    <font>
      <name val="Courier New"/>
      <charset val="1"/>
      <family val="0"/>
      <color rgb="FF1F1F1F"/>
      <sz val="9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color rgb="FFFFFFFF"/>
      <sz val="10"/>
    </font>
    <font>
      <name val="Calibri"/>
      <charset val="1"/>
      <family val="0"/>
      <i val="1"/>
      <color rgb="FF000000"/>
      <sz val="9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color rgb="FF888888"/>
      <sz val="9"/>
    </font>
    <font>
      <name val="Calibri"/>
      <charset val="1"/>
      <family val="0"/>
      <b val="1"/>
      <color rgb="FF1F4E79"/>
      <sz val="9"/>
    </font>
    <font>
      <name val="Calibri"/>
      <charset val="1"/>
      <family val="0"/>
      <b val="1"/>
      <color rgb="FF1E7145"/>
      <sz val="10"/>
    </font>
    <font>
      <name val="Calibri"/>
      <charset val="1"/>
      <family val="0"/>
      <i val="1"/>
      <color rgb="FF795548"/>
      <sz val="9"/>
    </font>
    <font>
      <name val="Calibri"/>
      <charset val="1"/>
      <family val="0"/>
      <color rgb="FFC55A11"/>
      <sz val="9"/>
    </font>
    <font>
      <name val="Calibri"/>
      <charset val="1"/>
      <family val="0"/>
      <b val="1"/>
      <color rgb="FF1565C0"/>
      <sz val="10"/>
    </font>
    <font>
      <name val="Calibri"/>
      <charset val="1"/>
      <family val="0"/>
      <b val="1"/>
      <color rgb="FF1565C0"/>
      <sz val="9"/>
    </font>
    <font>
      <name val="Calibri"/>
      <charset val="1"/>
      <family val="0"/>
      <b val="1"/>
      <color rgb="FFBF8F00"/>
      <sz val="10"/>
    </font>
    <font>
      <name val="Calibri"/>
      <charset val="1"/>
      <family val="0"/>
      <b val="1"/>
      <color rgb="FFBF8F00"/>
      <sz val="9"/>
    </font>
    <font>
      <name val="Calibri"/>
      <charset val="1"/>
      <family val="0"/>
      <color rgb="FFC55A11"/>
      <sz val="10"/>
    </font>
    <font>
      <name val="Calibri"/>
      <charset val="1"/>
      <family val="0"/>
      <color rgb="FF999999"/>
      <sz val="10"/>
    </font>
    <font>
      <name val="Arial"/>
      <charset val="1"/>
      <family val="0"/>
      <color rgb="FF1A1A2E"/>
      <sz val="10"/>
    </font>
    <font>
      <name val="Arial"/>
      <charset val="1"/>
      <family val="0"/>
      <b val="1"/>
      <color rgb="FF1A1A2E"/>
      <sz val="10"/>
    </font>
    <font>
      <b val="1"/>
    </font>
    <font>
      <b val="1"/>
      <sz val="12"/>
    </font>
    <font>
      <b val="1"/>
      <color rgb="00FFFFFF"/>
    </font>
    <font>
      <b val="1"/>
      <color rgb="00FFFFFF"/>
      <sz val="12"/>
    </font>
    <font>
      <b val="1"/>
      <color rgb="000d3b66"/>
      <sz val="11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b val="1"/>
      <color rgb="00CC0000"/>
      <sz val="10"/>
    </font>
    <font>
      <b val="1"/>
      <color rgb="00006600"/>
      <sz val="11"/>
    </font>
    <font>
      <b val="1"/>
      <sz val="11"/>
    </font>
    <font>
      <i val="1"/>
      <color rgb="00888888"/>
      <sz val="9"/>
    </font>
    <font>
      <b val="1"/>
      <color rgb="00FFFFFF"/>
      <sz val="9"/>
    </font>
    <font>
      <name val="Courier New"/>
      <b val="1"/>
      <sz val="10"/>
    </font>
  </fonts>
  <fills count="98">
    <fill>
      <patternFill/>
    </fill>
    <fill>
      <patternFill patternType="gray125"/>
    </fill>
    <fill>
      <patternFill patternType="darkGray">
        <fgColor rgb="FF0B0F0C"/>
        <bgColor rgb="FF121B22"/>
      </patternFill>
    </fill>
    <fill>
      <patternFill patternType="mediumGray">
        <fgColor rgb="FF0C83C4"/>
        <bgColor rgb="FF0949B0"/>
      </patternFill>
    </fill>
    <fill>
      <patternFill patternType="solid">
        <fgColor rgb="FFF7F8FA"/>
        <bgColor rgb="FFF8F9FA"/>
      </patternFill>
    </fill>
    <fill>
      <patternFill patternType="darkGray">
        <fgColor rgb="FFED5F03"/>
        <bgColor rgb="FFC40402"/>
      </patternFill>
    </fill>
    <fill>
      <patternFill patternType="solid">
        <fgColor rgb="FFFFEEEF"/>
        <bgColor rgb="FFFFECEF"/>
      </patternFill>
    </fill>
    <fill>
      <patternFill patternType="darkGray">
        <fgColor rgb="FFFFFDEC"/>
        <bgColor rgb="FFFFFCF3"/>
      </patternFill>
    </fill>
    <fill>
      <patternFill patternType="solid">
        <fgColor rgb="FFEFF4FF"/>
        <bgColor rgb="FFEEF2FF"/>
      </patternFill>
    </fill>
    <fill>
      <patternFill patternType="solid">
        <fgColor rgb="FF0C83C4"/>
        <bgColor rgb="FF1B4E7D"/>
      </patternFill>
    </fill>
    <fill>
      <patternFill patternType="darkGray">
        <fgColor rgb="FF5F5F60"/>
        <bgColor rgb="FF651FA2"/>
      </patternFill>
    </fill>
    <fill>
      <patternFill patternType="mediumGray">
        <fgColor rgb="FFED5F03"/>
        <bgColor rgb="FF899187"/>
      </patternFill>
    </fill>
    <fill>
      <patternFill patternType="mediumGray">
        <fgColor rgb="FF1C3B2A"/>
        <bgColor rgb="FF343E28"/>
      </patternFill>
    </fill>
    <fill>
      <patternFill patternType="solid">
        <fgColor rgb="FF1B4E7D"/>
        <bgColor rgb="FF0949B0"/>
      </patternFill>
    </fill>
    <fill>
      <patternFill patternType="solid">
        <fgColor rgb="FF191F34"/>
        <bgColor rgb="FF121B22"/>
      </patternFill>
    </fill>
    <fill>
      <patternFill patternType="solid">
        <fgColor rgb="FFF8F9FF"/>
        <bgColor rgb="FFF7F9FE"/>
      </patternFill>
    </fill>
    <fill>
      <patternFill patternType="solid">
        <fgColor rgb="FFEEEEFF"/>
        <bgColor rgb="FFF1EEFF"/>
      </patternFill>
    </fill>
    <fill>
      <patternFill patternType="solid">
        <fgColor rgb="FFFFECEF"/>
        <bgColor rgb="FFFFEEEF"/>
      </patternFill>
    </fill>
    <fill>
      <patternFill patternType="solid">
        <fgColor rgb="FFF1EEFF"/>
        <bgColor rgb="FFEEEEFF"/>
      </patternFill>
    </fill>
    <fill>
      <patternFill patternType="solid">
        <fgColor rgb="FFE8F7E9"/>
        <bgColor rgb="FFEAF7EB"/>
      </patternFill>
    </fill>
    <fill>
      <patternFill patternType="darkGray">
        <fgColor rgb="FFFFFBB1"/>
        <bgColor rgb="FFFFF5CB"/>
      </patternFill>
    </fill>
    <fill>
      <patternFill patternType="solid">
        <fgColor rgb="FF0949B0"/>
        <bgColor rgb="FF1B4E7D"/>
      </patternFill>
    </fill>
    <fill>
      <patternFill patternType="solid">
        <fgColor rgb="FFFFFCF3"/>
        <bgColor rgb="FFFFFDEC"/>
      </patternFill>
    </fill>
    <fill>
      <patternFill patternType="solid">
        <fgColor rgb="FFF9FAFD"/>
        <bgColor rgb="FFF8F9FF"/>
      </patternFill>
    </fill>
    <fill>
      <patternFill patternType="solid">
        <fgColor rgb="FFEEF2FF"/>
        <bgColor rgb="FFEFF4FF"/>
      </patternFill>
    </fill>
    <fill>
      <patternFill patternType="solid">
        <fgColor rgb="FFC40402"/>
        <bgColor rgb="FFFF0000"/>
      </patternFill>
    </fill>
    <fill>
      <patternFill patternType="solid">
        <fgColor rgb="FFED5F03"/>
        <bgColor rgb="FF834007"/>
      </patternFill>
    </fill>
    <fill>
      <patternFill patternType="solid">
        <fgColor rgb="FFFFF3E0"/>
        <bgColor rgb="FFFFF3E3"/>
      </patternFill>
    </fill>
    <fill>
      <patternFill patternType="solid">
        <fgColor rgb="FFFFFDEC"/>
        <bgColor rgb="FFFFFCF3"/>
      </patternFill>
    </fill>
    <fill>
      <patternFill patternType="solid">
        <fgColor rgb="FFECF5FE"/>
        <bgColor rgb="FFEFF4FF"/>
      </patternFill>
    </fill>
    <fill>
      <patternFill patternType="solid">
        <fgColor rgb="FFFFFFFF"/>
        <bgColor rgb="FFFFFCF3"/>
      </patternFill>
    </fill>
    <fill>
      <patternFill patternType="lightGray">
        <fgColor rgb="FFF7F8FA"/>
        <bgColor rgb="FFF7F9FE"/>
      </patternFill>
    </fill>
    <fill>
      <patternFill patternType="solid">
        <fgColor rgb="FFEAF7EB"/>
        <bgColor rgb="FFE8F7E9"/>
      </patternFill>
    </fill>
    <fill>
      <patternFill patternType="solid">
        <fgColor rgb="FF1C3B2A"/>
        <bgColor rgb="FF343E28"/>
      </patternFill>
    </fill>
    <fill>
      <patternFill patternType="solid">
        <fgColor rgb="FFD6F7E3"/>
        <bgColor rgb="FFD6FCEE"/>
      </patternFill>
    </fill>
    <fill>
      <patternFill patternType="solid">
        <fgColor rgb="FF899187"/>
        <bgColor rgb="FFC0B2B5"/>
      </patternFill>
    </fill>
    <fill>
      <patternFill patternType="solid">
        <fgColor rgb="FF343E28"/>
        <bgColor rgb="FF1C3B2A"/>
      </patternFill>
    </fill>
    <fill>
      <patternFill patternType="solid">
        <fgColor rgb="FF0B0F0C"/>
        <bgColor rgb="FF121B22"/>
      </patternFill>
    </fill>
    <fill>
      <patternFill patternType="darkGray">
        <fgColor rgb="FF121B22"/>
        <bgColor rgb="FF191F34"/>
      </patternFill>
    </fill>
    <fill>
      <patternFill patternType="solid">
        <fgColor rgb="FF651FA2"/>
        <bgColor rgb="FF1C3564"/>
      </patternFill>
    </fill>
    <fill>
      <patternFill patternType="solid">
        <fgColor rgb="FF1C3564"/>
        <bgColor rgb="FF003266"/>
      </patternFill>
    </fill>
    <fill>
      <patternFill patternType="solid">
        <fgColor rgb="FFE5EEEC"/>
        <bgColor rgb="FFE1EFE5"/>
      </patternFill>
    </fill>
    <fill>
      <patternFill patternType="solid">
        <fgColor rgb="FF003266"/>
        <bgColor rgb="FF1C3564"/>
      </patternFill>
    </fill>
    <fill>
      <patternFill patternType="darkGray">
        <fgColor rgb="FFECF5FE"/>
        <bgColor rgb="FFEFF4FF"/>
      </patternFill>
    </fill>
    <fill>
      <patternFill patternType="solid">
        <fgColor rgb="FFD6FCEE"/>
        <bgColor rgb="FFD6F7E3"/>
      </patternFill>
    </fill>
    <fill>
      <patternFill patternType="solid">
        <fgColor rgb="FFF1E3ED"/>
        <bgColor rgb="FFF1EEFF"/>
      </patternFill>
    </fill>
    <fill>
      <patternFill patternType="solid">
        <fgColor rgb="FF026306"/>
        <bgColor rgb="FF1C3B2A"/>
      </patternFill>
    </fill>
    <fill>
      <patternFill patternType="solid">
        <fgColor rgb="FFFF0000"/>
        <bgColor rgb="FFC40402"/>
      </patternFill>
    </fill>
    <fill>
      <patternFill patternType="solid">
        <fgColor rgb="FFF2F2F3"/>
        <bgColor rgb="FFEEF2FF"/>
      </patternFill>
    </fill>
    <fill>
      <patternFill patternType="solid">
        <fgColor rgb="FF121B22"/>
        <bgColor rgb="FF191F34"/>
      </patternFill>
    </fill>
    <fill>
      <patternFill patternType="solid">
        <fgColor rgb="FFEFF4FF"/>
        <bgColor rgb="FFECF5FE"/>
      </patternFill>
    </fill>
    <fill>
      <patternFill patternType="solid">
        <fgColor rgb="FF1C3564"/>
        <bgColor rgb="FF003266"/>
      </patternFill>
    </fill>
    <fill>
      <patternFill patternType="darkGray">
        <fgColor rgb="FF651FA2"/>
        <bgColor rgb="FF1C3564"/>
      </patternFill>
    </fill>
    <fill>
      <patternFill patternType="darkGray">
        <fgColor rgb="FF834007"/>
        <bgColor rgb="FF5F5F60"/>
      </patternFill>
    </fill>
    <fill>
      <patternFill patternType="solid">
        <fgColor rgb="FFFFF5CB"/>
        <bgColor rgb="FFFFF4D1"/>
      </patternFill>
    </fill>
    <fill>
      <patternFill patternType="solid">
        <fgColor rgb="FFE1EFE5"/>
        <bgColor rgb="FFE5EEEC"/>
      </patternFill>
    </fill>
    <fill>
      <patternFill patternType="solid">
        <fgColor rgb="FFFFF4D1"/>
        <bgColor rgb="FFFFF5CB"/>
      </patternFill>
    </fill>
    <fill>
      <patternFill patternType="solid">
        <fgColor rgb="FFFEE4D2"/>
        <bgColor rgb="FFFFECEF"/>
      </patternFill>
    </fill>
    <fill>
      <patternFill patternType="mediumGray">
        <fgColor rgb="FFF0FBEF"/>
        <bgColor rgb="FFEAF7EB"/>
      </patternFill>
    </fill>
    <fill>
      <patternFill patternType="darkGray">
        <fgColor rgb="FFBCDDF5"/>
        <bgColor rgb="FFD2E0DC"/>
      </patternFill>
    </fill>
    <fill>
      <patternFill patternType="solid">
        <fgColor rgb="FFFFFF00"/>
        <bgColor rgb="FFFFFBB1"/>
      </patternFill>
    </fill>
    <fill>
      <patternFill patternType="solid">
        <fgColor rgb="FFFFF3E3"/>
        <bgColor rgb="FFFFF3E0"/>
      </patternFill>
    </fill>
    <fill>
      <patternFill patternType="solid">
        <fgColor rgb="FFFFEEEF"/>
        <bgColor rgb="FFFFECEF"/>
      </patternFill>
    </fill>
    <fill>
      <patternFill patternType="solid">
        <fgColor rgb="FFF7F9FE"/>
        <bgColor rgb="FFF8F9FF"/>
      </patternFill>
    </fill>
    <fill>
      <patternFill patternType="darkGray">
        <fgColor rgb="FF834007"/>
        <bgColor rgb="FF5F5F60"/>
      </patternFill>
    </fill>
    <fill>
      <patternFill patternType="solid">
        <fgColor rgb="FFEED0C5"/>
        <bgColor rgb="FFFEE4D2"/>
      </patternFill>
    </fill>
    <fill>
      <patternFill patternType="solid">
        <fgColor rgb="FFF0FBEF"/>
        <bgColor rgb="FFEAF7EB"/>
      </patternFill>
    </fill>
    <fill>
      <patternFill patternType="solid">
        <fgColor rgb="FFF8F9FA"/>
        <bgColor rgb="FFF7F8FA"/>
      </patternFill>
    </fill>
    <fill>
      <patternFill patternType="darkGray">
        <fgColor rgb="FFEAF7EB"/>
        <bgColor rgb="FFE8F7E9"/>
      </patternFill>
    </fill>
    <fill>
      <patternFill patternType="darkGray">
        <fgColor rgb="FFD2E0DC"/>
        <bgColor rgb="FFE1EFE5"/>
      </patternFill>
    </fill>
    <fill>
      <patternFill patternType="solid">
        <fgColor rgb="FFBCDDF5"/>
        <bgColor rgb="FFD2E0DC"/>
      </patternFill>
    </fill>
    <fill>
      <patternFill patternType="solid">
        <fgColor rgb="FFECF5FE"/>
        <bgColor rgb="FFEFF4FF"/>
      </patternFill>
    </fill>
    <fill>
      <patternFill patternType="solid">
        <fgColor rgb="FFFFFBB1"/>
        <bgColor rgb="FFFFF5CB"/>
      </patternFill>
    </fill>
    <fill>
      <patternFill patternType="darkGray">
        <fgColor rgb="FFFEE4D2"/>
        <bgColor rgb="FFF1E3ED"/>
      </patternFill>
    </fill>
    <fill>
      <patternFill patternType="darkGray">
        <fgColor rgb="FFD2E0DC"/>
        <bgColor rgb="FFCCCCCC"/>
      </patternFill>
    </fill>
    <fill>
      <patternFill patternType="darkGray">
        <fgColor rgb="FFF1E3ED"/>
        <bgColor rgb="FFF1EEFF"/>
      </patternFill>
    </fill>
    <fill>
      <patternFill patternType="darkGray">
        <fgColor rgb="FF191F34"/>
        <bgColor rgb="FF121B22"/>
      </patternFill>
    </fill>
    <fill>
      <patternFill patternType="darkGray">
        <fgColor rgb="FF1B4E7D"/>
        <bgColor rgb="FF1C3564"/>
      </patternFill>
    </fill>
    <fill>
      <patternFill patternType="darkGray">
        <fgColor rgb="FF0949B0"/>
        <bgColor rgb="FF1B4E7D"/>
      </patternFill>
    </fill>
    <fill>
      <patternFill patternType="solid">
        <fgColor rgb="001F3864"/>
        <bgColor rgb="001F3864"/>
      </patternFill>
    </fill>
    <fill>
      <patternFill patternType="solid">
        <fgColor rgb="000d3b66"/>
      </patternFill>
    </fill>
    <fill>
      <patternFill patternType="solid">
        <fgColor rgb="002c3e50"/>
      </patternFill>
    </fill>
    <fill>
      <patternFill patternType="solid">
        <fgColor rgb="002d2d44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FFE5E5"/>
      </patternFill>
    </fill>
    <fill>
      <patternFill patternType="solid">
        <fgColor rgb="001e8449"/>
      </patternFill>
    </fill>
    <fill>
      <patternFill patternType="solid">
        <fgColor rgb="004a235a"/>
      </patternFill>
    </fill>
    <fill>
      <patternFill patternType="solid">
        <fgColor rgb="0017202a"/>
      </patternFill>
    </fill>
    <fill>
      <patternFill patternType="solid">
        <fgColor rgb="00333333"/>
      </patternFill>
    </fill>
    <fill>
      <patternFill patternType="solid">
        <fgColor rgb="001a3a5c"/>
      </patternFill>
    </fill>
    <fill>
      <patternFill patternType="solid">
        <fgColor rgb="00212f3d"/>
      </patternFill>
    </fill>
    <fill>
      <patternFill patternType="solid">
        <fgColor rgb="00154360"/>
      </patternFill>
    </fill>
    <fill>
      <patternFill patternType="solid">
        <fgColor rgb="002e4057"/>
      </patternFill>
    </fill>
    <fill>
      <patternFill patternType="solid">
        <fgColor rgb="00E5FFE5"/>
      </patternFill>
    </fill>
    <fill>
      <patternFill patternType="solid">
        <fgColor rgb="00111111"/>
      </patternFill>
    </fill>
    <fill>
      <patternFill patternType="solid">
        <fgColor rgb="00E8F5EE"/>
      </patternFill>
    </fill>
    <fill>
      <patternFill patternType="solid">
        <fgColor rgb="00EFF6FF"/>
      </patternFill>
    </fill>
  </fills>
  <borders count="3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D0C5"/>
      </left>
      <right style="thin">
        <color rgb="FFEED0C5"/>
      </right>
      <top style="thin">
        <color rgb="FFEED0C5"/>
      </top>
      <bottom style="thin">
        <color rgb="FFEED0C5"/>
      </bottom>
      <diagonal/>
    </border>
    <border>
      <left style="medium">
        <color rgb="FF899187"/>
      </left>
      <right style="thin">
        <color rgb="FFF1E3ED"/>
      </right>
      <top style="medium">
        <color rgb="FF899187"/>
      </top>
      <bottom style="thin">
        <color rgb="FFF1E3ED"/>
      </bottom>
      <diagonal/>
    </border>
    <border>
      <left style="thin">
        <color rgb="FFF1E3ED"/>
      </left>
      <right style="thin">
        <color rgb="FFF1E3ED"/>
      </right>
      <top style="medium">
        <color rgb="FF899187"/>
      </top>
      <bottom style="thin">
        <color rgb="FFF1E3ED"/>
      </bottom>
      <diagonal/>
    </border>
    <border>
      <left style="thin">
        <color rgb="FFF1E3ED"/>
      </left>
      <right style="medium">
        <color rgb="FF899187"/>
      </right>
      <top style="medium">
        <color rgb="FF899187"/>
      </top>
      <bottom style="thin">
        <color rgb="FFF1E3ED"/>
      </bottom>
      <diagonal/>
    </border>
    <border>
      <left style="medium">
        <color rgb="FF899187"/>
      </left>
      <right style="thin">
        <color rgb="FFF1E3ED"/>
      </right>
      <top style="thin">
        <color rgb="FFF1E3ED"/>
      </top>
      <bottom style="thin">
        <color rgb="FFF1E3ED"/>
      </bottom>
      <diagonal/>
    </border>
    <border>
      <left style="thin">
        <color rgb="FFF1E3ED"/>
      </left>
      <right style="thin">
        <color rgb="FFF1E3ED"/>
      </right>
      <top style="thin">
        <color rgb="FFF1E3ED"/>
      </top>
      <bottom style="thin">
        <color rgb="FFF1E3ED"/>
      </bottom>
      <diagonal/>
    </border>
    <border>
      <left style="thin">
        <color rgb="FFF1E3ED"/>
      </left>
      <right style="medium">
        <color rgb="FF899187"/>
      </right>
      <top style="thin">
        <color rgb="FFF1E3ED"/>
      </top>
      <bottom style="thin">
        <color rgb="FFF1E3ED"/>
      </bottom>
      <diagonal/>
    </border>
    <border>
      <left/>
      <right style="thin">
        <color rgb="FFF1E3ED"/>
      </right>
      <top/>
      <bottom style="thin">
        <color rgb="FFF1E3ED"/>
      </bottom>
      <diagonal/>
    </border>
    <border>
      <left style="medium">
        <color rgb="FF899187"/>
      </left>
      <right style="thin">
        <color rgb="FFF1E3ED"/>
      </right>
      <top style="thin">
        <color rgb="FFF1E3ED"/>
      </top>
      <bottom style="medium">
        <color rgb="FF899187"/>
      </bottom>
      <diagonal/>
    </border>
    <border>
      <left style="thin">
        <color rgb="FFF1E3ED"/>
      </left>
      <right style="medium">
        <color rgb="FF899187"/>
      </right>
      <top style="thin">
        <color rgb="FFF1E3ED"/>
      </top>
      <bottom style="medium">
        <color rgb="FF899187"/>
      </bottom>
      <diagonal/>
    </border>
    <border>
      <left style="thin">
        <color rgb="FFC0B2B5"/>
      </left>
      <right style="thin">
        <color rgb="FFC0B2B5"/>
      </right>
      <top style="thin">
        <color rgb="FFC0B2B5"/>
      </top>
      <bottom style="thin">
        <color rgb="FFC0B2B5"/>
      </bottom>
      <diagonal/>
    </border>
    <border>
      <left style="thin">
        <color rgb="FFD2E0DC"/>
      </left>
      <right style="thin">
        <color rgb="FFD2E0DC"/>
      </right>
      <top style="thin">
        <color rgb="FFD2E0DC"/>
      </top>
      <bottom style="thin">
        <color rgb="FFD2E0DC"/>
      </bottom>
      <diagonal/>
    </border>
    <border>
      <left style="thin">
        <color rgb="FFBCDDF5"/>
      </left>
      <right style="thin">
        <color rgb="FFBCDDF5"/>
      </right>
      <top style="thin">
        <color rgb="FFBCDDF5"/>
      </top>
      <bottom style="thin">
        <color rgb="FFBCDDF5"/>
      </bottom>
      <diagonal/>
    </border>
    <border>
      <left style="thin">
        <color rgb="FFF1E3ED"/>
      </left>
      <right style="thin">
        <color rgb="FFF1E3ED"/>
      </right>
      <top style="thin">
        <color rgb="FFF1E3ED"/>
      </top>
      <bottom style="medium">
        <color rgb="FF89918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B4E7D"/>
      </bottom>
      <diagonal/>
    </border>
    <border>
      <left/>
      <right style="thin">
        <color rgb="FFF1E3ED"/>
      </right>
      <top/>
      <bottom/>
      <diagonal/>
    </border>
    <border>
      <left/>
      <right/>
      <top/>
      <bottom style="thin">
        <color rgb="FFF1E3ED"/>
      </bottom>
      <diagonal/>
    </border>
    <border>
      <left/>
      <right/>
      <top style="thin">
        <color rgb="FFF1E3ED"/>
      </top>
      <bottom/>
      <diagonal/>
    </border>
    <border>
      <left/>
      <right style="thin">
        <color rgb="FFF1E3ED"/>
      </right>
      <top style="thin">
        <color rgb="FFF1E3ED"/>
      </top>
      <bottom/>
      <diagonal/>
    </border>
    <border>
      <left/>
      <right/>
      <top style="thin">
        <color rgb="FFF1E3ED"/>
      </top>
      <bottom style="thin">
        <color rgb="FFF1E3ED"/>
      </bottom>
      <diagonal/>
    </border>
    <border>
      <left/>
      <right style="thin">
        <color rgb="FFF1E3ED"/>
      </right>
      <top style="thin">
        <color rgb="FFF1E3ED"/>
      </top>
      <bottom style="thin">
        <color rgb="FFF1E3ED"/>
      </bottom>
      <diagonal/>
    </border>
    <border>
      <left/>
      <right/>
      <top style="thin">
        <color rgb="FFF1E3ED"/>
      </top>
      <bottom style="medium">
        <color rgb="FF899187"/>
      </bottom>
      <diagonal/>
    </border>
    <border>
      <left/>
      <right style="thin">
        <color rgb="FFF1E3ED"/>
      </right>
      <top style="thin">
        <color rgb="FFF1E3ED"/>
      </top>
      <bottom style="medium">
        <color rgb="FF899187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0B2B5"/>
      </top>
      <bottom/>
      <diagonal/>
    </border>
    <border>
      <left/>
      <right style="thin">
        <color rgb="FFC0B2B5"/>
      </right>
      <top style="thin">
        <color rgb="FFC0B2B5"/>
      </top>
      <bottom/>
      <diagonal/>
    </border>
    <border>
      <left/>
      <right/>
      <top style="thin">
        <color rgb="FFC0B2B5"/>
      </top>
      <bottom style="thin">
        <color rgb="FFC0B2B5"/>
      </bottom>
      <diagonal/>
    </border>
    <border>
      <left/>
      <right style="thin">
        <color rgb="FFC0B2B5"/>
      </right>
      <top style="thin">
        <color rgb="FFC0B2B5"/>
      </top>
      <bottom style="thin">
        <color rgb="FFC0B2B5"/>
      </bottom>
      <diagonal/>
    </border>
    <border>
      <left/>
      <right/>
      <top style="thin">
        <color rgb="FFD2E0DC"/>
      </top>
      <bottom/>
      <diagonal/>
    </border>
    <border>
      <left/>
      <right style="thin">
        <color rgb="FFD2E0DC"/>
      </right>
      <top style="thin">
        <color rgb="FFD2E0DC"/>
      </top>
      <bottom/>
      <diagonal/>
    </border>
    <border>
      <left/>
      <right/>
      <top style="thin">
        <color rgb="FFD2E0DC"/>
      </top>
      <bottom style="thin">
        <color rgb="FFD2E0DC"/>
      </bottom>
      <diagonal/>
    </border>
    <border>
      <left/>
      <right style="thin">
        <color rgb="FFD2E0DC"/>
      </right>
      <top style="thin">
        <color rgb="FFD2E0DC"/>
      </top>
      <bottom style="thin">
        <color rgb="FFD2E0D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left" vertical="center" indent="1"/>
    </xf>
    <xf numFmtId="0" fontId="6" fillId="10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left" vertical="center" indent="1"/>
    </xf>
    <xf numFmtId="0" fontId="6" fillId="12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20" fillId="15" borderId="0" applyAlignment="1" pivotButton="0" quotePrefix="0" xfId="0">
      <alignment horizontal="center" vertical="center"/>
    </xf>
    <xf numFmtId="10" fontId="20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left" vertical="center" wrapText="1"/>
    </xf>
    <xf numFmtId="164" fontId="20" fillId="16" borderId="0" applyAlignment="1" pivotButton="0" quotePrefix="0" xfId="0">
      <alignment horizontal="center" vertical="center"/>
    </xf>
    <xf numFmtId="10" fontId="20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left" vertical="center" wrapText="1"/>
    </xf>
    <xf numFmtId="164" fontId="20" fillId="17" borderId="0" applyAlignment="1" pivotButton="0" quotePrefix="0" xfId="0">
      <alignment horizontal="center" vertical="center"/>
    </xf>
    <xf numFmtId="10" fontId="20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left" vertical="center"/>
    </xf>
    <xf numFmtId="0" fontId="23" fillId="17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center" vertical="center"/>
    </xf>
    <xf numFmtId="0" fontId="25" fillId="19" borderId="0" applyAlignment="1" pivotButton="0" quotePrefix="0" xfId="0">
      <alignment horizontal="center" vertical="center"/>
    </xf>
    <xf numFmtId="0" fontId="26" fillId="17" borderId="0" applyAlignment="1" pivotButton="0" quotePrefix="0" xfId="0">
      <alignment horizontal="center" vertical="center"/>
    </xf>
    <xf numFmtId="0" fontId="27" fillId="17" borderId="0" applyAlignment="1" pivotButton="0" quotePrefix="0" xfId="0">
      <alignment horizontal="left" vertical="center" wrapText="1"/>
    </xf>
    <xf numFmtId="0" fontId="28" fillId="17" borderId="0" applyAlignment="1" pivotButton="0" quotePrefix="0" xfId="0">
      <alignment horizontal="center" vertical="center"/>
    </xf>
    <xf numFmtId="0" fontId="29" fillId="17" borderId="0" applyAlignment="1" pivotButton="0" quotePrefix="0" xfId="0">
      <alignment horizontal="center" vertical="center"/>
    </xf>
    <xf numFmtId="0" fontId="26" fillId="20" borderId="0" applyAlignment="1" pivotButton="0" quotePrefix="0" xfId="0">
      <alignment horizontal="center" vertical="center"/>
    </xf>
    <xf numFmtId="0" fontId="27" fillId="20" borderId="0" applyAlignment="1" pivotButton="0" quotePrefix="0" xfId="0">
      <alignment horizontal="left" vertical="center" wrapText="1"/>
    </xf>
    <xf numFmtId="0" fontId="28" fillId="20" borderId="0" applyAlignment="1" pivotButton="0" quotePrefix="0" xfId="0">
      <alignment horizontal="center" vertical="center"/>
    </xf>
    <xf numFmtId="0" fontId="30" fillId="20" borderId="0" applyAlignment="1" pivotButton="0" quotePrefix="0" xfId="0">
      <alignment horizontal="center" vertical="center"/>
    </xf>
    <xf numFmtId="0" fontId="26" fillId="15" borderId="0" applyAlignment="1" pivotButton="0" quotePrefix="0" xfId="0">
      <alignment horizontal="center" vertical="center"/>
    </xf>
    <xf numFmtId="0" fontId="27" fillId="15" borderId="0" applyAlignment="1" pivotButton="0" quotePrefix="0" xfId="0">
      <alignment horizontal="left" vertical="center" wrapText="1"/>
    </xf>
    <xf numFmtId="0" fontId="18" fillId="21" borderId="0" applyAlignment="1" pivotButton="0" quotePrefix="0" xfId="0">
      <alignment horizontal="left" vertical="center"/>
    </xf>
    <xf numFmtId="0" fontId="31" fillId="17" borderId="0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32" fillId="23" borderId="0" applyAlignment="1" pivotButton="0" quotePrefix="0" xfId="0">
      <alignment horizontal="left" vertical="center"/>
    </xf>
    <xf numFmtId="0" fontId="31" fillId="24" borderId="0" applyAlignment="1" pivotButton="0" quotePrefix="0" xfId="0">
      <alignment horizontal="center" vertical="center"/>
    </xf>
    <xf numFmtId="0" fontId="33" fillId="24" borderId="0" applyAlignment="1" pivotButton="0" quotePrefix="0" xfId="0">
      <alignment horizontal="left" vertical="center"/>
    </xf>
    <xf numFmtId="0" fontId="17" fillId="25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34" fillId="17" borderId="0" applyAlignment="1" pivotButton="0" quotePrefix="0" xfId="0">
      <alignment horizontal="center" vertical="center"/>
    </xf>
    <xf numFmtId="0" fontId="35" fillId="22" borderId="0" applyAlignment="1" pivotButton="0" quotePrefix="0" xfId="0">
      <alignment horizontal="left" vertical="center"/>
    </xf>
    <xf numFmtId="0" fontId="18" fillId="26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center" vertical="center"/>
    </xf>
    <xf numFmtId="0" fontId="35" fillId="28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34" fillId="29" borderId="0" applyAlignment="1" pivotButton="0" quotePrefix="0" xfId="0">
      <alignment horizontal="center" vertical="center"/>
    </xf>
    <xf numFmtId="0" fontId="35" fillId="15" borderId="0" applyAlignment="1" pivotButton="0" quotePrefix="0" xfId="0">
      <alignment horizontal="left" vertical="center"/>
    </xf>
    <xf numFmtId="0" fontId="26" fillId="15" borderId="0" applyAlignment="1" pivotButton="0" quotePrefix="0" xfId="0">
      <alignment horizontal="left" vertical="center"/>
    </xf>
    <xf numFmtId="0" fontId="26" fillId="16" borderId="0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 wrapText="1"/>
    </xf>
    <xf numFmtId="0" fontId="26" fillId="16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left" vertical="center"/>
    </xf>
    <xf numFmtId="0" fontId="0" fillId="16" borderId="0" applyAlignment="1" pivotButton="0" quotePrefix="0" xfId="0">
      <alignment horizontal="left" vertical="center"/>
    </xf>
    <xf numFmtId="0" fontId="36" fillId="15" borderId="0" applyAlignment="1" pivotButton="0" quotePrefix="0" xfId="0">
      <alignment horizontal="left" vertical="center"/>
    </xf>
    <xf numFmtId="0" fontId="37" fillId="30" borderId="1" applyAlignment="1" pivotButton="0" quotePrefix="0" xfId="0">
      <alignment horizontal="left" vertical="center"/>
    </xf>
    <xf numFmtId="0" fontId="38" fillId="30" borderId="0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left" vertical="center"/>
    </xf>
    <xf numFmtId="0" fontId="38" fillId="31" borderId="0" applyAlignment="1" pivotButton="0" quotePrefix="0" xfId="0">
      <alignment horizontal="left" vertical="center" wrapText="1"/>
    </xf>
    <xf numFmtId="0" fontId="26" fillId="32" borderId="0" applyAlignment="1" pivotButton="0" quotePrefix="0" xfId="0">
      <alignment horizontal="left" vertical="center"/>
    </xf>
    <xf numFmtId="0" fontId="39" fillId="33" borderId="0" applyAlignment="1" pivotButton="0" quotePrefix="0" xfId="0">
      <alignment horizontal="left" vertical="center"/>
    </xf>
    <xf numFmtId="0" fontId="40" fillId="34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left" vertical="center"/>
    </xf>
    <xf numFmtId="0" fontId="42" fillId="34" borderId="0" applyAlignment="1" pivotButton="0" quotePrefix="0" xfId="0">
      <alignment horizontal="left" vertical="center" wrapText="1"/>
    </xf>
    <xf numFmtId="0" fontId="40" fillId="30" borderId="1" applyAlignment="1" pivotButton="0" quotePrefix="0" xfId="0">
      <alignment horizontal="center" vertical="center"/>
    </xf>
    <xf numFmtId="0" fontId="41" fillId="30" borderId="1" applyAlignment="1" pivotButton="0" quotePrefix="0" xfId="0">
      <alignment horizontal="left" vertical="center"/>
    </xf>
    <xf numFmtId="0" fontId="42" fillId="30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35" fillId="15" borderId="0" applyAlignment="1" pivotButton="0" quotePrefix="0" xfId="0">
      <alignment horizontal="general" vertical="bottom"/>
    </xf>
    <xf numFmtId="0" fontId="18" fillId="21" borderId="0" applyAlignment="1" pivotButton="0" quotePrefix="0" xfId="0">
      <alignment horizontal="general" vertical="bottom"/>
    </xf>
    <xf numFmtId="0" fontId="35" fillId="19" borderId="0" applyAlignment="1" pivotButton="0" quotePrefix="0" xfId="0">
      <alignment horizontal="general" vertical="bottom"/>
    </xf>
    <xf numFmtId="0" fontId="44" fillId="2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6" fillId="28" borderId="0" applyAlignment="1" pivotButton="0" quotePrefix="0" xfId="0">
      <alignment horizontal="general" vertical="bottom"/>
    </xf>
    <xf numFmtId="0" fontId="17" fillId="21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center" vertical="center"/>
    </xf>
    <xf numFmtId="0" fontId="18" fillId="25" borderId="0" applyAlignment="1" pivotButton="0" quotePrefix="0" xfId="0">
      <alignment horizontal="center" vertical="center"/>
    </xf>
    <xf numFmtId="0" fontId="48" fillId="19" borderId="0" applyAlignment="1" pivotButton="0" quotePrefix="0" xfId="0">
      <alignment horizontal="center" vertical="center"/>
    </xf>
    <xf numFmtId="0" fontId="47" fillId="25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3" fillId="15" borderId="0" applyAlignment="1" pivotButton="0" quotePrefix="0" xfId="0">
      <alignment horizontal="left" vertical="center"/>
    </xf>
    <xf numFmtId="0" fontId="47" fillId="35" borderId="0" applyAlignment="1" pivotButton="0" quotePrefix="0" xfId="0">
      <alignment horizontal="center" vertical="center"/>
    </xf>
    <xf numFmtId="0" fontId="33" fillId="30" borderId="0" applyAlignment="1" pivotButton="0" quotePrefix="0" xfId="0">
      <alignment horizontal="left" vertical="center"/>
    </xf>
    <xf numFmtId="0" fontId="35" fillId="30" borderId="0" applyAlignment="1" pivotButton="0" quotePrefix="0" xfId="0">
      <alignment horizontal="left" vertical="center"/>
    </xf>
    <xf numFmtId="0" fontId="49" fillId="23" borderId="0" applyAlignment="1" pivotButton="0" quotePrefix="0" xfId="0">
      <alignment horizontal="left" vertical="center"/>
    </xf>
    <xf numFmtId="0" fontId="47" fillId="14" borderId="0" applyAlignment="1" pivotButton="0" quotePrefix="0" xfId="0">
      <alignment horizontal="left" vertical="center" wrapText="1"/>
    </xf>
    <xf numFmtId="0" fontId="18" fillId="36" borderId="0" applyAlignment="1" pivotButton="0" quotePrefix="0" xfId="0">
      <alignment horizontal="left" vertical="center"/>
    </xf>
    <xf numFmtId="0" fontId="50" fillId="24" borderId="0" applyAlignment="1" pivotButton="0" quotePrefix="0" xfId="0">
      <alignment horizontal="left" vertical="center" wrapText="1"/>
    </xf>
    <xf numFmtId="0" fontId="33" fillId="24" borderId="0" applyAlignment="1" pivotButton="0" quotePrefix="0" xfId="0">
      <alignment horizontal="general" vertical="bottom"/>
    </xf>
    <xf numFmtId="0" fontId="51" fillId="30" borderId="0" applyAlignment="1" pivotButton="0" quotePrefix="0" xfId="0">
      <alignment horizontal="general" vertical="bottom"/>
    </xf>
    <xf numFmtId="0" fontId="52" fillId="19" borderId="0" applyAlignment="1" pivotButton="0" quotePrefix="0" xfId="0">
      <alignment horizontal="general" vertical="bottom"/>
    </xf>
    <xf numFmtId="0" fontId="15" fillId="14" borderId="0" applyAlignment="1" pivotButton="0" quotePrefix="0" xfId="0">
      <alignment horizontal="left" vertical="center" wrapText="1"/>
    </xf>
    <xf numFmtId="0" fontId="0" fillId="14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left" vertical="center" wrapText="1"/>
    </xf>
    <xf numFmtId="0" fontId="54" fillId="37" borderId="1" applyAlignment="1" pivotButton="0" quotePrefix="0" xfId="0">
      <alignment horizontal="left" vertical="center" wrapText="1"/>
    </xf>
    <xf numFmtId="0" fontId="0" fillId="37" borderId="1" applyAlignment="1" pivotButton="0" quotePrefix="0" xfId="0">
      <alignment horizontal="general" vertical="bottom"/>
    </xf>
    <xf numFmtId="0" fontId="39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general" vertical="bottom"/>
    </xf>
    <xf numFmtId="0" fontId="55" fillId="38" borderId="1" applyAlignment="1" pivotButton="0" quotePrefix="0" xfId="0">
      <alignment horizontal="center" vertical="center" wrapText="1"/>
    </xf>
    <xf numFmtId="0" fontId="56" fillId="38" borderId="1" applyAlignment="1" pivotButton="0" quotePrefix="0" xfId="0">
      <alignment horizontal="left" vertical="center" wrapText="1"/>
    </xf>
    <xf numFmtId="0" fontId="57" fillId="38" borderId="1" applyAlignment="1" pivotButton="0" quotePrefix="0" xfId="0">
      <alignment horizontal="left" vertical="center" wrapText="1"/>
    </xf>
    <xf numFmtId="0" fontId="58" fillId="37" borderId="1" applyAlignment="1" pivotButton="0" quotePrefix="0" xfId="0">
      <alignment horizontal="left" vertical="center" wrapText="1"/>
    </xf>
    <xf numFmtId="0" fontId="59" fillId="37" borderId="1" applyAlignment="1" pivotButton="0" quotePrefix="0" xfId="0">
      <alignment horizontal="center" vertical="center" wrapText="1"/>
    </xf>
    <xf numFmtId="0" fontId="39" fillId="37" borderId="1" applyAlignment="1" pivotButton="0" quotePrefix="0" xfId="0">
      <alignment horizontal="center" vertical="center" wrapText="1"/>
    </xf>
    <xf numFmtId="0" fontId="39" fillId="37" borderId="1" applyAlignment="1" pivotButton="0" quotePrefix="0" xfId="0">
      <alignment horizontal="left" vertical="center" wrapText="1"/>
    </xf>
    <xf numFmtId="0" fontId="60" fillId="37" borderId="1" applyAlignment="1" pivotButton="0" quotePrefix="0" xfId="0">
      <alignment horizontal="left" vertical="center" wrapText="1"/>
    </xf>
    <xf numFmtId="0" fontId="61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left" vertical="center" wrapText="1"/>
    </xf>
    <xf numFmtId="0" fontId="60" fillId="33" borderId="1" applyAlignment="1" pivotButton="0" quotePrefix="0" xfId="0">
      <alignment horizontal="left" vertical="center" wrapText="1"/>
    </xf>
    <xf numFmtId="0" fontId="61" fillId="38" borderId="1" applyAlignment="1" pivotButton="0" quotePrefix="0" xfId="0">
      <alignment horizontal="center" vertical="center" wrapText="1"/>
    </xf>
    <xf numFmtId="0" fontId="39" fillId="38" borderId="1" applyAlignment="1" pivotButton="0" quotePrefix="0" xfId="0">
      <alignment horizontal="center" vertical="center" wrapText="1"/>
    </xf>
    <xf numFmtId="0" fontId="39" fillId="38" borderId="1" applyAlignment="1" pivotButton="0" quotePrefix="0" xfId="0">
      <alignment horizontal="left" vertical="center" wrapText="1"/>
    </xf>
    <xf numFmtId="0" fontId="60" fillId="38" borderId="1" applyAlignment="1" pivotButton="0" quotePrefix="0" xfId="0">
      <alignment horizontal="left" vertical="center" wrapText="1"/>
    </xf>
    <xf numFmtId="0" fontId="0" fillId="38" borderId="1" applyAlignment="1" pivotButton="0" quotePrefix="0" xfId="0">
      <alignment horizontal="general" vertical="bottom"/>
    </xf>
    <xf numFmtId="0" fontId="62" fillId="38" borderId="1" applyAlignment="1" pivotButton="0" quotePrefix="0" xfId="0">
      <alignment horizontal="left" vertical="center" wrapText="1"/>
    </xf>
    <xf numFmtId="0" fontId="0" fillId="33" borderId="1" applyAlignment="1" pivotButton="0" quotePrefix="0" xfId="0">
      <alignment horizontal="general" vertical="bottom"/>
    </xf>
    <xf numFmtId="0" fontId="63" fillId="38" borderId="1" applyAlignment="1" pivotButton="0" quotePrefix="0" xfId="0">
      <alignment horizontal="left" vertical="center" wrapText="1"/>
    </xf>
    <xf numFmtId="0" fontId="18" fillId="38" borderId="1" applyAlignment="1" pivotButton="0" quotePrefix="0" xfId="0">
      <alignment horizontal="center" vertical="center"/>
    </xf>
    <xf numFmtId="0" fontId="26" fillId="38" borderId="1" applyAlignment="1" pivotButton="0" quotePrefix="0" xfId="0">
      <alignment horizontal="center" vertical="center"/>
    </xf>
    <xf numFmtId="0" fontId="61" fillId="37" borderId="1" applyAlignment="1" pivotButton="0" quotePrefix="0" xfId="0">
      <alignment horizontal="left" vertical="center" wrapText="1"/>
    </xf>
    <xf numFmtId="0" fontId="64" fillId="37" borderId="1" applyAlignment="1" pivotButton="0" quotePrefix="0" xfId="0">
      <alignment horizontal="left" vertical="center" wrapText="1"/>
    </xf>
    <xf numFmtId="0" fontId="26" fillId="37" borderId="1" applyAlignment="1" pivotButton="0" quotePrefix="0" xfId="0">
      <alignment horizontal="center" vertical="center"/>
    </xf>
    <xf numFmtId="0" fontId="27" fillId="37" borderId="1" applyAlignment="1" pivotButton="0" quotePrefix="0" xfId="0">
      <alignment horizontal="left" vertical="center" wrapText="1"/>
    </xf>
    <xf numFmtId="0" fontId="57" fillId="37" borderId="1" applyAlignment="1" pivotButton="0" quotePrefix="0" xfId="0">
      <alignment horizontal="left" vertical="center" wrapText="1"/>
    </xf>
    <xf numFmtId="0" fontId="18" fillId="37" borderId="1" applyAlignment="1" pivotButton="0" quotePrefix="0" xfId="0">
      <alignment horizontal="left" vertical="center"/>
    </xf>
    <xf numFmtId="0" fontId="47" fillId="36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general" vertical="bottom"/>
    </xf>
    <xf numFmtId="0" fontId="47" fillId="36" borderId="0" applyAlignment="1" pivotButton="0" quotePrefix="0" xfId="0">
      <alignment horizontal="general" vertical="bottom"/>
    </xf>
    <xf numFmtId="0" fontId="52" fillId="19" borderId="0" applyAlignment="1" pivotButton="0" quotePrefix="0" xfId="0">
      <alignment horizontal="center" vertical="center"/>
    </xf>
    <xf numFmtId="0" fontId="65" fillId="28" borderId="0" applyAlignment="1" pivotButton="0" quotePrefix="0" xfId="0">
      <alignment horizontal="general" vertical="bottom"/>
    </xf>
    <xf numFmtId="0" fontId="66" fillId="15" borderId="0" applyAlignment="1" pivotButton="0" quotePrefix="0" xfId="0">
      <alignment horizontal="general" vertical="bottom"/>
    </xf>
    <xf numFmtId="0" fontId="43" fillId="30" borderId="0" applyAlignment="1" pivotButton="0" quotePrefix="0" xfId="0">
      <alignment horizontal="center" vertical="center"/>
    </xf>
    <xf numFmtId="0" fontId="46" fillId="30" borderId="0" applyAlignment="1" pivotButton="0" quotePrefix="0" xfId="0">
      <alignment horizontal="left" vertical="center"/>
    </xf>
    <xf numFmtId="0" fontId="66" fillId="30" borderId="0" applyAlignment="1" pivotButton="0" quotePrefix="0" xfId="0">
      <alignment horizontal="general" vertical="bottom"/>
    </xf>
    <xf numFmtId="0" fontId="43" fillId="15" borderId="0" applyAlignment="1" pivotButton="0" quotePrefix="0" xfId="0">
      <alignment horizontal="center" vertical="center"/>
    </xf>
    <xf numFmtId="0" fontId="34" fillId="15" borderId="0" applyAlignment="1" pivotButton="0" quotePrefix="0" xfId="0">
      <alignment horizontal="center" vertical="center"/>
    </xf>
    <xf numFmtId="0" fontId="67" fillId="15" borderId="0" applyAlignment="1" pivotButton="0" quotePrefix="0" xfId="0">
      <alignment horizontal="center" vertical="center"/>
    </xf>
    <xf numFmtId="0" fontId="34" fillId="30" borderId="0" applyAlignment="1" pivotButton="0" quotePrefix="0" xfId="0">
      <alignment horizontal="center" vertical="center"/>
    </xf>
    <xf numFmtId="0" fontId="50" fillId="18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left" vertical="center"/>
    </xf>
    <xf numFmtId="0" fontId="27" fillId="32" borderId="0" applyAlignment="1" pivotButton="0" quotePrefix="0" xfId="0">
      <alignment horizontal="left" vertical="center" wrapText="1"/>
    </xf>
    <xf numFmtId="0" fontId="26" fillId="20" borderId="0" applyAlignment="1" pivotButton="0" quotePrefix="0" xfId="0">
      <alignment horizontal="left" vertical="center"/>
    </xf>
    <xf numFmtId="0" fontId="23" fillId="22" borderId="0" applyAlignment="1" pivotButton="0" quotePrefix="0" xfId="0">
      <alignment horizontal="left" vertical="center" wrapText="1"/>
    </xf>
    <xf numFmtId="0" fontId="35" fillId="15" borderId="0" applyAlignment="1" pivotButton="0" quotePrefix="0" xfId="0">
      <alignment horizontal="left" vertical="center" wrapText="1"/>
    </xf>
    <xf numFmtId="0" fontId="68" fillId="17" borderId="0" applyAlignment="1" pivotButton="0" quotePrefix="0" xfId="0">
      <alignment horizontal="center" vertical="center" wrapText="1"/>
    </xf>
    <xf numFmtId="0" fontId="43" fillId="15" borderId="0" applyAlignment="1" pivotButton="0" quotePrefix="0" xfId="0">
      <alignment horizontal="center" vertical="center" wrapText="1"/>
    </xf>
    <xf numFmtId="0" fontId="49" fillId="22" borderId="0" applyAlignment="1" pivotButton="0" quotePrefix="0" xfId="0">
      <alignment horizontal="left" vertical="center" wrapText="1"/>
    </xf>
    <xf numFmtId="0" fontId="35" fillId="30" borderId="0" applyAlignment="1" pivotButton="0" quotePrefix="0" xfId="0">
      <alignment horizontal="left" vertical="center" wrapText="1"/>
    </xf>
    <xf numFmtId="0" fontId="43" fillId="30" borderId="0" applyAlignment="1" pivotButton="0" quotePrefix="0" xfId="0">
      <alignment horizontal="center" vertical="center" wrapText="1"/>
    </xf>
    <xf numFmtId="0" fontId="33" fillId="15" borderId="0" applyAlignment="1" pivotButton="0" quotePrefix="0" xfId="0">
      <alignment horizontal="left" vertical="center" wrapText="1"/>
    </xf>
    <xf numFmtId="0" fontId="69" fillId="15" borderId="0" applyAlignment="1" pivotButton="0" quotePrefix="0" xfId="0">
      <alignment horizontal="center" vertical="center" wrapText="1"/>
    </xf>
    <xf numFmtId="0" fontId="33" fillId="30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general" vertical="bottom"/>
    </xf>
    <xf numFmtId="0" fontId="69" fillId="24" borderId="0" applyAlignment="1" pivotButton="0" quotePrefix="0" xfId="0">
      <alignment horizontal="general" vertical="bottom" wrapText="1"/>
    </xf>
    <xf numFmtId="0" fontId="35" fillId="24" borderId="0" applyAlignment="1" pivotButton="0" quotePrefix="0" xfId="0">
      <alignment horizontal="general" vertical="bottom"/>
    </xf>
    <xf numFmtId="0" fontId="21" fillId="29" borderId="0" applyAlignment="1" pivotButton="0" quotePrefix="0" xfId="0">
      <alignment horizontal="general" vertical="bottom"/>
    </xf>
    <xf numFmtId="0" fontId="32" fillId="24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 wrapText="1"/>
    </xf>
    <xf numFmtId="0" fontId="32" fillId="15" borderId="0" applyAlignment="1" pivotButton="0" quotePrefix="0" xfId="0">
      <alignment horizontal="general" vertical="bottom"/>
    </xf>
    <xf numFmtId="0" fontId="50" fillId="20" borderId="0" applyAlignment="1" pivotButton="0" quotePrefix="0" xfId="0">
      <alignment horizontal="general" vertical="bottom"/>
    </xf>
    <xf numFmtId="0" fontId="70" fillId="13" borderId="0" applyAlignment="1" pivotButton="0" quotePrefix="0" xfId="0">
      <alignment horizontal="general" vertical="bottom"/>
    </xf>
    <xf numFmtId="0" fontId="70" fillId="3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70" fillId="26" borderId="0" applyAlignment="1" pivotButton="0" quotePrefix="0" xfId="0">
      <alignment horizontal="general" vertical="bottom"/>
    </xf>
    <xf numFmtId="0" fontId="70" fillId="39" borderId="0" applyAlignment="1" pivotButton="0" quotePrefix="0" xfId="0">
      <alignment horizontal="general" vertical="bottom"/>
    </xf>
    <xf numFmtId="0" fontId="70" fillId="36" borderId="0" applyAlignment="1" pivotButton="0" quotePrefix="0" xfId="0">
      <alignment horizontal="general" vertical="bottom"/>
    </xf>
    <xf numFmtId="0" fontId="36" fillId="14" borderId="0" applyAlignment="1" pivotButton="0" quotePrefix="0" xfId="0">
      <alignment horizontal="left" vertical="center"/>
    </xf>
    <xf numFmtId="0" fontId="27" fillId="15" borderId="0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/>
    </xf>
    <xf numFmtId="0" fontId="36" fillId="3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left" vertical="center"/>
    </xf>
    <xf numFmtId="0" fontId="32" fillId="15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33" fillId="29" borderId="0" applyAlignment="1" pivotButton="0" quotePrefix="0" xfId="0">
      <alignment horizontal="general" vertical="bottom"/>
    </xf>
    <xf numFmtId="0" fontId="35" fillId="29" borderId="0" applyAlignment="1" pivotButton="0" quotePrefix="0" xfId="0">
      <alignment horizontal="general" vertical="bottom"/>
    </xf>
    <xf numFmtId="0" fontId="32" fillId="29" borderId="0" applyAlignment="1" pivotButton="0" quotePrefix="0" xfId="0">
      <alignment horizontal="general" vertical="bottom"/>
    </xf>
    <xf numFmtId="0" fontId="50" fillId="15" borderId="0" applyAlignment="1" pivotButton="0" quotePrefix="0" xfId="0">
      <alignment horizontal="left" vertical="center"/>
    </xf>
    <xf numFmtId="0" fontId="45" fillId="14" borderId="0" applyAlignment="1" pivotButton="0" quotePrefix="0" xfId="0">
      <alignment horizontal="center" vertical="center"/>
    </xf>
    <xf numFmtId="0" fontId="71" fillId="17" borderId="0" applyAlignment="1" pivotButton="0" quotePrefix="0" xfId="0">
      <alignment horizontal="center" vertical="center"/>
    </xf>
    <xf numFmtId="0" fontId="72" fillId="17" borderId="0" applyAlignment="1" pivotButton="0" quotePrefix="0" xfId="0">
      <alignment horizontal="left" vertical="center" wrapText="1"/>
    </xf>
    <xf numFmtId="0" fontId="0" fillId="32" borderId="0" applyAlignment="1" pivotButton="0" quotePrefix="0" xfId="0">
      <alignment horizontal="left" vertical="center"/>
    </xf>
    <xf numFmtId="0" fontId="73" fillId="14" borderId="0" applyAlignment="1" pivotButton="0" quotePrefix="0" xfId="0">
      <alignment horizontal="left" vertical="center" wrapText="1"/>
    </xf>
    <xf numFmtId="0" fontId="74" fillId="13" borderId="0" applyAlignment="1" pivotButton="0" quotePrefix="0" xfId="0">
      <alignment horizontal="general" vertical="center" wrapText="1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77" fillId="0" borderId="0" applyAlignment="1" pivotButton="0" quotePrefix="0" xfId="0">
      <alignment horizontal="general" vertical="bottom"/>
    </xf>
    <xf numFmtId="0" fontId="74" fillId="26" borderId="0" applyAlignment="1" pivotButton="0" quotePrefix="0" xfId="0">
      <alignment horizontal="general" vertical="center" wrapText="1"/>
    </xf>
    <xf numFmtId="0" fontId="70" fillId="40" borderId="0" applyAlignment="1" pivotButton="0" quotePrefix="0" xfId="0">
      <alignment horizontal="left" vertical="center" wrapText="1"/>
    </xf>
    <xf numFmtId="0" fontId="78" fillId="41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center" wrapText="1"/>
    </xf>
    <xf numFmtId="0" fontId="80" fillId="14" borderId="0" applyAlignment="1" pivotButton="0" quotePrefix="0" xfId="0">
      <alignment horizontal="left" vertical="center" wrapText="1"/>
    </xf>
    <xf numFmtId="0" fontId="74" fillId="14" borderId="0" applyAlignment="1" pivotButton="0" quotePrefix="0" xfId="0">
      <alignment horizontal="left" vertical="center" wrapText="1"/>
    </xf>
    <xf numFmtId="0" fontId="81" fillId="42" borderId="0" applyAlignment="1" pivotButton="0" quotePrefix="0" xfId="0">
      <alignment horizontal="left" vertical="center" wrapText="1"/>
    </xf>
    <xf numFmtId="0" fontId="79" fillId="43" borderId="0" applyAlignment="1" pivotButton="0" quotePrefix="0" xfId="0">
      <alignment horizontal="left" vertical="center" wrapText="1"/>
    </xf>
    <xf numFmtId="0" fontId="81" fillId="14" borderId="0" applyAlignment="1" pivotButton="0" quotePrefix="0" xfId="0">
      <alignment horizontal="left" vertical="center" wrapText="1"/>
    </xf>
    <xf numFmtId="0" fontId="82" fillId="33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15" fillId="42" borderId="0" applyAlignment="1" pivotButton="0" quotePrefix="0" xfId="0">
      <alignment horizontal="left" vertical="center" wrapText="1"/>
    </xf>
    <xf numFmtId="0" fontId="0" fillId="42" borderId="0" applyAlignment="1" pivotButton="0" quotePrefix="0" xfId="0">
      <alignment horizontal="general" vertical="bottom"/>
    </xf>
    <xf numFmtId="0" fontId="85" fillId="4" borderId="2" applyAlignment="1" pivotButton="0" quotePrefix="0" xfId="0">
      <alignment horizontal="left" vertical="center" wrapText="1"/>
    </xf>
    <xf numFmtId="0" fontId="86" fillId="44" borderId="2" applyAlignment="1" pivotButton="0" quotePrefix="0" xfId="0">
      <alignment horizontal="right" vertical="center"/>
    </xf>
    <xf numFmtId="0" fontId="87" fillId="30" borderId="2" applyAlignment="1" pivotButton="0" quotePrefix="0" xfId="0">
      <alignment horizontal="left" vertical="center" wrapText="1"/>
    </xf>
    <xf numFmtId="0" fontId="88" fillId="4" borderId="2" applyAlignment="1" pivotButton="0" quotePrefix="0" xfId="0">
      <alignment horizontal="center" vertical="center" wrapText="1"/>
    </xf>
    <xf numFmtId="164" fontId="89" fillId="28" borderId="2" applyAlignment="1" pivotButton="0" quotePrefix="0" xfId="0">
      <alignment horizontal="right" vertical="center"/>
    </xf>
    <xf numFmtId="164" fontId="86" fillId="44" borderId="2" applyAlignment="1" pivotButton="0" quotePrefix="0" xfId="0">
      <alignment horizontal="right" vertical="center"/>
    </xf>
    <xf numFmtId="165" fontId="86" fillId="44" borderId="2" applyAlignment="1" pivotButton="0" quotePrefix="0" xfId="0">
      <alignment horizontal="right" vertical="center"/>
    </xf>
    <xf numFmtId="0" fontId="15" fillId="39" borderId="0" applyAlignment="1" pivotButton="0" quotePrefix="0" xfId="0">
      <alignment horizontal="left" vertical="center" wrapText="1"/>
    </xf>
    <xf numFmtId="0" fontId="0" fillId="39" borderId="0" applyAlignment="1" pivotButton="0" quotePrefix="0" xfId="0">
      <alignment horizontal="general" vertical="bottom"/>
    </xf>
    <xf numFmtId="0" fontId="85" fillId="18" borderId="2" applyAlignment="1" pivotButton="0" quotePrefix="0" xfId="0">
      <alignment horizontal="left" vertical="center" wrapText="1"/>
    </xf>
    <xf numFmtId="0" fontId="90" fillId="30" borderId="2" applyAlignment="1" pivotButton="0" quotePrefix="0" xfId="0">
      <alignment horizontal="left" vertical="center" wrapText="1"/>
    </xf>
    <xf numFmtId="0" fontId="84" fillId="30" borderId="2" applyAlignment="1" pivotButton="0" quotePrefix="0" xfId="0">
      <alignment horizontal="left" vertical="center" wrapText="1"/>
    </xf>
    <xf numFmtId="0" fontId="85" fillId="18" borderId="2" applyAlignment="1" pivotButton="0" quotePrefix="0" xfId="0">
      <alignment horizontal="center" vertical="center" wrapText="1"/>
    </xf>
    <xf numFmtId="0" fontId="15" fillId="25" borderId="0" applyAlignment="1" pivotButton="0" quotePrefix="0" xfId="0">
      <alignment horizontal="left" vertical="center" wrapText="1"/>
    </xf>
    <xf numFmtId="0" fontId="0" fillId="25" borderId="0" applyAlignment="1" pivotButton="0" quotePrefix="0" xfId="0">
      <alignment horizontal="general" vertical="bottom"/>
    </xf>
    <xf numFmtId="0" fontId="70" fillId="25" borderId="2" applyAlignment="1" pivotButton="0" quotePrefix="0" xfId="0">
      <alignment horizontal="left" vertical="center" wrapText="1"/>
    </xf>
    <xf numFmtId="0" fontId="85" fillId="45" borderId="2" applyAlignment="1" pivotButton="0" quotePrefix="0" xfId="0">
      <alignment horizontal="left" vertical="center" wrapText="1"/>
    </xf>
    <xf numFmtId="0" fontId="91" fillId="30" borderId="2" applyAlignment="1" pivotButton="0" quotePrefix="0" xfId="0">
      <alignment horizontal="left" vertical="center" wrapText="1"/>
    </xf>
    <xf numFmtId="0" fontId="15" fillId="21" borderId="0" applyAlignment="1" pivotButton="0" quotePrefix="0" xfId="0">
      <alignment horizontal="left" vertical="center" wrapText="1"/>
    </xf>
    <xf numFmtId="0" fontId="0" fillId="21" borderId="0" applyAlignment="1" pivotButton="0" quotePrefix="0" xfId="0">
      <alignment horizontal="general" vertical="bottom"/>
    </xf>
    <xf numFmtId="165" fontId="89" fillId="28" borderId="2" applyAlignment="1" pivotButton="0" quotePrefix="0" xfId="0">
      <alignment horizontal="center" vertical="center" wrapText="1"/>
    </xf>
    <xf numFmtId="1" fontId="89" fillId="28" borderId="2" applyAlignment="1" pivotButton="0" quotePrefix="0" xfId="0">
      <alignment horizontal="center" vertical="center" wrapText="1"/>
    </xf>
    <xf numFmtId="0" fontId="92" fillId="30" borderId="2" applyAlignment="1" pivotButton="0" quotePrefix="0" xfId="0">
      <alignment horizontal="left" vertical="center" wrapText="1"/>
    </xf>
    <xf numFmtId="0" fontId="93" fillId="45" borderId="2" applyAlignment="1" pivotButton="0" quotePrefix="0" xfId="0">
      <alignment horizontal="left" vertical="center" wrapText="1"/>
    </xf>
    <xf numFmtId="164" fontId="93" fillId="45" borderId="2" applyAlignment="1" pivotButton="0" quotePrefix="0" xfId="0">
      <alignment horizontal="right" vertical="center"/>
    </xf>
    <xf numFmtId="166" fontId="93" fillId="45" borderId="2" applyAlignment="1" pivotButton="0" quotePrefix="0" xfId="0">
      <alignment horizontal="right" vertical="center"/>
    </xf>
    <xf numFmtId="0" fontId="15" fillId="46" borderId="0" applyAlignment="1" pivotButton="0" quotePrefix="0" xfId="0">
      <alignment horizontal="left" vertical="center" wrapText="1"/>
    </xf>
    <xf numFmtId="0" fontId="0" fillId="46" borderId="0" applyAlignment="1" pivotButton="0" quotePrefix="0" xfId="0">
      <alignment horizontal="general" vertical="bottom"/>
    </xf>
    <xf numFmtId="0" fontId="70" fillId="42" borderId="2" applyAlignment="1" pivotButton="0" quotePrefix="0" xfId="0">
      <alignment horizontal="left" vertical="center" wrapText="1"/>
    </xf>
    <xf numFmtId="0" fontId="70" fillId="42" borderId="2" applyAlignment="1" pivotButton="0" quotePrefix="0" xfId="0">
      <alignment horizontal="right" vertical="center"/>
    </xf>
    <xf numFmtId="0" fontId="94" fillId="42" borderId="2" applyAlignment="1" pivotButton="0" quotePrefix="0" xfId="0">
      <alignment horizontal="left" vertical="center" wrapText="1"/>
    </xf>
    <xf numFmtId="0" fontId="91" fillId="30" borderId="2" applyAlignment="1" pivotButton="0" quotePrefix="0" xfId="0">
      <alignment horizontal="center" vertical="center" wrapText="1"/>
    </xf>
    <xf numFmtId="164" fontId="95" fillId="28" borderId="2" applyAlignment="1" pivotButton="0" quotePrefix="0" xfId="0">
      <alignment horizontal="right" vertical="center"/>
    </xf>
    <xf numFmtId="0" fontId="86" fillId="44" borderId="2" applyAlignment="1" pivotButton="0" quotePrefix="0" xfId="0">
      <alignment horizontal="left" vertical="center" wrapText="1"/>
    </xf>
    <xf numFmtId="0" fontId="85" fillId="30" borderId="2" applyAlignment="1" pivotButton="0" quotePrefix="0" xfId="0">
      <alignment horizontal="center" vertical="center" wrapText="1"/>
    </xf>
    <xf numFmtId="0" fontId="15" fillId="33" borderId="0" applyAlignment="1" pivotButton="0" quotePrefix="0" xfId="0">
      <alignment horizontal="left" vertical="center" wrapText="1"/>
    </xf>
    <xf numFmtId="0" fontId="0" fillId="33" borderId="0" applyAlignment="1" pivotButton="0" quotePrefix="0" xfId="0">
      <alignment horizontal="general" vertical="bottom"/>
    </xf>
    <xf numFmtId="9" fontId="86" fillId="44" borderId="2" applyAlignment="1" pivotButton="0" quotePrefix="0" xfId="0">
      <alignment horizontal="center" vertical="center" wrapText="1"/>
    </xf>
    <xf numFmtId="0" fontId="85" fillId="44" borderId="2" applyAlignment="1" pivotButton="0" quotePrefix="0" xfId="0">
      <alignment horizontal="left" vertical="center" wrapText="1"/>
    </xf>
    <xf numFmtId="0" fontId="96" fillId="30" borderId="2" applyAlignment="1" pivotButton="0" quotePrefix="0" xfId="0">
      <alignment horizontal="left" vertical="center" wrapText="1"/>
    </xf>
    <xf numFmtId="0" fontId="97" fillId="45" borderId="2" applyAlignment="1" pivotButton="0" quotePrefix="0" xfId="0">
      <alignment horizontal="left" vertical="center" wrapText="1"/>
    </xf>
    <xf numFmtId="0" fontId="98" fillId="44" borderId="2" applyAlignment="1" pivotButton="0" quotePrefix="0" xfId="0">
      <alignment horizontal="left" vertical="center" wrapText="1"/>
    </xf>
    <xf numFmtId="0" fontId="99" fillId="30" borderId="2" applyAlignment="1" pivotButton="0" quotePrefix="0" xfId="0">
      <alignment horizontal="left" vertical="center" wrapText="1"/>
    </xf>
    <xf numFmtId="0" fontId="100" fillId="3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/>
    </xf>
    <xf numFmtId="0" fontId="47" fillId="40" borderId="3" applyAlignment="1" pivotButton="0" quotePrefix="0" xfId="0">
      <alignment horizontal="center" vertical="center" wrapText="1"/>
    </xf>
    <xf numFmtId="0" fontId="47" fillId="40" borderId="4" applyAlignment="1" pivotButton="0" quotePrefix="0" xfId="0">
      <alignment horizontal="center" vertical="center" wrapText="1"/>
    </xf>
    <xf numFmtId="0" fontId="47" fillId="40" borderId="5" applyAlignment="1" pivotButton="0" quotePrefix="0" xfId="0">
      <alignment horizontal="center" vertical="center" wrapText="1"/>
    </xf>
    <xf numFmtId="0" fontId="101" fillId="30" borderId="6" applyAlignment="1" pivotButton="0" quotePrefix="0" xfId="0">
      <alignment horizontal="left" vertical="center" wrapText="1"/>
    </xf>
    <xf numFmtId="0" fontId="101" fillId="30" borderId="7" applyAlignment="1" pivotButton="0" quotePrefix="0" xfId="0">
      <alignment horizontal="left" vertical="center" wrapText="1"/>
    </xf>
    <xf numFmtId="164" fontId="101" fillId="30" borderId="7" applyAlignment="1" pivotButton="0" quotePrefix="0" xfId="0">
      <alignment horizontal="left" vertical="center" wrapText="1"/>
    </xf>
    <xf numFmtId="167" fontId="101" fillId="30" borderId="7" applyAlignment="1" pivotButton="0" quotePrefix="0" xfId="0">
      <alignment horizontal="left" vertical="center" wrapText="1"/>
    </xf>
    <xf numFmtId="168" fontId="101" fillId="30" borderId="7" applyAlignment="1" pivotButton="0" quotePrefix="0" xfId="0">
      <alignment horizontal="left" vertical="center" wrapText="1"/>
    </xf>
    <xf numFmtId="0" fontId="0" fillId="30" borderId="7" applyAlignment="1" pivotButton="0" quotePrefix="0" xfId="0">
      <alignment horizontal="left" vertical="center" wrapText="1"/>
    </xf>
    <xf numFmtId="0" fontId="0" fillId="30" borderId="8" applyAlignment="1" pivotButton="0" quotePrefix="0" xfId="0">
      <alignment horizontal="left" vertical="center" wrapText="1"/>
    </xf>
    <xf numFmtId="0" fontId="101" fillId="8" borderId="6" applyAlignment="1" pivotButton="0" quotePrefix="0" xfId="0">
      <alignment horizontal="left" vertical="center" wrapText="1"/>
    </xf>
    <xf numFmtId="0" fontId="101" fillId="8" borderId="7" applyAlignment="1" pivotButton="0" quotePrefix="0" xfId="0">
      <alignment horizontal="left" vertical="center" wrapText="1"/>
    </xf>
    <xf numFmtId="164" fontId="101" fillId="8" borderId="7" applyAlignment="1" pivotButton="0" quotePrefix="0" xfId="0">
      <alignment horizontal="left" vertical="center" wrapText="1"/>
    </xf>
    <xf numFmtId="167" fontId="101" fillId="8" borderId="7" applyAlignment="1" pivotButton="0" quotePrefix="0" xfId="0">
      <alignment horizontal="left" vertical="center" wrapText="1"/>
    </xf>
    <xf numFmtId="168" fontId="101" fillId="8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8" borderId="8" applyAlignment="1" pivotButton="0" quotePrefix="0" xfId="0">
      <alignment horizontal="left" vertical="center" wrapText="1"/>
    </xf>
    <xf numFmtId="0" fontId="102" fillId="8" borderId="6" applyAlignment="1" pivotButton="0" quotePrefix="0" xfId="0">
      <alignment horizontal="left" vertical="center" wrapText="1"/>
    </xf>
    <xf numFmtId="0" fontId="102" fillId="8" borderId="7" applyAlignment="1" pivotButton="0" quotePrefix="0" xfId="0">
      <alignment horizontal="left" vertical="center" wrapText="1"/>
    </xf>
    <xf numFmtId="164" fontId="102" fillId="8" borderId="7" applyAlignment="1" pivotButton="0" quotePrefix="0" xfId="0">
      <alignment horizontal="left" vertical="center" wrapText="1"/>
    </xf>
    <xf numFmtId="167" fontId="102" fillId="8" borderId="7" applyAlignment="1" pivotButton="0" quotePrefix="0" xfId="0">
      <alignment horizontal="left" vertical="center" wrapText="1"/>
    </xf>
    <xf numFmtId="168" fontId="102" fillId="8" borderId="7" applyAlignment="1" pivotButton="0" quotePrefix="0" xfId="0">
      <alignment horizontal="left" vertical="center" wrapText="1"/>
    </xf>
    <xf numFmtId="0" fontId="102" fillId="30" borderId="6" applyAlignment="1" pivotButton="0" quotePrefix="0" xfId="0">
      <alignment horizontal="left" vertical="center" wrapText="1"/>
    </xf>
    <xf numFmtId="0" fontId="102" fillId="30" borderId="7" applyAlignment="1" pivotButton="0" quotePrefix="0" xfId="0">
      <alignment horizontal="left" vertical="center" wrapText="1"/>
    </xf>
    <xf numFmtId="164" fontId="102" fillId="30" borderId="7" applyAlignment="1" pivotButton="0" quotePrefix="0" xfId="0">
      <alignment horizontal="left" vertical="center" wrapText="1"/>
    </xf>
    <xf numFmtId="167" fontId="102" fillId="30" borderId="7" applyAlignment="1" pivotButton="0" quotePrefix="0" xfId="0">
      <alignment horizontal="left" vertical="center" wrapText="1"/>
    </xf>
    <xf numFmtId="168" fontId="102" fillId="30" borderId="7" applyAlignment="1" pivotButton="0" quotePrefix="0" xfId="0">
      <alignment horizontal="left" vertical="center" wrapText="1"/>
    </xf>
    <xf numFmtId="0" fontId="0" fillId="8" borderId="6" applyAlignment="1" pivotButton="0" quotePrefix="0" xfId="0">
      <alignment horizontal="left" vertical="center" wrapText="1"/>
    </xf>
    <xf numFmtId="164" fontId="0" fillId="8" borderId="7" applyAlignment="1" pivotButton="0" quotePrefix="0" xfId="0">
      <alignment horizontal="left" vertical="center" wrapText="1"/>
    </xf>
    <xf numFmtId="167" fontId="0" fillId="8" borderId="7" applyAlignment="1" pivotButton="0" quotePrefix="0" xfId="0">
      <alignment horizontal="left" vertical="center" wrapText="1"/>
    </xf>
    <xf numFmtId="168" fontId="0" fillId="8" borderId="7" applyAlignment="1" pivotButton="0" quotePrefix="0" xfId="0">
      <alignment horizontal="left" vertical="center" wrapText="1"/>
    </xf>
    <xf numFmtId="0" fontId="103" fillId="8" borderId="9" applyAlignment="1" pivotButton="0" quotePrefix="0" xfId="0">
      <alignment horizontal="center" vertical="center"/>
    </xf>
    <xf numFmtId="0" fontId="104" fillId="8" borderId="6" applyAlignment="1" pivotButton="0" quotePrefix="0" xfId="0">
      <alignment horizontal="left" vertical="center" wrapText="1"/>
    </xf>
    <xf numFmtId="0" fontId="31" fillId="8" borderId="7" applyAlignment="1" pivotButton="0" quotePrefix="0" xfId="0">
      <alignment horizontal="left" vertical="center" wrapText="1"/>
    </xf>
    <xf numFmtId="0" fontId="104" fillId="8" borderId="7" applyAlignment="1" pivotButton="0" quotePrefix="0" xfId="0">
      <alignment horizontal="left" vertical="center" wrapText="1"/>
    </xf>
    <xf numFmtId="164" fontId="104" fillId="8" borderId="7" applyAlignment="1" pivotButton="0" quotePrefix="0" xfId="0">
      <alignment horizontal="left" vertical="center" wrapText="1"/>
    </xf>
    <xf numFmtId="167" fontId="104" fillId="8" borderId="7" applyAlignment="1" pivotButton="0" quotePrefix="0" xfId="0">
      <alignment horizontal="left" vertical="center" wrapText="1"/>
    </xf>
    <xf numFmtId="168" fontId="104" fillId="8" borderId="7" applyAlignment="1" pivotButton="0" quotePrefix="0" xfId="0">
      <alignment horizontal="left" vertical="center" wrapText="1"/>
    </xf>
    <xf numFmtId="0" fontId="104" fillId="8" borderId="8" applyAlignment="1" pivotButton="0" quotePrefix="0" xfId="0">
      <alignment horizontal="left" vertical="center" wrapText="1"/>
    </xf>
    <xf numFmtId="0" fontId="104" fillId="30" borderId="6" applyAlignment="1" pivotButton="0" quotePrefix="0" xfId="0">
      <alignment horizontal="left" vertical="center" wrapText="1"/>
    </xf>
    <xf numFmtId="0" fontId="31" fillId="30" borderId="7" applyAlignment="1" pivotButton="0" quotePrefix="0" xfId="0">
      <alignment horizontal="left" vertical="center" wrapText="1"/>
    </xf>
    <xf numFmtId="0" fontId="104" fillId="30" borderId="7" applyAlignment="1" pivotButton="0" quotePrefix="0" xfId="0">
      <alignment horizontal="left" vertical="center" wrapText="1"/>
    </xf>
    <xf numFmtId="164" fontId="104" fillId="30" borderId="7" applyAlignment="1" pivotButton="0" quotePrefix="0" xfId="0">
      <alignment horizontal="left" vertical="center" wrapText="1"/>
    </xf>
    <xf numFmtId="167" fontId="104" fillId="30" borderId="7" applyAlignment="1" pivotButton="0" quotePrefix="0" xfId="0">
      <alignment horizontal="left" vertical="center" wrapText="1"/>
    </xf>
    <xf numFmtId="168" fontId="104" fillId="30" borderId="7" applyAlignment="1" pivotButton="0" quotePrefix="0" xfId="0">
      <alignment horizontal="left" vertical="center" wrapText="1"/>
    </xf>
    <xf numFmtId="0" fontId="104" fillId="30" borderId="8" applyAlignment="1" pivotButton="0" quotePrefix="0" xfId="0">
      <alignment horizontal="left" vertical="center" wrapText="1"/>
    </xf>
    <xf numFmtId="0" fontId="105" fillId="8" borderId="6" applyAlignment="1" pivotButton="0" quotePrefix="0" xfId="0">
      <alignment horizontal="left" vertical="center" wrapText="1"/>
    </xf>
    <xf numFmtId="0" fontId="105" fillId="8" borderId="7" applyAlignment="1" pivotButton="0" quotePrefix="0" xfId="0">
      <alignment horizontal="left" vertical="center" wrapText="1"/>
    </xf>
    <xf numFmtId="164" fontId="105" fillId="8" borderId="7" applyAlignment="1" pivotButton="0" quotePrefix="0" xfId="0">
      <alignment horizontal="left" vertical="center" wrapText="1"/>
    </xf>
    <xf numFmtId="167" fontId="105" fillId="8" borderId="7" applyAlignment="1" pivotButton="0" quotePrefix="0" xfId="0">
      <alignment horizontal="left" vertical="center" wrapText="1"/>
    </xf>
    <xf numFmtId="168" fontId="105" fillId="8" borderId="7" applyAlignment="1" pivotButton="0" quotePrefix="0" xfId="0">
      <alignment horizontal="left" vertical="center" wrapText="1"/>
    </xf>
    <xf numFmtId="0" fontId="105" fillId="8" borderId="8" applyAlignment="1" pivotButton="0" quotePrefix="0" xfId="0">
      <alignment horizontal="left" vertical="center" wrapText="1"/>
    </xf>
    <xf numFmtId="0" fontId="0" fillId="30" borderId="6" applyAlignment="1" pivotButton="0" quotePrefix="0" xfId="0">
      <alignment horizontal="left" vertical="center" wrapText="1"/>
    </xf>
    <xf numFmtId="164" fontId="0" fillId="30" borderId="7" applyAlignment="1" pivotButton="0" quotePrefix="0" xfId="0">
      <alignment horizontal="left" vertical="center" wrapText="1"/>
    </xf>
    <xf numFmtId="167" fontId="0" fillId="30" borderId="7" applyAlignment="1" pivotButton="0" quotePrefix="0" xfId="0">
      <alignment horizontal="left" vertical="center" wrapText="1"/>
    </xf>
    <xf numFmtId="168" fontId="0" fillId="3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general" vertical="bottom"/>
    </xf>
    <xf numFmtId="0" fontId="18" fillId="8" borderId="6" applyAlignment="1" pivotButton="0" quotePrefix="0" xfId="0">
      <alignment horizontal="left" vertical="center" wrapText="1"/>
    </xf>
    <xf numFmtId="0" fontId="18" fillId="8" borderId="7" applyAlignment="1" pivotButton="0" quotePrefix="0" xfId="0">
      <alignment horizontal="left" vertical="center" wrapText="1"/>
    </xf>
    <xf numFmtId="0" fontId="26" fillId="30" borderId="6" applyAlignment="1" pivotButton="0" quotePrefix="0" xfId="0">
      <alignment horizontal="left" vertical="center" wrapText="1"/>
    </xf>
    <xf numFmtId="0" fontId="26" fillId="30" borderId="7" applyAlignment="1" pivotButton="0" quotePrefix="0" xfId="0">
      <alignment horizontal="left" vertical="center" wrapText="1"/>
    </xf>
    <xf numFmtId="0" fontId="27" fillId="30" borderId="7" applyAlignment="1" pivotButton="0" quotePrefix="0" xfId="0">
      <alignment horizontal="left" vertical="center" wrapText="1"/>
    </xf>
    <xf numFmtId="0" fontId="26" fillId="8" borderId="6" applyAlignment="1" pivotButton="0" quotePrefix="0" xfId="0">
      <alignment horizontal="left" vertical="center" wrapText="1"/>
    </xf>
    <xf numFmtId="0" fontId="26" fillId="8" borderId="7" applyAlignment="1" pivotButton="0" quotePrefix="0" xfId="0">
      <alignment horizontal="left" vertical="center" wrapText="1"/>
    </xf>
    <xf numFmtId="0" fontId="27" fillId="8" borderId="7" applyAlignment="1" pivotButton="0" quotePrefix="0" xfId="0">
      <alignment horizontal="left" vertical="center" wrapText="1"/>
    </xf>
    <xf numFmtId="0" fontId="17" fillId="8" borderId="6" applyAlignment="1" pivotButton="0" quotePrefix="0" xfId="0">
      <alignment horizontal="left" vertical="center" wrapText="1"/>
    </xf>
    <xf numFmtId="0" fontId="32" fillId="30" borderId="6" applyAlignment="1" pivotButton="0" quotePrefix="0" xfId="0">
      <alignment horizontal="left" vertical="center" wrapText="1"/>
    </xf>
    <xf numFmtId="0" fontId="47" fillId="8" borderId="6" applyAlignment="1" pivotButton="0" quotePrefix="0" xfId="0">
      <alignment horizontal="left" vertical="center" wrapText="1"/>
    </xf>
    <xf numFmtId="0" fontId="47" fillId="8" borderId="7" applyAlignment="1" pivotButton="0" quotePrefix="0" xfId="0">
      <alignment horizontal="left" vertical="center" wrapText="1"/>
    </xf>
    <xf numFmtId="164" fontId="47" fillId="8" borderId="7" applyAlignment="1" pivotButton="0" quotePrefix="0" xfId="0">
      <alignment horizontal="left" vertical="center" wrapText="1"/>
    </xf>
    <xf numFmtId="167" fontId="47" fillId="8" borderId="7" applyAlignment="1" pivotButton="0" quotePrefix="0" xfId="0">
      <alignment horizontal="left" vertical="center" wrapText="1"/>
    </xf>
    <xf numFmtId="168" fontId="47" fillId="8" borderId="7" applyAlignment="1" pivotButton="0" quotePrefix="0" xfId="0">
      <alignment horizontal="left" vertical="center" wrapText="1"/>
    </xf>
    <xf numFmtId="0" fontId="33" fillId="30" borderId="6" applyAlignment="1" pivotButton="0" quotePrefix="0" xfId="0">
      <alignment horizontal="left" vertical="center" wrapText="1"/>
    </xf>
    <xf numFmtId="0" fontId="35" fillId="30" borderId="7" applyAlignment="1" pivotButton="0" quotePrefix="0" xfId="0">
      <alignment horizontal="left" vertical="center" wrapText="1"/>
    </xf>
    <xf numFmtId="164" fontId="35" fillId="30" borderId="7" applyAlignment="1" pivotButton="0" quotePrefix="0" xfId="0">
      <alignment horizontal="left" vertical="center" wrapText="1"/>
    </xf>
    <xf numFmtId="167" fontId="106" fillId="30" borderId="7" applyAlignment="1" pivotButton="0" quotePrefix="0" xfId="0">
      <alignment horizontal="left" vertical="center" wrapText="1"/>
    </xf>
    <xf numFmtId="0" fontId="33" fillId="30" borderId="7" applyAlignment="1" pivotButton="0" quotePrefix="0" xfId="0">
      <alignment horizontal="left" vertical="center" wrapText="1"/>
    </xf>
    <xf numFmtId="168" fontId="106" fillId="30" borderId="7" applyAlignment="1" pivotButton="0" quotePrefix="0" xfId="0">
      <alignment horizontal="left" vertical="center" wrapText="1"/>
    </xf>
    <xf numFmtId="0" fontId="33" fillId="8" borderId="6" applyAlignment="1" pivotButton="0" quotePrefix="0" xfId="0">
      <alignment horizontal="left" vertical="center" wrapText="1"/>
    </xf>
    <xf numFmtId="0" fontId="35" fillId="8" borderId="7" applyAlignment="1" pivotButton="0" quotePrefix="0" xfId="0">
      <alignment horizontal="left" vertical="center" wrapText="1"/>
    </xf>
    <xf numFmtId="164" fontId="35" fillId="8" borderId="7" applyAlignment="1" pivotButton="0" quotePrefix="0" xfId="0">
      <alignment horizontal="left" vertical="center" wrapText="1"/>
    </xf>
    <xf numFmtId="167" fontId="106" fillId="8" borderId="7" applyAlignment="1" pivotButton="0" quotePrefix="0" xfId="0">
      <alignment horizontal="left" vertical="center" wrapText="1"/>
    </xf>
    <xf numFmtId="0" fontId="33" fillId="8" borderId="7" applyAlignment="1" pivotButton="0" quotePrefix="0" xfId="0">
      <alignment horizontal="left" vertical="center" wrapText="1"/>
    </xf>
    <xf numFmtId="168" fontId="106" fillId="8" borderId="7" applyAlignment="1" pivotButton="0" quotePrefix="0" xfId="0">
      <alignment horizontal="left" vertical="center" wrapText="1"/>
    </xf>
    <xf numFmtId="0" fontId="106" fillId="30" borderId="7" applyAlignment="1" pivotButton="0" quotePrefix="0" xfId="0">
      <alignment horizontal="left" vertical="center" wrapText="1"/>
    </xf>
    <xf numFmtId="0" fontId="106" fillId="8" borderId="7" applyAlignment="1" pivotButton="0" quotePrefix="0" xfId="0">
      <alignment horizontal="left" vertical="center" wrapText="1"/>
    </xf>
    <xf numFmtId="0" fontId="50" fillId="8" borderId="10" applyAlignment="1" pivotButton="0" quotePrefix="0" xfId="0">
      <alignment horizontal="left" vertical="center" wrapText="1"/>
    </xf>
    <xf numFmtId="0" fontId="0" fillId="8" borderId="11" applyAlignment="1" pivotButton="0" quotePrefix="0" xfId="0">
      <alignment horizontal="left" vertical="center" wrapText="1"/>
    </xf>
    <xf numFmtId="0" fontId="15" fillId="33" borderId="2" applyAlignment="1" pivotButton="0" quotePrefix="0" xfId="0">
      <alignment horizontal="left" vertical="center" wrapText="1"/>
    </xf>
    <xf numFmtId="0" fontId="0" fillId="33" borderId="2" applyAlignment="1" pivotButton="0" quotePrefix="0" xfId="0">
      <alignment horizontal="general" vertical="bottom"/>
    </xf>
    <xf numFmtId="0" fontId="70" fillId="33" borderId="2" applyAlignment="1" pivotButton="0" quotePrefix="0" xfId="0">
      <alignment horizontal="center" vertical="center" wrapText="1"/>
    </xf>
    <xf numFmtId="0" fontId="85" fillId="28" borderId="2" applyAlignment="1" pivotButton="0" quotePrefix="0" xfId="0">
      <alignment horizontal="center" vertical="center" wrapText="1"/>
    </xf>
    <xf numFmtId="0" fontId="91" fillId="28" borderId="2" applyAlignment="1" pivotButton="0" quotePrefix="0" xfId="0">
      <alignment horizontal="left" vertical="center" wrapText="1"/>
    </xf>
    <xf numFmtId="0" fontId="107" fillId="28" borderId="2" applyAlignment="1" pivotButton="0" quotePrefix="0" xfId="0">
      <alignment horizontal="left" vertical="center" wrapText="1"/>
    </xf>
    <xf numFmtId="0" fontId="85" fillId="44" borderId="2" applyAlignment="1" pivotButton="0" quotePrefix="0" xfId="0">
      <alignment horizontal="center" vertical="center" wrapText="1"/>
    </xf>
    <xf numFmtId="0" fontId="91" fillId="44" borderId="2" applyAlignment="1" pivotButton="0" quotePrefix="0" xfId="0">
      <alignment horizontal="left" vertical="center" wrapText="1"/>
    </xf>
    <xf numFmtId="0" fontId="108" fillId="23" borderId="2" applyAlignment="1" pivotButton="0" quotePrefix="0" xfId="0">
      <alignment horizontal="center" vertical="center" wrapText="1"/>
    </xf>
    <xf numFmtId="0" fontId="15" fillId="42" borderId="2" applyAlignment="1" pivotButton="0" quotePrefix="0" xfId="0">
      <alignment horizontal="left" vertical="center" wrapText="1"/>
    </xf>
    <xf numFmtId="0" fontId="0" fillId="42" borderId="2" applyAlignment="1" pivotButton="0" quotePrefix="0" xfId="0">
      <alignment horizontal="general" vertical="bottom"/>
    </xf>
    <xf numFmtId="0" fontId="70" fillId="42" borderId="2" applyAlignment="1" pivotButton="0" quotePrefix="0" xfId="0">
      <alignment horizontal="center" vertical="center" wrapText="1"/>
    </xf>
    <xf numFmtId="0" fontId="91" fillId="4" borderId="2" applyAlignment="1" pivotButton="0" quotePrefix="0" xfId="0">
      <alignment horizontal="center" vertical="center" wrapText="1"/>
    </xf>
    <xf numFmtId="0" fontId="74" fillId="40" borderId="0" applyAlignment="1" pivotButton="0" quotePrefix="0" xfId="0">
      <alignment horizontal="left" vertical="center" wrapText="1"/>
    </xf>
    <xf numFmtId="0" fontId="6" fillId="40" borderId="0" applyAlignment="1" pivotButton="0" quotePrefix="0" xfId="0">
      <alignment horizontal="left" vertical="center" wrapText="1"/>
    </xf>
    <xf numFmtId="0" fontId="17" fillId="47" borderId="0" applyAlignment="1" pivotButton="0" quotePrefix="0" xfId="0">
      <alignment horizontal="left" vertical="center" wrapText="1"/>
    </xf>
    <xf numFmtId="0" fontId="26" fillId="43" borderId="0" applyAlignment="1" pivotButton="0" quotePrefix="0" xfId="0">
      <alignment horizontal="left" vertical="center" wrapText="1"/>
    </xf>
    <xf numFmtId="0" fontId="27" fillId="43" borderId="0" applyAlignment="1" pivotButton="0" quotePrefix="0" xfId="0">
      <alignment horizontal="left" vertical="center" wrapText="1"/>
    </xf>
    <xf numFmtId="0" fontId="18" fillId="33" borderId="0" applyAlignment="1" pivotButton="0" quotePrefix="0" xfId="0">
      <alignment horizontal="center" vertical="center" wrapText="1"/>
    </xf>
    <xf numFmtId="0" fontId="27" fillId="48" borderId="0" applyAlignment="1" pivotButton="0" quotePrefix="0" xfId="0">
      <alignment horizontal="left" vertical="center" wrapText="1"/>
    </xf>
    <xf numFmtId="0" fontId="26" fillId="48" borderId="0" applyAlignment="1" pivotButton="0" quotePrefix="0" xfId="0">
      <alignment horizontal="left" vertical="center" wrapText="1"/>
    </xf>
    <xf numFmtId="0" fontId="109" fillId="48" borderId="0" applyAlignment="1" pivotButton="0" quotePrefix="0" xfId="0">
      <alignment horizontal="left" vertical="center" wrapText="1"/>
    </xf>
    <xf numFmtId="0" fontId="27" fillId="28" borderId="0" applyAlignment="1" pivotButton="0" quotePrefix="0" xfId="0">
      <alignment horizontal="left" vertical="center" wrapText="1"/>
    </xf>
    <xf numFmtId="0" fontId="27" fillId="19" borderId="0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left" vertical="center" wrapText="1"/>
    </xf>
    <xf numFmtId="0" fontId="109" fillId="23" borderId="0" applyAlignment="1" pivotButton="0" quotePrefix="0" xfId="0">
      <alignment horizontal="left" vertical="center" wrapText="1"/>
    </xf>
    <xf numFmtId="0" fontId="27" fillId="30" borderId="0" applyAlignment="1" pivotButton="0" quotePrefix="0" xfId="0">
      <alignment horizontal="left" vertical="center" wrapText="1"/>
    </xf>
    <xf numFmtId="0" fontId="26" fillId="30" borderId="0" applyAlignment="1" pivotButton="0" quotePrefix="0" xfId="0">
      <alignment horizontal="left" vertical="center" wrapText="1"/>
    </xf>
    <xf numFmtId="0" fontId="109" fillId="30" borderId="0" applyAlignment="1" pivotButton="0" quotePrefix="0" xfId="0">
      <alignment horizontal="left" vertical="center" wrapText="1"/>
    </xf>
    <xf numFmtId="0" fontId="110" fillId="34" borderId="1" applyAlignment="1" pivotButton="0" quotePrefix="0" xfId="0">
      <alignment horizontal="left" vertical="center"/>
    </xf>
    <xf numFmtId="0" fontId="111" fillId="34" borderId="1" applyAlignment="1" pivotButton="0" quotePrefix="0" xfId="0">
      <alignment horizontal="left" vertical="center"/>
    </xf>
    <xf numFmtId="0" fontId="37" fillId="34" borderId="1" applyAlignment="1" pivotButton="0" quotePrefix="0" xfId="0">
      <alignment horizontal="left" vertical="center"/>
    </xf>
    <xf numFmtId="0" fontId="112" fillId="34" borderId="1" applyAlignment="1" pivotButton="0" quotePrefix="0" xfId="0">
      <alignment horizontal="left" vertical="center"/>
    </xf>
    <xf numFmtId="0" fontId="113" fillId="34" borderId="0" applyAlignment="1" pivotButton="0" quotePrefix="0" xfId="0">
      <alignment horizontal="left" vertical="center" wrapText="1"/>
    </xf>
    <xf numFmtId="0" fontId="114" fillId="34" borderId="1" applyAlignment="1" pivotButton="0" quotePrefix="0" xfId="0">
      <alignment horizontal="left" vertical="center"/>
    </xf>
    <xf numFmtId="0" fontId="110" fillId="30" borderId="1" applyAlignment="1" pivotButton="0" quotePrefix="0" xfId="0">
      <alignment horizontal="left" vertical="center"/>
    </xf>
    <xf numFmtId="0" fontId="111" fillId="30" borderId="1" applyAlignment="1" pivotButton="0" quotePrefix="0" xfId="0">
      <alignment horizontal="left" vertical="center"/>
    </xf>
    <xf numFmtId="0" fontId="115" fillId="30" borderId="1" applyAlignment="1" pivotButton="0" quotePrefix="0" xfId="0">
      <alignment horizontal="left" vertical="center"/>
    </xf>
    <xf numFmtId="0" fontId="112" fillId="30" borderId="1" applyAlignment="1" pivotButton="0" quotePrefix="0" xfId="0">
      <alignment horizontal="left" vertical="center"/>
    </xf>
    <xf numFmtId="0" fontId="113" fillId="30" borderId="0" applyAlignment="1" pivotButton="0" quotePrefix="0" xfId="0">
      <alignment horizontal="left" vertical="center" wrapText="1"/>
    </xf>
    <xf numFmtId="0" fontId="114" fillId="30" borderId="1" applyAlignment="1" pivotButton="0" quotePrefix="0" xfId="0">
      <alignment horizontal="left" vertical="center"/>
    </xf>
    <xf numFmtId="0" fontId="40" fillId="34" borderId="1" applyAlignment="1" pivotButton="0" quotePrefix="0" xfId="0">
      <alignment horizontal="left" vertical="center"/>
    </xf>
    <xf numFmtId="0" fontId="54" fillId="49" borderId="0" applyAlignment="1" pivotButton="0" quotePrefix="0" xfId="0">
      <alignment horizontal="left" vertical="center"/>
    </xf>
    <xf numFmtId="0" fontId="116" fillId="50" borderId="0" applyAlignment="1" pivotButton="0" quotePrefix="0" xfId="0">
      <alignment horizontal="left" vertical="center" wrapText="1"/>
    </xf>
    <xf numFmtId="0" fontId="117" fillId="36" borderId="1" applyAlignment="1" pivotButton="0" quotePrefix="0" xfId="0">
      <alignment horizontal="center" vertical="center" wrapText="1"/>
    </xf>
    <xf numFmtId="0" fontId="112" fillId="34" borderId="1" applyAlignment="1" pivotButton="0" quotePrefix="0" xfId="0">
      <alignment horizontal="left" vertical="center" wrapText="1"/>
    </xf>
    <xf numFmtId="0" fontId="118" fillId="34" borderId="1" applyAlignment="1" pivotButton="0" quotePrefix="0" xfId="0">
      <alignment horizontal="left" vertical="center"/>
    </xf>
    <xf numFmtId="0" fontId="40" fillId="30" borderId="1" applyAlignment="1" pivotButton="0" quotePrefix="0" xfId="0">
      <alignment horizontal="left" vertical="center"/>
    </xf>
    <xf numFmtId="0" fontId="112" fillId="30" borderId="1" applyAlignment="1" pivotButton="0" quotePrefix="0" xfId="0">
      <alignment horizontal="left" vertical="center" wrapText="1"/>
    </xf>
    <xf numFmtId="0" fontId="118" fillId="30" borderId="1" applyAlignment="1" pivotButton="0" quotePrefix="0" xfId="0">
      <alignment horizontal="left" vertical="center"/>
    </xf>
    <xf numFmtId="0" fontId="115" fillId="34" borderId="1" applyAlignment="1" pivotButton="0" quotePrefix="0" xfId="0">
      <alignment horizontal="left" vertical="center"/>
    </xf>
    <xf numFmtId="0" fontId="119" fillId="30" borderId="1" applyAlignment="1" pivotButton="0" quotePrefix="0" xfId="0">
      <alignment horizontal="left" vertical="center"/>
    </xf>
    <xf numFmtId="0" fontId="39" fillId="51" borderId="0" applyAlignment="1" pivotButton="0" quotePrefix="0" xfId="0">
      <alignment horizontal="left" vertical="center"/>
    </xf>
    <xf numFmtId="0" fontId="117" fillId="51" borderId="1" applyAlignment="1" pivotButton="0" quotePrefix="0" xfId="0">
      <alignment horizontal="center" vertical="center" wrapText="1"/>
    </xf>
    <xf numFmtId="0" fontId="110" fillId="15" borderId="1" applyAlignment="1" pivotButton="0" quotePrefix="0" xfId="0">
      <alignment horizontal="left" vertical="center"/>
    </xf>
    <xf numFmtId="0" fontId="41" fillId="15" borderId="1" applyAlignment="1" pivotButton="0" quotePrefix="0" xfId="0">
      <alignment horizontal="left" vertical="center"/>
    </xf>
    <xf numFmtId="0" fontId="40" fillId="15" borderId="1" applyAlignment="1" pivotButton="0" quotePrefix="0" xfId="0">
      <alignment horizontal="left" vertical="center"/>
    </xf>
    <xf numFmtId="0" fontId="116" fillId="15" borderId="1" applyAlignment="1" pivotButton="0" quotePrefix="0" xfId="0">
      <alignment horizontal="left" vertical="center" wrapText="1"/>
    </xf>
    <xf numFmtId="0" fontId="112" fillId="15" borderId="1" applyAlignment="1" pivotButton="0" quotePrefix="0" xfId="0">
      <alignment horizontal="left" vertical="center" wrapText="1"/>
    </xf>
    <xf numFmtId="0" fontId="120" fillId="15" borderId="1" applyAlignment="1" pivotButton="0" quotePrefix="0" xfId="0">
      <alignment horizontal="left" vertical="center" wrapText="1"/>
    </xf>
    <xf numFmtId="0" fontId="114" fillId="15" borderId="1" applyAlignment="1" pivotButton="0" quotePrefix="0" xfId="0">
      <alignment horizontal="left" vertical="center"/>
    </xf>
    <xf numFmtId="0" fontId="116" fillId="30" borderId="1" applyAlignment="1" pivotButton="0" quotePrefix="0" xfId="0">
      <alignment horizontal="left" vertical="center" wrapText="1"/>
    </xf>
    <xf numFmtId="0" fontId="120" fillId="30" borderId="1" applyAlignment="1" pivotButton="0" quotePrefix="0" xfId="0">
      <alignment horizontal="left" vertical="center" wrapText="1"/>
    </xf>
    <xf numFmtId="0" fontId="39" fillId="52" borderId="0" applyAlignment="1" pivotButton="0" quotePrefix="0" xfId="0">
      <alignment horizontal="left" vertical="center"/>
    </xf>
    <xf numFmtId="0" fontId="117" fillId="52" borderId="1" applyAlignment="1" pivotButton="0" quotePrefix="0" xfId="0">
      <alignment horizontal="center" vertical="center"/>
    </xf>
    <xf numFmtId="0" fontId="121" fillId="16" borderId="1" applyAlignment="1" pivotButton="0" quotePrefix="0" xfId="0">
      <alignment horizontal="left" vertical="center"/>
    </xf>
    <xf numFmtId="0" fontId="112" fillId="16" borderId="1" applyAlignment="1" pivotButton="0" quotePrefix="0" xfId="0">
      <alignment horizontal="left" vertical="center" wrapText="1"/>
    </xf>
    <xf numFmtId="0" fontId="40" fillId="16" borderId="0" applyAlignment="1" pivotButton="0" quotePrefix="0" xfId="0">
      <alignment horizontal="left" vertical="center" wrapText="1"/>
    </xf>
    <xf numFmtId="0" fontId="121" fillId="30" borderId="1" applyAlignment="1" pivotButton="0" quotePrefix="0" xfId="0">
      <alignment horizontal="left" vertical="center"/>
    </xf>
    <xf numFmtId="0" fontId="40" fillId="30" borderId="0" applyAlignment="1" pivotButton="0" quotePrefix="0" xfId="0">
      <alignment horizontal="left" vertical="center" wrapText="1"/>
    </xf>
    <xf numFmtId="0" fontId="119" fillId="16" borderId="0" applyAlignment="1" pivotButton="0" quotePrefix="0" xfId="0">
      <alignment horizontal="left" vertical="center" wrapText="1"/>
    </xf>
    <xf numFmtId="0" fontId="39" fillId="53" borderId="0" applyAlignment="1" pivotButton="0" quotePrefix="0" xfId="0">
      <alignment horizontal="left" vertical="center"/>
    </xf>
    <xf numFmtId="0" fontId="117" fillId="53" borderId="1" applyAlignment="1" pivotButton="0" quotePrefix="0" xfId="0">
      <alignment horizontal="center" vertical="center"/>
    </xf>
    <xf numFmtId="0" fontId="115" fillId="54" borderId="1" applyAlignment="1" pivotButton="0" quotePrefix="0" xfId="0">
      <alignment horizontal="left" vertical="center"/>
    </xf>
    <xf numFmtId="0" fontId="111" fillId="54" borderId="1" applyAlignment="1" pivotButton="0" quotePrefix="0" xfId="0">
      <alignment horizontal="left" vertical="center"/>
    </xf>
    <xf numFmtId="0" fontId="122" fillId="54" borderId="0" applyAlignment="1" pivotButton="0" quotePrefix="0" xfId="0">
      <alignment horizontal="left" vertical="center" wrapText="1"/>
    </xf>
    <xf numFmtId="0" fontId="40" fillId="54" borderId="1" applyAlignment="1" pivotButton="0" quotePrefix="0" xfId="0">
      <alignment horizontal="center" vertical="center"/>
    </xf>
    <xf numFmtId="0" fontId="122" fillId="30" borderId="0" applyAlignment="1" pivotButton="0" quotePrefix="0" xfId="0">
      <alignment horizontal="left" vertical="center" wrapText="1"/>
    </xf>
    <xf numFmtId="0" fontId="119" fillId="30" borderId="1" applyAlignment="1" pivotButton="0" quotePrefix="0" xfId="0">
      <alignment horizontal="center" vertical="center"/>
    </xf>
    <xf numFmtId="0" fontId="123" fillId="0" borderId="0" applyAlignment="1" pivotButton="0" quotePrefix="0" xfId="0">
      <alignment horizontal="general" vertical="bottom" wrapText="1"/>
    </xf>
    <xf numFmtId="0" fontId="15" fillId="13" borderId="12" applyAlignment="1" pivotButton="0" quotePrefix="0" xfId="0">
      <alignment horizontal="left" vertical="center"/>
    </xf>
    <xf numFmtId="0" fontId="124" fillId="3" borderId="12" applyAlignment="1" pivotButton="0" quotePrefix="0" xfId="0">
      <alignment horizontal="left" vertical="center"/>
    </xf>
    <xf numFmtId="0" fontId="124" fillId="36" borderId="12" applyAlignment="1" pivotButton="0" quotePrefix="0" xfId="0">
      <alignment horizontal="left" vertical="center"/>
    </xf>
    <xf numFmtId="0" fontId="124" fillId="39" borderId="12" applyAlignment="1" pivotButton="0" quotePrefix="0" xfId="0">
      <alignment horizontal="left" vertical="center"/>
    </xf>
    <xf numFmtId="0" fontId="124" fillId="26" borderId="12" applyAlignment="1" pivotButton="0" quotePrefix="0" xfId="0">
      <alignment horizontal="left" vertical="center"/>
    </xf>
    <xf numFmtId="0" fontId="125" fillId="55" borderId="12" applyAlignment="1" pivotButton="0" quotePrefix="0" xfId="0">
      <alignment horizontal="left" vertical="center"/>
    </xf>
    <xf numFmtId="0" fontId="126" fillId="56" borderId="12" applyAlignment="1" pivotButton="0" quotePrefix="0" xfId="0">
      <alignment horizontal="left" vertical="center"/>
    </xf>
    <xf numFmtId="0" fontId="127" fillId="57" borderId="12" applyAlignment="1" pivotButton="0" quotePrefix="0" xfId="0">
      <alignment horizontal="left" vertical="center"/>
    </xf>
    <xf numFmtId="0" fontId="128" fillId="48" borderId="12" applyAlignment="1" pivotButton="0" quotePrefix="0" xfId="0">
      <alignment horizontal="left" vertical="center"/>
    </xf>
    <xf numFmtId="0" fontId="124" fillId="3" borderId="12" applyAlignment="1" pivotButton="0" quotePrefix="0" xfId="0">
      <alignment horizontal="center" vertical="center"/>
    </xf>
    <xf numFmtId="0" fontId="129" fillId="55" borderId="12" applyAlignment="1" pivotButton="0" quotePrefix="0" xfId="0">
      <alignment horizontal="left" vertical="center"/>
    </xf>
    <xf numFmtId="0" fontId="79" fillId="55" borderId="12" applyAlignment="1" pivotButton="0" quotePrefix="0" xfId="0">
      <alignment horizontal="left" vertical="center"/>
    </xf>
    <xf numFmtId="0" fontId="14" fillId="55" borderId="12" applyAlignment="1" pivotButton="0" quotePrefix="0" xfId="0">
      <alignment horizontal="center" vertical="center"/>
    </xf>
    <xf numFmtId="0" fontId="130" fillId="55" borderId="12" applyAlignment="1" pivotButton="0" quotePrefix="0" xfId="0">
      <alignment horizontal="center" vertical="center"/>
    </xf>
    <xf numFmtId="0" fontId="131" fillId="55" borderId="12" applyAlignment="1" pivotButton="0" quotePrefix="0" xfId="0">
      <alignment horizontal="center" vertical="center"/>
    </xf>
    <xf numFmtId="169" fontId="14" fillId="55" borderId="12" applyAlignment="1" pivotButton="0" quotePrefix="0" xfId="0">
      <alignment horizontal="right" vertical="center"/>
    </xf>
    <xf numFmtId="4" fontId="14" fillId="55" borderId="12" applyAlignment="1" pivotButton="0" quotePrefix="0" xfId="0">
      <alignment horizontal="right" vertical="center"/>
    </xf>
    <xf numFmtId="0" fontId="132" fillId="55" borderId="12" applyAlignment="1" pivotButton="0" quotePrefix="0" xfId="0">
      <alignment horizontal="center" vertical="center"/>
    </xf>
    <xf numFmtId="3" fontId="133" fillId="55" borderId="12" applyAlignment="1" pivotButton="0" quotePrefix="0" xfId="0">
      <alignment horizontal="right" vertical="center"/>
    </xf>
    <xf numFmtId="3" fontId="14" fillId="55" borderId="12" applyAlignment="1" pivotButton="0" quotePrefix="0" xfId="0">
      <alignment horizontal="right" vertical="center"/>
    </xf>
    <xf numFmtId="170" fontId="130" fillId="55" borderId="12" applyAlignment="1" pivotButton="0" quotePrefix="0" xfId="0">
      <alignment horizontal="right" vertical="center"/>
    </xf>
    <xf numFmtId="171" fontId="130" fillId="55" borderId="12" applyAlignment="1" pivotButton="0" quotePrefix="0" xfId="0">
      <alignment horizontal="right" vertical="center"/>
    </xf>
    <xf numFmtId="165" fontId="14" fillId="55" borderId="12" applyAlignment="1" pivotButton="0" quotePrefix="0" xfId="0">
      <alignment horizontal="right" vertical="center"/>
    </xf>
    <xf numFmtId="10" fontId="14" fillId="55" borderId="12" applyAlignment="1" pivotButton="0" quotePrefix="0" xfId="0">
      <alignment horizontal="right" vertical="center"/>
    </xf>
    <xf numFmtId="0" fontId="134" fillId="57" borderId="12" applyAlignment="1" pivotButton="0" quotePrefix="0" xfId="0">
      <alignment horizontal="left" vertical="center"/>
    </xf>
    <xf numFmtId="0" fontId="79" fillId="57" borderId="12" applyAlignment="1" pivotButton="0" quotePrefix="0" xfId="0">
      <alignment horizontal="left" vertical="center"/>
    </xf>
    <xf numFmtId="0" fontId="14" fillId="57" borderId="12" applyAlignment="1" pivotButton="0" quotePrefix="0" xfId="0">
      <alignment horizontal="center" vertical="center"/>
    </xf>
    <xf numFmtId="0" fontId="135" fillId="57" borderId="12" applyAlignment="1" pivotButton="0" quotePrefix="0" xfId="0">
      <alignment horizontal="center" vertical="center"/>
    </xf>
    <xf numFmtId="0" fontId="131" fillId="57" borderId="12" applyAlignment="1" pivotButton="0" quotePrefix="0" xfId="0">
      <alignment horizontal="center" vertical="center"/>
    </xf>
    <xf numFmtId="169" fontId="14" fillId="57" borderId="12" applyAlignment="1" pivotButton="0" quotePrefix="0" xfId="0">
      <alignment horizontal="right" vertical="center"/>
    </xf>
    <xf numFmtId="4" fontId="14" fillId="57" borderId="12" applyAlignment="1" pivotButton="0" quotePrefix="0" xfId="0">
      <alignment horizontal="right" vertical="center"/>
    </xf>
    <xf numFmtId="0" fontId="132" fillId="57" borderId="12" applyAlignment="1" pivotButton="0" quotePrefix="0" xfId="0">
      <alignment horizontal="center" vertical="center"/>
    </xf>
    <xf numFmtId="3" fontId="133" fillId="57" borderId="12" applyAlignment="1" pivotButton="0" quotePrefix="0" xfId="0">
      <alignment horizontal="right" vertical="center"/>
    </xf>
    <xf numFmtId="3" fontId="14" fillId="57" borderId="12" applyAlignment="1" pivotButton="0" quotePrefix="0" xfId="0">
      <alignment horizontal="right" vertical="center"/>
    </xf>
    <xf numFmtId="170" fontId="130" fillId="57" borderId="12" applyAlignment="1" pivotButton="0" quotePrefix="0" xfId="0">
      <alignment horizontal="right" vertical="center"/>
    </xf>
    <xf numFmtId="171" fontId="130" fillId="57" borderId="12" applyAlignment="1" pivotButton="0" quotePrefix="0" xfId="0">
      <alignment horizontal="right" vertical="center"/>
    </xf>
    <xf numFmtId="165" fontId="14" fillId="57" borderId="12" applyAlignment="1" pivotButton="0" quotePrefix="0" xfId="0">
      <alignment horizontal="right" vertical="center"/>
    </xf>
    <xf numFmtId="10" fontId="14" fillId="57" borderId="12" applyAlignment="1" pivotButton="0" quotePrefix="0" xfId="0">
      <alignment horizontal="right" vertical="center"/>
    </xf>
    <xf numFmtId="0" fontId="130" fillId="55" borderId="12" applyAlignment="1" pivotButton="0" quotePrefix="0" xfId="0">
      <alignment horizontal="left" vertical="center"/>
    </xf>
    <xf numFmtId="0" fontId="136" fillId="55" borderId="12" applyAlignment="1" pivotButton="0" quotePrefix="0" xfId="0">
      <alignment horizontal="center" vertical="center"/>
    </xf>
    <xf numFmtId="170" fontId="137" fillId="55" borderId="12" applyAlignment="1" pivotButton="0" quotePrefix="0" xfId="0">
      <alignment horizontal="right" vertical="center"/>
    </xf>
    <xf numFmtId="171" fontId="137" fillId="55" borderId="12" applyAlignment="1" pivotButton="0" quotePrefix="0" xfId="0">
      <alignment horizontal="right" vertical="center"/>
    </xf>
    <xf numFmtId="0" fontId="135" fillId="55" borderId="12" applyAlignment="1" pivotButton="0" quotePrefix="0" xfId="0">
      <alignment horizontal="center" vertical="center"/>
    </xf>
    <xf numFmtId="0" fontId="130" fillId="57" borderId="12" applyAlignment="1" pivotButton="0" quotePrefix="0" xfId="0">
      <alignment horizontal="center" vertical="center"/>
    </xf>
    <xf numFmtId="0" fontId="138" fillId="48" borderId="12" applyAlignment="1" pivotButton="0" quotePrefix="0" xfId="0">
      <alignment horizontal="left" vertical="center"/>
    </xf>
    <xf numFmtId="0" fontId="79" fillId="48" borderId="12" applyAlignment="1" pivotButton="0" quotePrefix="0" xfId="0">
      <alignment horizontal="left" vertical="center"/>
    </xf>
    <xf numFmtId="0" fontId="14" fillId="48" borderId="12" applyAlignment="1" pivotButton="0" quotePrefix="0" xfId="0">
      <alignment horizontal="center" vertical="center"/>
    </xf>
    <xf numFmtId="0" fontId="139" fillId="48" borderId="12" applyAlignment="1" pivotButton="0" quotePrefix="0" xfId="0">
      <alignment horizontal="center" vertical="center"/>
    </xf>
    <xf numFmtId="0" fontId="131" fillId="48" borderId="12" applyAlignment="1" pivotButton="0" quotePrefix="0" xfId="0">
      <alignment horizontal="center" vertical="center"/>
    </xf>
    <xf numFmtId="169" fontId="14" fillId="48" borderId="12" applyAlignment="1" pivotButton="0" quotePrefix="0" xfId="0">
      <alignment horizontal="right" vertical="center"/>
    </xf>
    <xf numFmtId="4" fontId="14" fillId="48" borderId="12" applyAlignment="1" pivotButton="0" quotePrefix="0" xfId="0">
      <alignment horizontal="right" vertical="center"/>
    </xf>
    <xf numFmtId="0" fontId="132" fillId="48" borderId="12" applyAlignment="1" pivotButton="0" quotePrefix="0" xfId="0">
      <alignment horizontal="center" vertical="center"/>
    </xf>
    <xf numFmtId="3" fontId="133" fillId="48" borderId="12" applyAlignment="1" pivotButton="0" quotePrefix="0" xfId="0">
      <alignment horizontal="right" vertical="center"/>
    </xf>
    <xf numFmtId="3" fontId="14" fillId="48" borderId="12" applyAlignment="1" pivotButton="0" quotePrefix="0" xfId="0">
      <alignment horizontal="right" vertical="center"/>
    </xf>
    <xf numFmtId="170" fontId="130" fillId="48" borderId="12" applyAlignment="1" pivotButton="0" quotePrefix="0" xfId="0">
      <alignment horizontal="right" vertical="center"/>
    </xf>
    <xf numFmtId="171" fontId="130" fillId="48" borderId="12" applyAlignment="1" pivotButton="0" quotePrefix="0" xfId="0">
      <alignment horizontal="right" vertical="center"/>
    </xf>
    <xf numFmtId="165" fontId="14" fillId="48" borderId="12" applyAlignment="1" pivotButton="0" quotePrefix="0" xfId="0">
      <alignment horizontal="right" vertical="center"/>
    </xf>
    <xf numFmtId="10" fontId="14" fillId="48" borderId="12" applyAlignment="1" pivotButton="0" quotePrefix="0" xfId="0">
      <alignment horizontal="right" vertical="center"/>
    </xf>
    <xf numFmtId="0" fontId="140" fillId="56" borderId="12" applyAlignment="1" pivotButton="0" quotePrefix="0" xfId="0">
      <alignment horizontal="left" vertical="center"/>
    </xf>
    <xf numFmtId="0" fontId="79" fillId="56" borderId="12" applyAlignment="1" pivotButton="0" quotePrefix="0" xfId="0">
      <alignment horizontal="left" vertical="center"/>
    </xf>
    <xf numFmtId="0" fontId="14" fillId="56" borderId="12" applyAlignment="1" pivotButton="0" quotePrefix="0" xfId="0">
      <alignment horizontal="center" vertical="center"/>
    </xf>
    <xf numFmtId="0" fontId="140" fillId="56" borderId="12" applyAlignment="1" pivotButton="0" quotePrefix="0" xfId="0">
      <alignment horizontal="center" vertical="center"/>
    </xf>
    <xf numFmtId="0" fontId="130" fillId="56" borderId="12" applyAlignment="1" pivotButton="0" quotePrefix="0" xfId="0">
      <alignment horizontal="center" vertical="center"/>
    </xf>
    <xf numFmtId="169" fontId="14" fillId="56" borderId="12" applyAlignment="1" pivotButton="0" quotePrefix="0" xfId="0">
      <alignment horizontal="right" vertical="center"/>
    </xf>
    <xf numFmtId="4" fontId="14" fillId="56" borderId="12" applyAlignment="1" pivotButton="0" quotePrefix="0" xfId="0">
      <alignment horizontal="right" vertical="center"/>
    </xf>
    <xf numFmtId="0" fontId="136" fillId="56" borderId="12" applyAlignment="1" pivotButton="0" quotePrefix="0" xfId="0">
      <alignment horizontal="center" vertical="center"/>
    </xf>
    <xf numFmtId="3" fontId="133" fillId="56" borderId="12" applyAlignment="1" pivotButton="0" quotePrefix="0" xfId="0">
      <alignment horizontal="right" vertical="center"/>
    </xf>
    <xf numFmtId="3" fontId="14" fillId="56" borderId="12" applyAlignment="1" pivotButton="0" quotePrefix="0" xfId="0">
      <alignment horizontal="right" vertical="center"/>
    </xf>
    <xf numFmtId="170" fontId="130" fillId="56" borderId="12" applyAlignment="1" pivotButton="0" quotePrefix="0" xfId="0">
      <alignment horizontal="right" vertical="center"/>
    </xf>
    <xf numFmtId="171" fontId="130" fillId="56" borderId="12" applyAlignment="1" pivotButton="0" quotePrefix="0" xfId="0">
      <alignment horizontal="right" vertical="center"/>
    </xf>
    <xf numFmtId="165" fontId="14" fillId="56" borderId="12" applyAlignment="1" pivotButton="0" quotePrefix="0" xfId="0">
      <alignment horizontal="right" vertical="center"/>
    </xf>
    <xf numFmtId="10" fontId="14" fillId="56" borderId="12" applyAlignment="1" pivotButton="0" quotePrefix="0" xfId="0">
      <alignment horizontal="right" vertical="center"/>
    </xf>
    <xf numFmtId="0" fontId="130" fillId="48" borderId="12" applyAlignment="1" pivotButton="0" quotePrefix="0" xfId="0">
      <alignment horizontal="center" vertical="center"/>
    </xf>
    <xf numFmtId="0" fontId="131" fillId="56" borderId="12" applyAlignment="1" pivotButton="0" quotePrefix="0" xfId="0">
      <alignment horizontal="center" vertical="center"/>
    </xf>
    <xf numFmtId="0" fontId="141" fillId="56" borderId="12" applyAlignment="1" pivotButton="0" quotePrefix="0" xfId="0">
      <alignment horizontal="left" vertical="center"/>
    </xf>
    <xf numFmtId="0" fontId="132" fillId="56" borderId="12" applyAlignment="1" pivotButton="0" quotePrefix="0" xfId="0">
      <alignment horizontal="center" vertical="center"/>
    </xf>
    <xf numFmtId="0" fontId="135" fillId="57" borderId="12" applyAlignment="1" pivotButton="0" quotePrefix="0" xfId="0">
      <alignment horizontal="left" vertical="center"/>
    </xf>
    <xf numFmtId="0" fontId="136" fillId="57" borderId="12" applyAlignment="1" pivotButton="0" quotePrefix="0" xfId="0">
      <alignment horizontal="center" vertical="center"/>
    </xf>
    <xf numFmtId="170" fontId="137" fillId="57" borderId="12" applyAlignment="1" pivotButton="0" quotePrefix="0" xfId="0">
      <alignment horizontal="right" vertical="center"/>
    </xf>
    <xf numFmtId="171" fontId="137" fillId="57" borderId="12" applyAlignment="1" pivotButton="0" quotePrefix="0" xfId="0">
      <alignment horizontal="right" vertical="center"/>
    </xf>
    <xf numFmtId="170" fontId="137" fillId="56" borderId="12" applyAlignment="1" pivotButton="0" quotePrefix="0" xfId="0">
      <alignment horizontal="right" vertical="center"/>
    </xf>
    <xf numFmtId="171" fontId="137" fillId="56" borderId="12" applyAlignment="1" pivotButton="0" quotePrefix="0" xfId="0">
      <alignment horizontal="right" vertical="center"/>
    </xf>
    <xf numFmtId="170" fontId="137" fillId="48" borderId="12" applyAlignment="1" pivotButton="0" quotePrefix="0" xfId="0">
      <alignment horizontal="right" vertical="center"/>
    </xf>
    <xf numFmtId="171" fontId="137" fillId="48" borderId="12" applyAlignment="1" pivotButton="0" quotePrefix="0" xfId="0">
      <alignment horizontal="right" vertical="center"/>
    </xf>
    <xf numFmtId="0" fontId="135" fillId="56" borderId="12" applyAlignment="1" pivotButton="0" quotePrefix="0" xfId="0">
      <alignment horizontal="center" vertical="center"/>
    </xf>
    <xf numFmtId="0" fontId="74" fillId="13" borderId="12" applyAlignment="1" pivotButton="0" quotePrefix="0" xfId="0">
      <alignment horizontal="left" vertical="center"/>
    </xf>
    <xf numFmtId="0" fontId="142" fillId="13" borderId="12" applyAlignment="1" pivotButton="0" quotePrefix="0" xfId="0">
      <alignment horizontal="center" vertical="center"/>
    </xf>
    <xf numFmtId="3" fontId="74" fillId="13" borderId="12" applyAlignment="1" pivotButton="0" quotePrefix="0" xfId="0">
      <alignment horizontal="right" vertical="center"/>
    </xf>
    <xf numFmtId="170" fontId="74" fillId="13" borderId="12" applyAlignment="1" pivotButton="0" quotePrefix="0" xfId="0">
      <alignment horizontal="right" vertical="center"/>
    </xf>
    <xf numFmtId="171" fontId="74" fillId="13" borderId="12" applyAlignment="1" pivotButton="0" quotePrefix="0" xfId="0">
      <alignment horizontal="right" vertical="center"/>
    </xf>
    <xf numFmtId="165" fontId="74" fillId="13" borderId="12" applyAlignment="1" pivotButton="0" quotePrefix="0" xfId="0">
      <alignment horizontal="right" vertical="center"/>
    </xf>
    <xf numFmtId="4" fontId="74" fillId="13" borderId="12" applyAlignment="1" pivotButton="0" quotePrefix="0" xfId="0">
      <alignment horizontal="right" vertical="center"/>
    </xf>
    <xf numFmtId="0" fontId="70" fillId="13" borderId="12" applyAlignment="1" pivotButton="0" quotePrefix="0" xfId="0">
      <alignment horizontal="left" vertical="center"/>
    </xf>
    <xf numFmtId="0" fontId="74" fillId="3" borderId="12" applyAlignment="1" pivotButton="0" quotePrefix="0" xfId="0">
      <alignment horizontal="center" vertical="center"/>
    </xf>
    <xf numFmtId="0" fontId="74" fillId="3" borderId="12" applyAlignment="1" pivotButton="0" quotePrefix="0" xfId="0">
      <alignment horizontal="left" vertical="center"/>
    </xf>
    <xf numFmtId="1" fontId="14" fillId="55" borderId="12" applyAlignment="1" pivotButton="0" quotePrefix="0" xfId="0">
      <alignment horizontal="center" vertical="center"/>
    </xf>
    <xf numFmtId="3" fontId="133" fillId="55" borderId="12" applyAlignment="1" pivotButton="0" quotePrefix="0" xfId="0">
      <alignment horizontal="center" vertical="center"/>
    </xf>
    <xf numFmtId="165" fontId="14" fillId="55" borderId="12" applyAlignment="1" pivotButton="0" quotePrefix="0" xfId="0">
      <alignment horizontal="center" vertical="center"/>
    </xf>
    <xf numFmtId="170" fontId="130" fillId="55" borderId="12" applyAlignment="1" pivotButton="0" quotePrefix="0" xfId="0">
      <alignment horizontal="center" vertical="center"/>
    </xf>
    <xf numFmtId="171" fontId="130" fillId="55" borderId="12" applyAlignment="1" pivotButton="0" quotePrefix="0" xfId="0">
      <alignment horizontal="center" vertical="center"/>
    </xf>
    <xf numFmtId="4" fontId="14" fillId="55" borderId="12" applyAlignment="1" pivotButton="0" quotePrefix="0" xfId="0">
      <alignment horizontal="center" vertical="center"/>
    </xf>
    <xf numFmtId="0" fontId="143" fillId="55" borderId="12" applyAlignment="1" pivotButton="0" quotePrefix="0" xfId="0">
      <alignment horizontal="left" vertical="center"/>
    </xf>
    <xf numFmtId="1" fontId="14" fillId="56" borderId="12" applyAlignment="1" pivotButton="0" quotePrefix="0" xfId="0">
      <alignment horizontal="center" vertical="center"/>
    </xf>
    <xf numFmtId="3" fontId="133" fillId="56" borderId="12" applyAlignment="1" pivotButton="0" quotePrefix="0" xfId="0">
      <alignment horizontal="center" vertical="center"/>
    </xf>
    <xf numFmtId="165" fontId="14" fillId="56" borderId="12" applyAlignment="1" pivotButton="0" quotePrefix="0" xfId="0">
      <alignment horizontal="center" vertical="center"/>
    </xf>
    <xf numFmtId="170" fontId="130" fillId="56" borderId="12" applyAlignment="1" pivotButton="0" quotePrefix="0" xfId="0">
      <alignment horizontal="center" vertical="center"/>
    </xf>
    <xf numFmtId="171" fontId="130" fillId="56" borderId="12" applyAlignment="1" pivotButton="0" quotePrefix="0" xfId="0">
      <alignment horizontal="center" vertical="center"/>
    </xf>
    <xf numFmtId="4" fontId="14" fillId="56" borderId="12" applyAlignment="1" pivotButton="0" quotePrefix="0" xfId="0">
      <alignment horizontal="center" vertical="center"/>
    </xf>
    <xf numFmtId="0" fontId="144" fillId="56" borderId="12" applyAlignment="1" pivotButton="0" quotePrefix="0" xfId="0">
      <alignment horizontal="left" vertical="center"/>
    </xf>
    <xf numFmtId="1" fontId="14" fillId="57" borderId="12" applyAlignment="1" pivotButton="0" quotePrefix="0" xfId="0">
      <alignment horizontal="center" vertical="center"/>
    </xf>
    <xf numFmtId="3" fontId="133" fillId="57" borderId="12" applyAlignment="1" pivotButton="0" quotePrefix="0" xfId="0">
      <alignment horizontal="center" vertical="center"/>
    </xf>
    <xf numFmtId="165" fontId="14" fillId="57" borderId="12" applyAlignment="1" pivotButton="0" quotePrefix="0" xfId="0">
      <alignment horizontal="center" vertical="center"/>
    </xf>
    <xf numFmtId="170" fontId="130" fillId="57" borderId="12" applyAlignment="1" pivotButton="0" quotePrefix="0" xfId="0">
      <alignment horizontal="center" vertical="center"/>
    </xf>
    <xf numFmtId="171" fontId="130" fillId="57" borderId="12" applyAlignment="1" pivotButton="0" quotePrefix="0" xfId="0">
      <alignment horizontal="center" vertical="center"/>
    </xf>
    <xf numFmtId="4" fontId="14" fillId="57" borderId="12" applyAlignment="1" pivotButton="0" quotePrefix="0" xfId="0">
      <alignment horizontal="center" vertical="center"/>
    </xf>
    <xf numFmtId="0" fontId="145" fillId="57" borderId="12" applyAlignment="1" pivotButton="0" quotePrefix="0" xfId="0">
      <alignment horizontal="left" vertical="center"/>
    </xf>
    <xf numFmtId="1" fontId="14" fillId="48" borderId="12" applyAlignment="1" pivotButton="0" quotePrefix="0" xfId="0">
      <alignment horizontal="center" vertical="center"/>
    </xf>
    <xf numFmtId="3" fontId="133" fillId="48" borderId="12" applyAlignment="1" pivotButton="0" quotePrefix="0" xfId="0">
      <alignment horizontal="center" vertical="center"/>
    </xf>
    <xf numFmtId="165" fontId="14" fillId="48" borderId="12" applyAlignment="1" pivotButton="0" quotePrefix="0" xfId="0">
      <alignment horizontal="center" vertical="center"/>
    </xf>
    <xf numFmtId="170" fontId="130" fillId="48" borderId="12" applyAlignment="1" pivotButton="0" quotePrefix="0" xfId="0">
      <alignment horizontal="center" vertical="center"/>
    </xf>
    <xf numFmtId="171" fontId="130" fillId="48" borderId="12" applyAlignment="1" pivotButton="0" quotePrefix="0" xfId="0">
      <alignment horizontal="center" vertical="center"/>
    </xf>
    <xf numFmtId="4" fontId="14" fillId="48" borderId="12" applyAlignment="1" pivotButton="0" quotePrefix="0" xfId="0">
      <alignment horizontal="center" vertical="center"/>
    </xf>
    <xf numFmtId="0" fontId="77" fillId="48" borderId="12" applyAlignment="1" pivotButton="0" quotePrefix="0" xfId="0">
      <alignment horizontal="left" vertical="center"/>
    </xf>
    <xf numFmtId="0" fontId="54" fillId="51" borderId="0" applyAlignment="1" pivotButton="0" quotePrefix="0" xfId="0">
      <alignment horizontal="left" vertical="center"/>
    </xf>
    <xf numFmtId="0" fontId="146" fillId="13" borderId="0" applyAlignment="1" pivotButton="0" quotePrefix="0" xfId="0">
      <alignment horizontal="left" vertical="center"/>
    </xf>
    <xf numFmtId="0" fontId="147" fillId="51" borderId="0" applyAlignment="1" pivotButton="0" quotePrefix="0" xfId="0">
      <alignment horizontal="left" vertical="center"/>
    </xf>
    <xf numFmtId="0" fontId="148" fillId="13" borderId="13" applyAlignment="1" pivotButton="0" quotePrefix="0" xfId="0">
      <alignment horizontal="center" vertical="center"/>
    </xf>
    <xf numFmtId="0" fontId="149" fillId="30" borderId="13" applyAlignment="1" pivotButton="0" quotePrefix="0" xfId="0">
      <alignment horizontal="left" vertical="center"/>
    </xf>
    <xf numFmtId="0" fontId="150" fillId="30" borderId="13" applyAlignment="1" pivotButton="0" quotePrefix="0" xfId="0">
      <alignment horizontal="left" vertical="center"/>
    </xf>
    <xf numFmtId="0" fontId="149" fillId="4" borderId="13" applyAlignment="1" pivotButton="0" quotePrefix="0" xfId="0">
      <alignment horizontal="left" vertical="center"/>
    </xf>
    <xf numFmtId="0" fontId="150" fillId="4" borderId="13" applyAlignment="1" pivotButton="0" quotePrefix="0" xfId="0">
      <alignment horizontal="left" vertical="center"/>
    </xf>
    <xf numFmtId="169" fontId="150" fillId="30" borderId="13" applyAlignment="1" pivotButton="0" quotePrefix="0" xfId="0">
      <alignment horizontal="left" vertical="center"/>
    </xf>
    <xf numFmtId="0" fontId="151" fillId="30" borderId="13" applyAlignment="1" pivotButton="0" quotePrefix="0" xfId="0">
      <alignment horizontal="left" vertical="center"/>
    </xf>
    <xf numFmtId="172" fontId="151" fillId="30" borderId="13" applyAlignment="1" pivotButton="0" quotePrefix="0" xfId="0">
      <alignment horizontal="right" vertical="center"/>
    </xf>
    <xf numFmtId="172" fontId="150" fillId="30" borderId="13" applyAlignment="1" pivotButton="0" quotePrefix="0" xfId="0">
      <alignment horizontal="right" vertical="center"/>
    </xf>
    <xf numFmtId="173" fontId="150" fillId="30" borderId="13" applyAlignment="1" pivotButton="0" quotePrefix="0" xfId="0">
      <alignment horizontal="right" vertical="center"/>
    </xf>
    <xf numFmtId="0" fontId="151" fillId="4" borderId="13" applyAlignment="1" pivotButton="0" quotePrefix="0" xfId="0">
      <alignment horizontal="left" vertical="center"/>
    </xf>
    <xf numFmtId="172" fontId="151" fillId="4" borderId="13" applyAlignment="1" pivotButton="0" quotePrefix="0" xfId="0">
      <alignment horizontal="right" vertical="center"/>
    </xf>
    <xf numFmtId="172" fontId="150" fillId="4" borderId="13" applyAlignment="1" pivotButton="0" quotePrefix="0" xfId="0">
      <alignment horizontal="right" vertical="center"/>
    </xf>
    <xf numFmtId="173" fontId="150" fillId="4" borderId="13" applyAlignment="1" pivotButton="0" quotePrefix="0" xfId="0">
      <alignment horizontal="right" vertical="center"/>
    </xf>
    <xf numFmtId="0" fontId="147" fillId="51" borderId="13" applyAlignment="1" pivotButton="0" quotePrefix="0" xfId="0">
      <alignment horizontal="left" vertical="center"/>
    </xf>
    <xf numFmtId="172" fontId="147" fillId="51" borderId="13" applyAlignment="1" pivotButton="0" quotePrefix="0" xfId="0">
      <alignment horizontal="right" vertical="center"/>
    </xf>
    <xf numFmtId="173" fontId="147" fillId="51" borderId="13" applyAlignment="1" pivotButton="0" quotePrefix="0" xfId="0">
      <alignment horizontal="right" vertical="center"/>
    </xf>
    <xf numFmtId="0" fontId="149" fillId="6" borderId="13" applyAlignment="1" pivotButton="0" quotePrefix="0" xfId="0">
      <alignment horizontal="left" vertical="center"/>
    </xf>
    <xf numFmtId="0" fontId="152" fillId="6" borderId="13" applyAlignment="1" pivotButton="0" quotePrefix="0" xfId="0">
      <alignment horizontal="left" vertical="center"/>
    </xf>
    <xf numFmtId="0" fontId="153" fillId="6" borderId="13" applyAlignment="1" pivotButton="0" quotePrefix="0" xfId="0">
      <alignment horizontal="left" vertical="center"/>
    </xf>
    <xf numFmtId="0" fontId="154" fillId="6" borderId="13" applyAlignment="1" pivotButton="0" quotePrefix="0" xfId="0">
      <alignment horizontal="left" vertical="center"/>
    </xf>
    <xf numFmtId="0" fontId="149" fillId="7" borderId="13" applyAlignment="1" pivotButton="0" quotePrefix="0" xfId="0">
      <alignment horizontal="left" vertical="center"/>
    </xf>
    <xf numFmtId="0" fontId="152" fillId="7" borderId="13" applyAlignment="1" pivotButton="0" quotePrefix="0" xfId="0">
      <alignment horizontal="left" vertical="center"/>
    </xf>
    <xf numFmtId="0" fontId="155" fillId="7" borderId="13" applyAlignment="1" pivotButton="0" quotePrefix="0" xfId="0">
      <alignment horizontal="left" vertical="center"/>
    </xf>
    <xf numFmtId="0" fontId="154" fillId="7" borderId="13" applyAlignment="1" pivotButton="0" quotePrefix="0" xfId="0">
      <alignment horizontal="left" vertical="center"/>
    </xf>
    <xf numFmtId="0" fontId="149" fillId="58" borderId="13" applyAlignment="1" pivotButton="0" quotePrefix="0" xfId="0">
      <alignment horizontal="left" vertical="center"/>
    </xf>
    <xf numFmtId="0" fontId="152" fillId="58" borderId="13" applyAlignment="1" pivotButton="0" quotePrefix="0" xfId="0">
      <alignment horizontal="left" vertical="center"/>
    </xf>
    <xf numFmtId="0" fontId="153" fillId="58" borderId="13" applyAlignment="1" pivotButton="0" quotePrefix="0" xfId="0">
      <alignment horizontal="left" vertical="center"/>
    </xf>
    <xf numFmtId="0" fontId="154" fillId="58" borderId="13" applyAlignment="1" pivotButton="0" quotePrefix="0" xfId="0">
      <alignment horizontal="left" vertical="center"/>
    </xf>
    <xf numFmtId="0" fontId="153" fillId="30" borderId="13" applyAlignment="1" pivotButton="0" quotePrefix="0" xfId="0">
      <alignment horizontal="left" vertical="center"/>
    </xf>
    <xf numFmtId="0" fontId="154" fillId="30" borderId="13" applyAlignment="1" pivotButton="0" quotePrefix="0" xfId="0">
      <alignment horizontal="left" vertical="center"/>
    </xf>
    <xf numFmtId="0" fontId="154" fillId="4" borderId="13" applyAlignment="1" pivotButton="0" quotePrefix="0" xfId="0">
      <alignment horizontal="left" vertical="center"/>
    </xf>
    <xf numFmtId="165" fontId="150" fillId="30" borderId="13" applyAlignment="1" pivotButton="0" quotePrefix="0" xfId="0">
      <alignment horizontal="right" vertical="center"/>
    </xf>
    <xf numFmtId="165" fontId="150" fillId="4" borderId="13" applyAlignment="1" pivotButton="0" quotePrefix="0" xfId="0">
      <alignment horizontal="right" vertical="center"/>
    </xf>
    <xf numFmtId="165" fontId="147" fillId="51" borderId="13" applyAlignment="1" pivotButton="0" quotePrefix="0" xfId="0">
      <alignment horizontal="right" vertical="center"/>
    </xf>
    <xf numFmtId="0" fontId="150" fillId="30" borderId="13" applyAlignment="1" pivotButton="0" quotePrefix="0" xfId="0">
      <alignment horizontal="right" vertical="center"/>
    </xf>
    <xf numFmtId="172" fontId="151" fillId="58" borderId="13" applyAlignment="1" pivotButton="0" quotePrefix="0" xfId="0">
      <alignment horizontal="right" vertical="center"/>
    </xf>
    <xf numFmtId="0" fontId="150" fillId="4" borderId="13" applyAlignment="1" pivotButton="0" quotePrefix="0" xfId="0">
      <alignment horizontal="right" vertical="center"/>
    </xf>
    <xf numFmtId="0" fontId="156" fillId="4" borderId="13" applyAlignment="1" pivotButton="0" quotePrefix="0" xfId="0">
      <alignment horizontal="left" vertical="center"/>
    </xf>
    <xf numFmtId="0" fontId="156" fillId="30" borderId="13" applyAlignment="1" pivotButton="0" quotePrefix="0" xfId="0">
      <alignment horizontal="left" vertical="center"/>
    </xf>
    <xf numFmtId="174" fontId="151" fillId="30" borderId="13" applyAlignment="1" pivotButton="0" quotePrefix="0" xfId="0">
      <alignment horizontal="right" vertical="center"/>
    </xf>
    <xf numFmtId="174" fontId="151" fillId="4" borderId="13" applyAlignment="1" pivotButton="0" quotePrefix="0" xfId="0">
      <alignment horizontal="right" vertical="center"/>
    </xf>
    <xf numFmtId="0" fontId="157" fillId="7" borderId="13" applyAlignment="1" pivotButton="0" quotePrefix="0" xfId="0">
      <alignment horizontal="left" vertical="center"/>
    </xf>
    <xf numFmtId="172" fontId="150" fillId="7" borderId="13" applyAlignment="1" pivotButton="0" quotePrefix="0" xfId="0">
      <alignment horizontal="right" vertical="center"/>
    </xf>
    <xf numFmtId="174" fontId="151" fillId="7" borderId="13" applyAlignment="1" pivotButton="0" quotePrefix="0" xfId="0">
      <alignment horizontal="right" vertical="center"/>
    </xf>
    <xf numFmtId="0" fontId="158" fillId="7" borderId="13" applyAlignment="1" pivotButton="0" quotePrefix="0" xfId="0">
      <alignment horizontal="left" vertical="center"/>
    </xf>
    <xf numFmtId="165" fontId="154" fillId="30" borderId="13" applyAlignment="1" pivotButton="0" quotePrefix="0" xfId="0">
      <alignment horizontal="right" vertical="center"/>
    </xf>
    <xf numFmtId="0" fontId="154" fillId="30" borderId="13" applyAlignment="1" pivotButton="0" quotePrefix="0" xfId="0">
      <alignment horizontal="right" vertical="center"/>
    </xf>
    <xf numFmtId="172" fontId="154" fillId="4" borderId="13" applyAlignment="1" pivotButton="0" quotePrefix="0" xfId="0">
      <alignment horizontal="right" vertical="center"/>
    </xf>
    <xf numFmtId="0" fontId="154" fillId="4" borderId="13" applyAlignment="1" pivotButton="0" quotePrefix="0" xfId="0">
      <alignment horizontal="right" vertical="center"/>
    </xf>
    <xf numFmtId="172" fontId="154" fillId="30" borderId="13" applyAlignment="1" pivotButton="0" quotePrefix="0" xfId="0">
      <alignment horizontal="right" vertical="center"/>
    </xf>
    <xf numFmtId="165" fontId="154" fillId="4" borderId="13" applyAlignment="1" pivotButton="0" quotePrefix="0" xfId="0">
      <alignment horizontal="right" vertical="center"/>
    </xf>
    <xf numFmtId="0" fontId="153" fillId="4" borderId="13" applyAlignment="1" pivotButton="0" quotePrefix="0" xfId="0">
      <alignment horizontal="left" vertical="center"/>
    </xf>
    <xf numFmtId="165" fontId="151" fillId="4" borderId="13" applyAlignment="1" pivotButton="0" quotePrefix="0" xfId="0">
      <alignment horizontal="right" vertical="center"/>
    </xf>
    <xf numFmtId="0" fontId="159" fillId="4" borderId="13" applyAlignment="1" pivotButton="0" quotePrefix="0" xfId="0">
      <alignment horizontal="left" vertical="center" wrapText="1"/>
    </xf>
    <xf numFmtId="0" fontId="160" fillId="40" borderId="0" applyAlignment="1" pivotButton="0" quotePrefix="0" xfId="0">
      <alignment horizontal="center" vertical="center"/>
    </xf>
    <xf numFmtId="0" fontId="161" fillId="0" borderId="0" applyAlignment="1" pivotButton="0" quotePrefix="0" xfId="0">
      <alignment horizontal="center" vertical="bottom"/>
    </xf>
    <xf numFmtId="0" fontId="70" fillId="3" borderId="0" applyAlignment="1" pivotButton="0" quotePrefix="0" xfId="0">
      <alignment horizontal="center" vertical="center"/>
    </xf>
    <xf numFmtId="0" fontId="78" fillId="59" borderId="0" applyAlignment="1" pivotButton="0" quotePrefix="0" xfId="0">
      <alignment horizontal="center" vertical="center"/>
    </xf>
    <xf numFmtId="0" fontId="162" fillId="0" borderId="0" applyAlignment="1" pivotButton="0" quotePrefix="0" xfId="0">
      <alignment horizontal="left" vertical="center" wrapText="1"/>
    </xf>
    <xf numFmtId="164" fontId="162" fillId="6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55" borderId="0" applyAlignment="1" pivotButton="0" quotePrefix="0" xfId="0">
      <alignment horizontal="left" vertical="center" wrapText="1"/>
    </xf>
    <xf numFmtId="164" fontId="163" fillId="55" borderId="0" applyAlignment="1" pivotButton="0" quotePrefix="0" xfId="0">
      <alignment horizontal="center" vertical="center" wrapText="1"/>
    </xf>
    <xf numFmtId="0" fontId="163" fillId="55" borderId="0" applyAlignment="1" pivotButton="0" quotePrefix="0" xfId="0">
      <alignment horizontal="center" vertical="center" wrapText="1"/>
    </xf>
    <xf numFmtId="0" fontId="162" fillId="55" borderId="0" applyAlignment="1" pivotButton="0" quotePrefix="0" xfId="0">
      <alignment horizontal="left" vertical="center" wrapText="1"/>
    </xf>
    <xf numFmtId="164" fontId="164" fillId="55" borderId="0" applyAlignment="1" pivotButton="0" quotePrefix="0" xfId="0">
      <alignment horizontal="center" vertical="center" wrapText="1"/>
    </xf>
    <xf numFmtId="0" fontId="162" fillId="55" borderId="0" applyAlignment="1" pivotButton="0" quotePrefix="0" xfId="0">
      <alignment horizontal="center" vertical="center" wrapText="1"/>
    </xf>
    <xf numFmtId="164" fontId="162" fillId="0" borderId="0" applyAlignment="1" pivotButton="0" quotePrefix="0" xfId="0">
      <alignment horizontal="center" vertical="center" wrapText="1"/>
    </xf>
    <xf numFmtId="0" fontId="163" fillId="57" borderId="0" applyAlignment="1" pivotButton="0" quotePrefix="0" xfId="0">
      <alignment horizontal="left" vertical="center" wrapText="1"/>
    </xf>
    <xf numFmtId="164" fontId="163" fillId="57" borderId="0" applyAlignment="1" pivotButton="0" quotePrefix="0" xfId="0">
      <alignment horizontal="center" vertical="center" wrapText="1"/>
    </xf>
    <xf numFmtId="0" fontId="163" fillId="57" borderId="0" applyAlignment="1" pivotButton="0" quotePrefix="0" xfId="0">
      <alignment horizontal="center" vertical="center" wrapText="1"/>
    </xf>
    <xf numFmtId="0" fontId="163" fillId="41" borderId="0" applyAlignment="1" pivotButton="0" quotePrefix="0" xfId="0">
      <alignment horizontal="left" vertical="center" wrapText="1"/>
    </xf>
    <xf numFmtId="0" fontId="163" fillId="41" borderId="0" applyAlignment="1" pivotButton="0" quotePrefix="0" xfId="0">
      <alignment horizontal="center" vertical="center" wrapText="1"/>
    </xf>
    <xf numFmtId="164" fontId="162" fillId="55" borderId="0" applyAlignment="1" pivotButton="0" quotePrefix="0" xfId="0">
      <alignment horizontal="center" vertical="center" wrapText="1"/>
    </xf>
    <xf numFmtId="165" fontId="162" fillId="0" borderId="0" applyAlignment="1" pivotButton="0" quotePrefix="0" xfId="0">
      <alignment horizontal="center" vertical="center" wrapText="1"/>
    </xf>
    <xf numFmtId="0" fontId="162" fillId="60" borderId="0" applyAlignment="1" pivotButton="0" quotePrefix="0" xfId="0">
      <alignment horizontal="left" vertical="center" wrapText="1"/>
    </xf>
    <xf numFmtId="0" fontId="162" fillId="60" borderId="0" applyAlignment="1" pivotButton="0" quotePrefix="0" xfId="0">
      <alignment horizontal="center" vertical="center" wrapText="1"/>
    </xf>
    <xf numFmtId="175" fontId="162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bottom"/>
    </xf>
    <xf numFmtId="0" fontId="130" fillId="55" borderId="0" applyAlignment="1" pivotButton="0" quotePrefix="0" xfId="0">
      <alignment horizontal="center" vertical="center"/>
    </xf>
    <xf numFmtId="0" fontId="137" fillId="57" borderId="0" applyAlignment="1" pivotButton="0" quotePrefix="0" xfId="0">
      <alignment horizontal="center" vertical="center"/>
    </xf>
    <xf numFmtId="0" fontId="168" fillId="45" borderId="0" applyAlignment="1" pivotButton="0" quotePrefix="0" xfId="0">
      <alignment horizontal="center" vertical="center"/>
    </xf>
    <xf numFmtId="0" fontId="160" fillId="13" borderId="0" applyAlignment="1" pivotButton="0" quotePrefix="0" xfId="0">
      <alignment horizontal="left" vertical="center" wrapText="1"/>
    </xf>
    <xf numFmtId="0" fontId="74" fillId="3" borderId="0" applyAlignment="1" pivotButton="0" quotePrefix="0" xfId="0">
      <alignment horizontal="left" vertical="center" wrapText="1"/>
    </xf>
    <xf numFmtId="0" fontId="70" fillId="13" borderId="0" applyAlignment="1" pivotButton="0" quotePrefix="0" xfId="0">
      <alignment horizontal="left" vertical="center" wrapText="1"/>
    </xf>
    <xf numFmtId="0" fontId="74" fillId="3" borderId="0" applyAlignment="1" pivotButton="0" quotePrefix="0" xfId="0">
      <alignment horizontal="center" vertical="center" wrapText="1"/>
    </xf>
    <xf numFmtId="0" fontId="75" fillId="56" borderId="0" applyAlignment="1" pivotButton="0" quotePrefix="0" xfId="0">
      <alignment horizontal="left" vertical="center" wrapText="1"/>
    </xf>
    <xf numFmtId="0" fontId="79" fillId="56" borderId="0" applyAlignment="1" pivotButton="0" quotePrefix="0" xfId="0">
      <alignment horizontal="center" vertical="center" wrapText="1"/>
    </xf>
    <xf numFmtId="0" fontId="75" fillId="55" borderId="0" applyAlignment="1" pivotButton="0" quotePrefix="0" xfId="0">
      <alignment horizontal="left" vertical="center" wrapText="1"/>
    </xf>
    <xf numFmtId="0" fontId="79" fillId="55" borderId="0" applyAlignment="1" pivotButton="0" quotePrefix="0" xfId="0">
      <alignment horizontal="center" vertical="center" wrapText="1"/>
    </xf>
    <xf numFmtId="0" fontId="75" fillId="57" borderId="0" applyAlignment="1" pivotButton="0" quotePrefix="0" xfId="0">
      <alignment horizontal="left" vertical="center" wrapText="1"/>
    </xf>
    <xf numFmtId="0" fontId="79" fillId="57" borderId="0" applyAlignment="1" pivotButton="0" quotePrefix="0" xfId="0">
      <alignment horizontal="center" vertical="center" wrapText="1"/>
    </xf>
    <xf numFmtId="0" fontId="70" fillId="26" borderId="0" applyAlignment="1" pivotButton="0" quotePrefix="0" xfId="0">
      <alignment horizontal="left" vertical="center" wrapText="1"/>
    </xf>
    <xf numFmtId="0" fontId="79" fillId="48" borderId="0" applyAlignment="1" pivotButton="0" quotePrefix="0" xfId="0">
      <alignment horizontal="left" vertical="center" wrapText="1"/>
    </xf>
    <xf numFmtId="0" fontId="79" fillId="48" borderId="0" applyAlignment="1" pivotButton="0" quotePrefix="0" xfId="0">
      <alignment horizontal="center" vertical="center" wrapText="1"/>
    </xf>
    <xf numFmtId="0" fontId="79" fillId="57" borderId="0" applyAlignment="1" pivotButton="0" quotePrefix="0" xfId="0">
      <alignment horizontal="left" vertical="center" wrapText="1"/>
    </xf>
    <xf numFmtId="0" fontId="79" fillId="30" borderId="0" applyAlignment="1" pivotButton="0" quotePrefix="0" xfId="0">
      <alignment horizontal="left" vertical="center" wrapText="1"/>
    </xf>
    <xf numFmtId="0" fontId="79" fillId="30" borderId="0" applyAlignment="1" pivotButton="0" quotePrefix="0" xfId="0">
      <alignment horizontal="center" vertical="center" wrapText="1"/>
    </xf>
    <xf numFmtId="0" fontId="70" fillId="39" borderId="0" applyAlignment="1" pivotButton="0" quotePrefix="0" xfId="0">
      <alignment horizontal="left" vertical="center" wrapText="1"/>
    </xf>
    <xf numFmtId="0" fontId="169" fillId="48" borderId="0" applyAlignment="1" pivotButton="0" quotePrefix="0" xfId="0">
      <alignment horizontal="left" vertical="center" wrapText="1"/>
    </xf>
    <xf numFmtId="0" fontId="169" fillId="48" borderId="0" applyAlignment="1" pivotButton="0" quotePrefix="0" xfId="0">
      <alignment horizontal="center" vertical="center" wrapText="1"/>
    </xf>
    <xf numFmtId="0" fontId="79" fillId="55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center" vertical="center" wrapText="1"/>
    </xf>
    <xf numFmtId="0" fontId="70" fillId="36" borderId="0" applyAlignment="1" pivotButton="0" quotePrefix="0" xfId="0">
      <alignment horizontal="left" vertical="center" wrapText="1"/>
    </xf>
    <xf numFmtId="0" fontId="124" fillId="13" borderId="0" applyAlignment="1" pivotButton="0" quotePrefix="0" xfId="0">
      <alignment horizontal="center" vertical="center" wrapText="1"/>
    </xf>
    <xf numFmtId="0" fontId="85" fillId="57" borderId="0" applyAlignment="1" pivotButton="0" quotePrefix="0" xfId="0">
      <alignment horizontal="center" vertical="center" wrapText="1"/>
    </xf>
    <xf numFmtId="0" fontId="169" fillId="57" borderId="0" applyAlignment="1" pivotButton="0" quotePrefix="0" xfId="0">
      <alignment horizontal="center" vertical="center" wrapText="1"/>
    </xf>
    <xf numFmtId="0" fontId="169" fillId="57" borderId="0" applyAlignment="1" pivotButton="0" quotePrefix="0" xfId="0">
      <alignment horizontal="left" vertical="center" wrapText="1"/>
    </xf>
    <xf numFmtId="0" fontId="85" fillId="56" borderId="0" applyAlignment="1" pivotButton="0" quotePrefix="0" xfId="0">
      <alignment horizontal="center" vertical="center" wrapText="1"/>
    </xf>
    <xf numFmtId="0" fontId="169" fillId="56" borderId="0" applyAlignment="1" pivotButton="0" quotePrefix="0" xfId="0">
      <alignment horizontal="center" vertical="center" wrapText="1"/>
    </xf>
    <xf numFmtId="0" fontId="169" fillId="56" borderId="0" applyAlignment="1" pivotButton="0" quotePrefix="0" xfId="0">
      <alignment horizontal="left" vertical="center" wrapText="1"/>
    </xf>
    <xf numFmtId="0" fontId="85" fillId="55" borderId="0" applyAlignment="1" pivotButton="0" quotePrefix="0" xfId="0">
      <alignment horizontal="center" vertical="center" wrapText="1"/>
    </xf>
    <xf numFmtId="0" fontId="169" fillId="55" borderId="0" applyAlignment="1" pivotButton="0" quotePrefix="0" xfId="0">
      <alignment horizontal="center" vertical="center" wrapText="1"/>
    </xf>
    <xf numFmtId="0" fontId="169" fillId="55" borderId="0" applyAlignment="1" pivotButton="0" quotePrefix="0" xfId="0">
      <alignment horizontal="left" vertical="center" wrapText="1"/>
    </xf>
    <xf numFmtId="0" fontId="124" fillId="3" borderId="0" applyAlignment="1" pivotButton="0" quotePrefix="0" xfId="0">
      <alignment horizontal="center" vertical="center" wrapText="1"/>
    </xf>
    <xf numFmtId="0" fontId="79" fillId="56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left" vertical="center" wrapText="1"/>
    </xf>
    <xf numFmtId="0" fontId="133" fillId="48" borderId="0" applyAlignment="1" pivotButton="0" quotePrefix="0" xfId="0">
      <alignment horizontal="left" vertical="center" wrapText="1"/>
    </xf>
    <xf numFmtId="0" fontId="133" fillId="55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left" vertical="center" wrapText="1"/>
    </xf>
    <xf numFmtId="0" fontId="170" fillId="40" borderId="0" applyAlignment="1" pivotButton="0" quotePrefix="0" xfId="0">
      <alignment horizontal="general" vertical="bottom"/>
    </xf>
    <xf numFmtId="0" fontId="100" fillId="40" borderId="0" applyAlignment="1" pivotButton="0" quotePrefix="0" xfId="0">
      <alignment horizontal="left" vertical="center"/>
    </xf>
    <xf numFmtId="0" fontId="170" fillId="30" borderId="0" applyAlignment="1" pivotButton="0" quotePrefix="0" xfId="0">
      <alignment horizontal="general" vertical="bottom"/>
    </xf>
    <xf numFmtId="0" fontId="160" fillId="13" borderId="0" applyAlignment="1" pivotButton="0" quotePrefix="0" xfId="0">
      <alignment horizontal="left" vertical="center"/>
    </xf>
    <xf numFmtId="0" fontId="170" fillId="0" borderId="0" applyAlignment="1" pivotButton="0" quotePrefix="0" xfId="0">
      <alignment horizontal="general" vertical="bottom"/>
    </xf>
    <xf numFmtId="0" fontId="170" fillId="8" borderId="0" applyAlignment="1" pivotButton="0" quotePrefix="0" xfId="0">
      <alignment horizontal="general" vertical="bottom"/>
    </xf>
    <xf numFmtId="0" fontId="171" fillId="8" borderId="0" applyAlignment="1" pivotButton="0" quotePrefix="0" xfId="0">
      <alignment horizontal="left" vertical="center"/>
    </xf>
    <xf numFmtId="0" fontId="170" fillId="20" borderId="0" applyAlignment="1" pivotButton="0" quotePrefix="0" xfId="0">
      <alignment horizontal="general" vertical="bottom"/>
    </xf>
    <xf numFmtId="0" fontId="30" fillId="20" borderId="0" applyAlignment="1" pivotButton="0" quotePrefix="0" xfId="0">
      <alignment horizontal="left" vertical="center"/>
    </xf>
    <xf numFmtId="176" fontId="172" fillId="20" borderId="0" applyAlignment="1" pivotButton="0" quotePrefix="0" xfId="0">
      <alignment horizontal="center" vertical="center"/>
    </xf>
    <xf numFmtId="0" fontId="105" fillId="20" borderId="0" applyAlignment="1" pivotButton="0" quotePrefix="0" xfId="0">
      <alignment horizontal="left" vertical="center"/>
    </xf>
    <xf numFmtId="0" fontId="170" fillId="21" borderId="0" applyAlignment="1" pivotButton="0" quotePrefix="0" xfId="0">
      <alignment horizontal="general" vertical="bottom"/>
    </xf>
    <xf numFmtId="0" fontId="124" fillId="3" borderId="0" applyAlignment="1" pivotButton="0" quotePrefix="0" xfId="0">
      <alignment horizontal="center" vertical="center"/>
    </xf>
    <xf numFmtId="0" fontId="18" fillId="40" borderId="0" applyAlignment="1" pivotButton="0" quotePrefix="0" xfId="0">
      <alignment horizontal="center" vertical="center" wrapText="1"/>
    </xf>
    <xf numFmtId="0" fontId="133" fillId="41" borderId="0" applyAlignment="1" pivotButton="0" quotePrefix="0" xfId="0">
      <alignment horizontal="right" vertical="center"/>
    </xf>
    <xf numFmtId="164" fontId="133" fillId="41" borderId="0" applyAlignment="1" pivotButton="0" quotePrefix="0" xfId="0">
      <alignment horizontal="right" vertical="center"/>
    </xf>
    <xf numFmtId="165" fontId="133" fillId="41" borderId="0" applyAlignment="1" pivotButton="0" quotePrefix="0" xfId="0">
      <alignment horizontal="right" vertical="center"/>
    </xf>
    <xf numFmtId="3" fontId="133" fillId="41" borderId="0" applyAlignment="1" pivotButton="0" quotePrefix="0" xfId="0">
      <alignment horizontal="right" vertical="center"/>
    </xf>
    <xf numFmtId="0" fontId="133" fillId="55" borderId="0" applyAlignment="1" pivotButton="0" quotePrefix="0" xfId="0">
      <alignment horizontal="right" vertical="center"/>
    </xf>
    <xf numFmtId="164" fontId="133" fillId="55" borderId="0" applyAlignment="1" pivotButton="0" quotePrefix="0" xfId="0">
      <alignment horizontal="right" vertical="center"/>
    </xf>
    <xf numFmtId="165" fontId="133" fillId="55" borderId="0" applyAlignment="1" pivotButton="0" quotePrefix="0" xfId="0">
      <alignment horizontal="right" vertical="center"/>
    </xf>
    <xf numFmtId="3" fontId="133" fillId="55" borderId="0" applyAlignment="1" pivotButton="0" quotePrefix="0" xfId="0">
      <alignment horizontal="right" vertical="center"/>
    </xf>
    <xf numFmtId="0" fontId="133" fillId="57" borderId="0" applyAlignment="1" pivotButton="0" quotePrefix="0" xfId="0">
      <alignment horizontal="right" vertical="center"/>
    </xf>
    <xf numFmtId="164" fontId="133" fillId="57" borderId="0" applyAlignment="1" pivotButton="0" quotePrefix="0" xfId="0">
      <alignment horizontal="right" vertical="center"/>
    </xf>
    <xf numFmtId="165" fontId="133" fillId="57" borderId="0" applyAlignment="1" pivotButton="0" quotePrefix="0" xfId="0">
      <alignment horizontal="right" vertical="center"/>
    </xf>
    <xf numFmtId="3" fontId="133" fillId="57" borderId="0" applyAlignment="1" pivotButton="0" quotePrefix="0" xfId="0">
      <alignment horizontal="right" vertical="center"/>
    </xf>
    <xf numFmtId="0" fontId="74" fillId="13" borderId="0" applyAlignment="1" pivotButton="0" quotePrefix="0" xfId="0">
      <alignment horizontal="right" vertical="center"/>
    </xf>
    <xf numFmtId="164" fontId="74" fillId="13" borderId="0" applyAlignment="1" pivotButton="0" quotePrefix="0" xfId="0">
      <alignment horizontal="right" vertical="center"/>
    </xf>
    <xf numFmtId="165" fontId="74" fillId="13" borderId="0" applyAlignment="1" pivotButton="0" quotePrefix="0" xfId="0">
      <alignment horizontal="right" vertical="center"/>
    </xf>
    <xf numFmtId="3" fontId="74" fillId="13" borderId="0" applyAlignment="1" pivotButton="0" quotePrefix="0" xfId="0">
      <alignment horizontal="right" vertical="center"/>
    </xf>
    <xf numFmtId="0" fontId="47" fillId="14" borderId="0" applyAlignment="1" pivotButton="0" quotePrefix="0" xfId="0">
      <alignment horizontal="center" vertical="center"/>
    </xf>
    <xf numFmtId="0" fontId="124" fillId="13" borderId="0" applyAlignment="1" pivotButton="0" quotePrefix="0" xfId="0">
      <alignment horizontal="center" vertical="center"/>
    </xf>
    <xf numFmtId="0" fontId="47" fillId="14" borderId="0" applyAlignment="1" pivotButton="0" quotePrefix="0" xfId="0">
      <alignment horizontal="center" vertical="center" wrapText="1"/>
    </xf>
    <xf numFmtId="0" fontId="170" fillId="36" borderId="0" applyAlignment="1" pivotButton="0" quotePrefix="0" xfId="0">
      <alignment horizontal="general" vertical="bottom"/>
    </xf>
    <xf numFmtId="0" fontId="74" fillId="3" borderId="0" applyAlignment="1" pivotButton="0" quotePrefix="0" xfId="0">
      <alignment horizontal="left" vertical="center"/>
    </xf>
    <xf numFmtId="0" fontId="79" fillId="32" borderId="0" applyAlignment="1" pivotButton="0" quotePrefix="0" xfId="0">
      <alignment horizontal="left" vertical="center"/>
    </xf>
    <xf numFmtId="0" fontId="79" fillId="46" borderId="0" applyAlignment="1" pivotButton="0" quotePrefix="0" xfId="0">
      <alignment horizontal="left" vertical="center"/>
    </xf>
    <xf numFmtId="0" fontId="79" fillId="32" borderId="0" applyAlignment="1" pivotButton="0" quotePrefix="0" xfId="0">
      <alignment horizontal="center" vertical="center"/>
    </xf>
    <xf numFmtId="169" fontId="79" fillId="32" borderId="0" applyAlignment="1" pivotButton="0" quotePrefix="0" xfId="0">
      <alignment horizontal="center" vertical="center"/>
    </xf>
    <xf numFmtId="177" fontId="79" fillId="32" borderId="0" applyAlignment="1" pivotButton="0" quotePrefix="0" xfId="0">
      <alignment horizontal="center" vertical="center"/>
    </xf>
    <xf numFmtId="167" fontId="79" fillId="32" borderId="0" applyAlignment="1" pivotButton="0" quotePrefix="0" xfId="0">
      <alignment horizontal="center" vertical="center"/>
    </xf>
    <xf numFmtId="164" fontId="79" fillId="32" borderId="0" applyAlignment="1" pivotButton="0" quotePrefix="0" xfId="0">
      <alignment horizontal="center" vertical="center"/>
    </xf>
    <xf numFmtId="178" fontId="79" fillId="32" borderId="0" applyAlignment="1" pivotButton="0" quotePrefix="0" xfId="0">
      <alignment horizontal="center" vertical="center"/>
    </xf>
    <xf numFmtId="179" fontId="79" fillId="32" borderId="0" applyAlignment="1" pivotButton="0" quotePrefix="0" xfId="0">
      <alignment horizontal="center" vertical="center"/>
    </xf>
    <xf numFmtId="165" fontId="79" fillId="32" borderId="0" applyAlignment="1" pivotButton="0" quotePrefix="0" xfId="0">
      <alignment horizontal="center" vertical="center"/>
    </xf>
    <xf numFmtId="0" fontId="101" fillId="32" borderId="0" applyAlignment="1" pivotButton="0" quotePrefix="0" xfId="0">
      <alignment horizontal="left" vertical="center"/>
    </xf>
    <xf numFmtId="0" fontId="170" fillId="32" borderId="0" applyAlignment="1" pivotButton="0" quotePrefix="0" xfId="0">
      <alignment horizontal="general" vertical="bottom"/>
    </xf>
    <xf numFmtId="0" fontId="79" fillId="43" borderId="0" applyAlignment="1" pivotButton="0" quotePrefix="0" xfId="0">
      <alignment horizontal="left" vertical="center"/>
    </xf>
    <xf numFmtId="0" fontId="79" fillId="3" borderId="0" applyAlignment="1" pivotButton="0" quotePrefix="0" xfId="0">
      <alignment horizontal="left" vertical="center"/>
    </xf>
    <xf numFmtId="0" fontId="79" fillId="43" borderId="0" applyAlignment="1" pivotButton="0" quotePrefix="0" xfId="0">
      <alignment horizontal="center" vertical="center"/>
    </xf>
    <xf numFmtId="169" fontId="79" fillId="43" borderId="0" applyAlignment="1" pivotButton="0" quotePrefix="0" xfId="0">
      <alignment horizontal="center" vertical="center"/>
    </xf>
    <xf numFmtId="177" fontId="79" fillId="43" borderId="0" applyAlignment="1" pivotButton="0" quotePrefix="0" xfId="0">
      <alignment horizontal="center" vertical="center"/>
    </xf>
    <xf numFmtId="167" fontId="79" fillId="43" borderId="0" applyAlignment="1" pivotButton="0" quotePrefix="0" xfId="0">
      <alignment horizontal="center" vertical="center"/>
    </xf>
    <xf numFmtId="164" fontId="79" fillId="43" borderId="0" applyAlignment="1" pivotButton="0" quotePrefix="0" xfId="0">
      <alignment horizontal="center" vertical="center"/>
    </xf>
    <xf numFmtId="178" fontId="79" fillId="43" borderId="0" applyAlignment="1" pivotButton="0" quotePrefix="0" xfId="0">
      <alignment horizontal="center" vertical="center"/>
    </xf>
    <xf numFmtId="179" fontId="79" fillId="43" borderId="0" applyAlignment="1" pivotButton="0" quotePrefix="0" xfId="0">
      <alignment horizontal="center" vertical="center"/>
    </xf>
    <xf numFmtId="165" fontId="79" fillId="43" borderId="0" applyAlignment="1" pivotButton="0" quotePrefix="0" xfId="0">
      <alignment horizontal="center" vertical="center"/>
    </xf>
    <xf numFmtId="0" fontId="173" fillId="43" borderId="0" applyAlignment="1" pivotButton="0" quotePrefix="0" xfId="0">
      <alignment horizontal="left" vertical="center"/>
    </xf>
    <xf numFmtId="0" fontId="170" fillId="43" borderId="0" applyAlignment="1" pivotButton="0" quotePrefix="0" xfId="0">
      <alignment horizontal="general" vertical="bottom"/>
    </xf>
    <xf numFmtId="0" fontId="79" fillId="61" borderId="0" applyAlignment="1" pivotButton="0" quotePrefix="0" xfId="0">
      <alignment horizontal="left" vertical="center"/>
    </xf>
    <xf numFmtId="0" fontId="79" fillId="26" borderId="0" applyAlignment="1" pivotButton="0" quotePrefix="0" xfId="0">
      <alignment horizontal="left" vertical="center"/>
    </xf>
    <xf numFmtId="0" fontId="79" fillId="61" borderId="0" applyAlignment="1" pivotButton="0" quotePrefix="0" xfId="0">
      <alignment horizontal="center" vertical="center"/>
    </xf>
    <xf numFmtId="169" fontId="79" fillId="61" borderId="0" applyAlignment="1" pivotButton="0" quotePrefix="0" xfId="0">
      <alignment horizontal="center" vertical="center"/>
    </xf>
    <xf numFmtId="177" fontId="79" fillId="61" borderId="0" applyAlignment="1" pivotButton="0" quotePrefix="0" xfId="0">
      <alignment horizontal="center" vertical="center"/>
    </xf>
    <xf numFmtId="167" fontId="79" fillId="61" borderId="0" applyAlignment="1" pivotButton="0" quotePrefix="0" xfId="0">
      <alignment horizontal="center" vertical="center"/>
    </xf>
    <xf numFmtId="164" fontId="79" fillId="61" borderId="0" applyAlignment="1" pivotButton="0" quotePrefix="0" xfId="0">
      <alignment horizontal="center" vertical="center"/>
    </xf>
    <xf numFmtId="178" fontId="79" fillId="61" borderId="0" applyAlignment="1" pivotButton="0" quotePrefix="0" xfId="0">
      <alignment horizontal="center" vertical="center"/>
    </xf>
    <xf numFmtId="179" fontId="79" fillId="61" borderId="0" applyAlignment="1" pivotButton="0" quotePrefix="0" xfId="0">
      <alignment horizontal="center" vertical="center"/>
    </xf>
    <xf numFmtId="165" fontId="79" fillId="61" borderId="0" applyAlignment="1" pivotButton="0" quotePrefix="0" xfId="0">
      <alignment horizontal="center" vertical="center"/>
    </xf>
    <xf numFmtId="0" fontId="174" fillId="61" borderId="0" applyAlignment="1" pivotButton="0" quotePrefix="0" xfId="0">
      <alignment horizontal="left" vertical="center"/>
    </xf>
    <xf numFmtId="0" fontId="170" fillId="61" borderId="0" applyAlignment="1" pivotButton="0" quotePrefix="0" xfId="0">
      <alignment horizontal="general" vertical="bottom"/>
    </xf>
    <xf numFmtId="0" fontId="79" fillId="62" borderId="0" applyAlignment="1" pivotButton="0" quotePrefix="0" xfId="0">
      <alignment horizontal="left" vertical="center"/>
    </xf>
    <xf numFmtId="0" fontId="79" fillId="48" borderId="0" applyAlignment="1" pivotButton="0" quotePrefix="0" xfId="0">
      <alignment horizontal="left" vertical="center"/>
    </xf>
    <xf numFmtId="0" fontId="79" fillId="62" borderId="0" applyAlignment="1" pivotButton="0" quotePrefix="0" xfId="0">
      <alignment horizontal="center" vertical="center"/>
    </xf>
    <xf numFmtId="169" fontId="79" fillId="62" borderId="0" applyAlignment="1" pivotButton="0" quotePrefix="0" xfId="0">
      <alignment horizontal="center" vertical="center"/>
    </xf>
    <xf numFmtId="177" fontId="79" fillId="62" borderId="0" applyAlignment="1" pivotButton="0" quotePrefix="0" xfId="0">
      <alignment horizontal="center" vertical="center"/>
    </xf>
    <xf numFmtId="167" fontId="79" fillId="62" borderId="0" applyAlignment="1" pivotButton="0" quotePrefix="0" xfId="0">
      <alignment horizontal="center" vertical="center"/>
    </xf>
    <xf numFmtId="164" fontId="79" fillId="62" borderId="0" applyAlignment="1" pivotButton="0" quotePrefix="0" xfId="0">
      <alignment horizontal="center" vertical="center"/>
    </xf>
    <xf numFmtId="178" fontId="79" fillId="62" borderId="0" applyAlignment="1" pivotButton="0" quotePrefix="0" xfId="0">
      <alignment horizontal="center" vertical="center"/>
    </xf>
    <xf numFmtId="179" fontId="79" fillId="62" borderId="0" applyAlignment="1" pivotButton="0" quotePrefix="0" xfId="0">
      <alignment horizontal="center" vertical="center"/>
    </xf>
    <xf numFmtId="165" fontId="79" fillId="62" borderId="0" applyAlignment="1" pivotButton="0" quotePrefix="0" xfId="0">
      <alignment horizontal="center" vertical="center"/>
    </xf>
    <xf numFmtId="0" fontId="175" fillId="62" borderId="0" applyAlignment="1" pivotButton="0" quotePrefix="0" xfId="0">
      <alignment horizontal="left" vertical="center"/>
    </xf>
    <xf numFmtId="0" fontId="170" fillId="62" borderId="0" applyAlignment="1" pivotButton="0" quotePrefix="0" xfId="0">
      <alignment horizontal="general" vertical="bottom"/>
    </xf>
    <xf numFmtId="0" fontId="77" fillId="41" borderId="0" applyAlignment="1" pivotButton="0" quotePrefix="0" xfId="0">
      <alignment horizontal="left" vertical="center"/>
    </xf>
    <xf numFmtId="0" fontId="77" fillId="41" borderId="0" applyAlignment="1" pivotButton="0" quotePrefix="0" xfId="0">
      <alignment horizontal="left" vertical="center"/>
    </xf>
    <xf numFmtId="0" fontId="79" fillId="30" borderId="0" applyAlignment="1" pivotButton="0" quotePrefix="0" xfId="0">
      <alignment horizontal="center" vertical="center"/>
    </xf>
    <xf numFmtId="0" fontId="169" fillId="41" borderId="0" applyAlignment="1" pivotButton="0" quotePrefix="0" xfId="0">
      <alignment horizontal="right" vertical="center"/>
    </xf>
    <xf numFmtId="164" fontId="169" fillId="41" borderId="0" applyAlignment="1" pivotButton="0" quotePrefix="0" xfId="0">
      <alignment horizontal="right" vertical="center"/>
    </xf>
    <xf numFmtId="165" fontId="169" fillId="41" borderId="0" applyAlignment="1" pivotButton="0" quotePrefix="0" xfId="0">
      <alignment horizontal="right" vertical="center"/>
    </xf>
    <xf numFmtId="0" fontId="170" fillId="30" borderId="0" applyAlignment="1" pivotButton="0" quotePrefix="0" xfId="0">
      <alignment horizontal="general" vertical="bottom"/>
    </xf>
    <xf numFmtId="0" fontId="74" fillId="36" borderId="0" applyAlignment="1" pivotButton="0" quotePrefix="0" xfId="0">
      <alignment horizontal="left" vertical="center"/>
    </xf>
    <xf numFmtId="0" fontId="79" fillId="48" borderId="0" applyAlignment="1" pivotButton="0" quotePrefix="0" xfId="0">
      <alignment horizontal="center" vertical="center"/>
    </xf>
    <xf numFmtId="167" fontId="79" fillId="48" borderId="0" applyAlignment="1" pivotButton="0" quotePrefix="0" xfId="0">
      <alignment horizontal="center" vertical="center"/>
    </xf>
    <xf numFmtId="178" fontId="169" fillId="41" borderId="0" applyAlignment="1" pivotButton="0" quotePrefix="0" xfId="0">
      <alignment horizontal="right" vertical="center"/>
    </xf>
    <xf numFmtId="0" fontId="74" fillId="26" borderId="0" applyAlignment="1" pivotButton="0" quotePrefix="0" xfId="0">
      <alignment horizontal="left" vertical="center"/>
    </xf>
    <xf numFmtId="0" fontId="79" fillId="30" borderId="0" applyAlignment="1" pivotButton="0" quotePrefix="0" xfId="0">
      <alignment horizontal="left" vertical="center"/>
    </xf>
    <xf numFmtId="0" fontId="176" fillId="30" borderId="0" applyAlignment="1" pivotButton="0" quotePrefix="0" xfId="0">
      <alignment horizontal="left" vertical="center"/>
    </xf>
    <xf numFmtId="0" fontId="177" fillId="30" borderId="0" applyAlignment="1" pivotButton="0" quotePrefix="0" xfId="0">
      <alignment horizontal="center" vertical="center"/>
    </xf>
    <xf numFmtId="164" fontId="177" fillId="30" borderId="0" applyAlignment="1" pivotButton="0" quotePrefix="0" xfId="0">
      <alignment horizontal="center" vertical="center"/>
    </xf>
    <xf numFmtId="0" fontId="176" fillId="63" borderId="0" applyAlignment="1" pivotButton="0" quotePrefix="0" xfId="0">
      <alignment horizontal="left" vertical="center"/>
    </xf>
    <xf numFmtId="0" fontId="177" fillId="63" borderId="0" applyAlignment="1" pivotButton="0" quotePrefix="0" xfId="0">
      <alignment horizontal="center" vertical="center"/>
    </xf>
    <xf numFmtId="164" fontId="177" fillId="63" borderId="0" applyAlignment="1" pivotButton="0" quotePrefix="0" xfId="0">
      <alignment horizontal="center" vertical="center"/>
    </xf>
    <xf numFmtId="0" fontId="100" fillId="39" borderId="0" applyAlignment="1" pivotButton="0" quotePrefix="0" xfId="0">
      <alignment horizontal="left" vertical="center"/>
    </xf>
    <xf numFmtId="0" fontId="4" fillId="30" borderId="0" applyAlignment="1" pivotButton="0" quotePrefix="0" xfId="0">
      <alignment horizontal="left" vertical="center"/>
    </xf>
    <xf numFmtId="0" fontId="178" fillId="30" borderId="0" applyAlignment="1" pivotButton="0" quotePrefix="0" xfId="0">
      <alignment horizontal="center" vertical="center"/>
    </xf>
    <xf numFmtId="0" fontId="45" fillId="8" borderId="0" applyAlignment="1" pivotButton="0" quotePrefix="0" xfId="0">
      <alignment horizontal="left" vertical="center"/>
    </xf>
    <xf numFmtId="0" fontId="105" fillId="20" borderId="0" applyAlignment="1" pivotButton="0" quotePrefix="0" xfId="0">
      <alignment horizontal="left" vertical="center"/>
    </xf>
    <xf numFmtId="164" fontId="177" fillId="43" borderId="0" applyAlignment="1" pivotButton="0" quotePrefix="0" xfId="0">
      <alignment horizontal="center" vertical="center"/>
    </xf>
    <xf numFmtId="165" fontId="177" fillId="43" borderId="0" applyAlignment="1" pivotButton="0" quotePrefix="0" xfId="0">
      <alignment horizontal="center" vertical="center"/>
    </xf>
    <xf numFmtId="2" fontId="179" fillId="43" borderId="0" applyAlignment="1" pivotButton="0" quotePrefix="0" xfId="0">
      <alignment horizontal="center" vertical="center"/>
    </xf>
    <xf numFmtId="1" fontId="180" fillId="43" borderId="0" applyAlignment="1" pivotButton="0" quotePrefix="0" xfId="0">
      <alignment horizontal="center" vertical="center"/>
    </xf>
    <xf numFmtId="0" fontId="177" fillId="43" borderId="0" applyAlignment="1" pivotButton="0" quotePrefix="0" xfId="0">
      <alignment horizontal="center" vertical="center"/>
    </xf>
    <xf numFmtId="0" fontId="181" fillId="21" borderId="0" applyAlignment="1" pivotButton="0" quotePrefix="0" xfId="0">
      <alignment horizontal="center" vertical="center"/>
    </xf>
    <xf numFmtId="0" fontId="17" fillId="21" borderId="0" applyAlignment="1" pivotButton="0" quotePrefix="0" xfId="0">
      <alignment horizontal="center" vertical="center" wrapText="1"/>
    </xf>
    <xf numFmtId="0" fontId="18" fillId="21" borderId="0" applyAlignment="1" pivotButton="0" quotePrefix="0" xfId="0">
      <alignment horizontal="center" vertical="center" wrapText="1"/>
    </xf>
    <xf numFmtId="0" fontId="182" fillId="32" borderId="0" applyAlignment="1" pivotButton="0" quotePrefix="0" xfId="0">
      <alignment horizontal="left" vertical="center"/>
    </xf>
    <xf numFmtId="0" fontId="101" fillId="32" borderId="0" applyAlignment="1" pivotButton="0" quotePrefix="0" xfId="0">
      <alignment horizontal="center" vertical="center"/>
    </xf>
    <xf numFmtId="0" fontId="18" fillId="46" borderId="0" applyAlignment="1" pivotButton="0" quotePrefix="0" xfId="0">
      <alignment horizontal="center" vertical="center"/>
    </xf>
    <xf numFmtId="180" fontId="101" fillId="32" borderId="0" applyAlignment="1" pivotButton="0" quotePrefix="0" xfId="0">
      <alignment horizontal="center" vertical="center"/>
    </xf>
    <xf numFmtId="167" fontId="101" fillId="32" borderId="0" applyAlignment="1" pivotButton="0" quotePrefix="0" xfId="0">
      <alignment horizontal="center" vertical="center"/>
    </xf>
    <xf numFmtId="164" fontId="101" fillId="32" borderId="0" applyAlignment="1" pivotButton="0" quotePrefix="0" xfId="0">
      <alignment horizontal="center" vertical="center"/>
    </xf>
    <xf numFmtId="178" fontId="101" fillId="32" borderId="0" applyAlignment="1" pivotButton="0" quotePrefix="0" xfId="0">
      <alignment horizontal="center" vertical="center"/>
    </xf>
    <xf numFmtId="179" fontId="101" fillId="32" borderId="0" applyAlignment="1" pivotButton="0" quotePrefix="0" xfId="0">
      <alignment horizontal="center" vertical="center"/>
    </xf>
    <xf numFmtId="165" fontId="101" fillId="32" borderId="0" applyAlignment="1" pivotButton="0" quotePrefix="0" xfId="0">
      <alignment horizontal="center" vertical="center"/>
    </xf>
    <xf numFmtId="10" fontId="101" fillId="32" borderId="0" applyAlignment="1" pivotButton="0" quotePrefix="0" xfId="0">
      <alignment horizontal="center" vertical="center"/>
    </xf>
    <xf numFmtId="2" fontId="101" fillId="32" borderId="0" applyAlignment="1" pivotButton="0" quotePrefix="0" xfId="0">
      <alignment horizontal="center" vertical="center"/>
    </xf>
    <xf numFmtId="9" fontId="101" fillId="32" borderId="0" applyAlignment="1" pivotButton="0" quotePrefix="0" xfId="0">
      <alignment horizontal="center" vertical="center"/>
    </xf>
    <xf numFmtId="164" fontId="183" fillId="32" borderId="0" applyAlignment="1" pivotButton="0" quotePrefix="0" xfId="0">
      <alignment horizontal="center" vertical="center"/>
    </xf>
    <xf numFmtId="0" fontId="43" fillId="32" borderId="0" applyAlignment="1" pivotButton="0" quotePrefix="0" xfId="0">
      <alignment horizontal="center" vertical="center"/>
    </xf>
    <xf numFmtId="0" fontId="184" fillId="32" borderId="0" applyAlignment="1" pivotButton="0" quotePrefix="0" xfId="0">
      <alignment horizontal="left" vertical="center" wrapText="1"/>
    </xf>
    <xf numFmtId="0" fontId="185" fillId="32" borderId="0" applyAlignment="1" pivotButton="0" quotePrefix="0" xfId="0">
      <alignment horizontal="center" vertical="center"/>
    </xf>
    <xf numFmtId="0" fontId="186" fillId="32" borderId="0" applyAlignment="1" pivotButton="0" quotePrefix="0" xfId="0">
      <alignment horizontal="center" vertical="center"/>
    </xf>
    <xf numFmtId="0" fontId="185" fillId="29" borderId="0" applyAlignment="1" pivotButton="0" quotePrefix="0" xfId="0">
      <alignment horizontal="center" vertical="center"/>
    </xf>
    <xf numFmtId="0" fontId="187" fillId="23" borderId="0" applyAlignment="1" pivotButton="0" quotePrefix="0" xfId="0">
      <alignment horizontal="center" vertical="center"/>
    </xf>
    <xf numFmtId="9" fontId="188" fillId="0" borderId="0" applyAlignment="1" pivotButton="0" quotePrefix="0" xfId="0">
      <alignment horizontal="center" vertical="center"/>
    </xf>
    <xf numFmtId="0" fontId="189" fillId="20" borderId="0" applyAlignment="1" pivotButton="0" quotePrefix="0" xfId="0">
      <alignment horizontal="center" vertical="bottom"/>
    </xf>
    <xf numFmtId="165" fontId="26" fillId="63" borderId="0" applyAlignment="1" pivotButton="0" quotePrefix="0" xfId="0">
      <alignment horizontal="general" vertical="bottom"/>
    </xf>
    <xf numFmtId="1" fontId="182" fillId="32" borderId="0" applyAlignment="1" pivotButton="0" quotePrefix="0" xfId="0">
      <alignment horizontal="left" vertical="center"/>
    </xf>
    <xf numFmtId="0" fontId="190" fillId="32" borderId="0" applyAlignment="1" pivotButton="0" quotePrefix="0" xfId="0">
      <alignment horizontal="center" vertical="center"/>
    </xf>
    <xf numFmtId="9" fontId="191" fillId="0" borderId="0" applyAlignment="1" pivotButton="0" quotePrefix="0" xfId="0">
      <alignment horizontal="center" vertical="center"/>
    </xf>
    <xf numFmtId="165" fontId="26" fillId="30" borderId="0" applyAlignment="1" pivotButton="0" quotePrefix="0" xfId="0">
      <alignment horizontal="general" vertical="bottom"/>
    </xf>
    <xf numFmtId="0" fontId="192" fillId="32" borderId="0" applyAlignment="1" pivotButton="0" quotePrefix="0" xfId="0">
      <alignment horizontal="center" vertical="center"/>
    </xf>
    <xf numFmtId="9" fontId="193" fillId="0" borderId="0" applyAlignment="1" pivotButton="0" quotePrefix="0" xfId="0">
      <alignment horizontal="center" vertical="center"/>
    </xf>
    <xf numFmtId="0" fontId="194" fillId="32" borderId="0" applyAlignment="1" pivotButton="0" quotePrefix="0" xfId="0">
      <alignment horizontal="center" vertical="center"/>
    </xf>
    <xf numFmtId="1" fontId="22" fillId="43" borderId="0" applyAlignment="1" pivotButton="0" quotePrefix="0" xfId="0">
      <alignment horizontal="left" vertical="center"/>
    </xf>
    <xf numFmtId="0" fontId="173" fillId="43" borderId="0" applyAlignment="1" pivotButton="0" quotePrefix="0" xfId="0">
      <alignment horizontal="center" vertical="center"/>
    </xf>
    <xf numFmtId="180" fontId="173" fillId="43" borderId="0" applyAlignment="1" pivotButton="0" quotePrefix="0" xfId="0">
      <alignment horizontal="center" vertical="center"/>
    </xf>
    <xf numFmtId="167" fontId="173" fillId="43" borderId="0" applyAlignment="1" pivotButton="0" quotePrefix="0" xfId="0">
      <alignment horizontal="center" vertical="center"/>
    </xf>
    <xf numFmtId="164" fontId="173" fillId="43" borderId="0" applyAlignment="1" pivotButton="0" quotePrefix="0" xfId="0">
      <alignment horizontal="center" vertical="center"/>
    </xf>
    <xf numFmtId="178" fontId="173" fillId="43" borderId="0" applyAlignment="1" pivotButton="0" quotePrefix="0" xfId="0">
      <alignment horizontal="center" vertical="center"/>
    </xf>
    <xf numFmtId="179" fontId="173" fillId="43" borderId="0" applyAlignment="1" pivotButton="0" quotePrefix="0" xfId="0">
      <alignment horizontal="center" vertical="center"/>
    </xf>
    <xf numFmtId="165" fontId="173" fillId="43" borderId="0" applyAlignment="1" pivotButton="0" quotePrefix="0" xfId="0">
      <alignment horizontal="center" vertical="center"/>
    </xf>
    <xf numFmtId="10" fontId="173" fillId="43" borderId="0" applyAlignment="1" pivotButton="0" quotePrefix="0" xfId="0">
      <alignment horizontal="center" vertical="center"/>
    </xf>
    <xf numFmtId="2" fontId="173" fillId="43" borderId="0" applyAlignment="1" pivotButton="0" quotePrefix="0" xfId="0">
      <alignment horizontal="center" vertical="center"/>
    </xf>
    <xf numFmtId="9" fontId="173" fillId="43" borderId="0" applyAlignment="1" pivotButton="0" quotePrefix="0" xfId="0">
      <alignment horizontal="center" vertical="center"/>
    </xf>
    <xf numFmtId="164" fontId="183" fillId="43" borderId="0" applyAlignment="1" pivotButton="0" quotePrefix="0" xfId="0">
      <alignment horizontal="center" vertical="center"/>
    </xf>
    <xf numFmtId="0" fontId="43" fillId="43" borderId="0" applyAlignment="1" pivotButton="0" quotePrefix="0" xfId="0">
      <alignment horizontal="center" vertical="center"/>
    </xf>
    <xf numFmtId="0" fontId="195" fillId="43" borderId="0" applyAlignment="1" pivotButton="0" quotePrefix="0" xfId="0">
      <alignment horizontal="left" vertical="center" wrapText="1"/>
    </xf>
    <xf numFmtId="0" fontId="190" fillId="43" borderId="0" applyAlignment="1" pivotButton="0" quotePrefix="0" xfId="0">
      <alignment horizontal="center" vertical="center"/>
    </xf>
    <xf numFmtId="0" fontId="186" fillId="43" borderId="0" applyAlignment="1" pivotButton="0" quotePrefix="0" xfId="0">
      <alignment horizontal="center" vertical="center"/>
    </xf>
    <xf numFmtId="0" fontId="196" fillId="43" borderId="0" applyAlignment="1" pivotButton="0" quotePrefix="0" xfId="0">
      <alignment horizontal="center" vertical="center"/>
    </xf>
    <xf numFmtId="0" fontId="192" fillId="20" borderId="0" applyAlignment="1" pivotButton="0" quotePrefix="0" xfId="0">
      <alignment horizontal="center" vertical="center"/>
    </xf>
    <xf numFmtId="0" fontId="185" fillId="43" borderId="0" applyAlignment="1" pivotButton="0" quotePrefix="0" xfId="0">
      <alignment horizontal="center" vertical="center"/>
    </xf>
    <xf numFmtId="1" fontId="197" fillId="61" borderId="0" applyAlignment="1" pivotButton="0" quotePrefix="0" xfId="0">
      <alignment horizontal="left" vertical="center"/>
    </xf>
    <xf numFmtId="0" fontId="174" fillId="61" borderId="0" applyAlignment="1" pivotButton="0" quotePrefix="0" xfId="0">
      <alignment horizontal="center" vertical="center"/>
    </xf>
    <xf numFmtId="0" fontId="18" fillId="26" borderId="0" applyAlignment="1" pivotButton="0" quotePrefix="0" xfId="0">
      <alignment horizontal="center" vertical="center"/>
    </xf>
    <xf numFmtId="180" fontId="174" fillId="61" borderId="0" applyAlignment="1" pivotButton="0" quotePrefix="0" xfId="0">
      <alignment horizontal="center" vertical="center"/>
    </xf>
    <xf numFmtId="167" fontId="174" fillId="61" borderId="0" applyAlignment="1" pivotButton="0" quotePrefix="0" xfId="0">
      <alignment horizontal="center" vertical="center"/>
    </xf>
    <xf numFmtId="164" fontId="174" fillId="61" borderId="0" applyAlignment="1" pivotButton="0" quotePrefix="0" xfId="0">
      <alignment horizontal="center" vertical="center"/>
    </xf>
    <xf numFmtId="178" fontId="174" fillId="61" borderId="0" applyAlignment="1" pivotButton="0" quotePrefix="0" xfId="0">
      <alignment horizontal="center" vertical="center"/>
    </xf>
    <xf numFmtId="179" fontId="174" fillId="61" borderId="0" applyAlignment="1" pivotButton="0" quotePrefix="0" xfId="0">
      <alignment horizontal="center" vertical="center"/>
    </xf>
    <xf numFmtId="165" fontId="174" fillId="61" borderId="0" applyAlignment="1" pivotButton="0" quotePrefix="0" xfId="0">
      <alignment horizontal="center" vertical="center"/>
    </xf>
    <xf numFmtId="10" fontId="174" fillId="61" borderId="0" applyAlignment="1" pivotButton="0" quotePrefix="0" xfId="0">
      <alignment horizontal="center" vertical="center"/>
    </xf>
    <xf numFmtId="2" fontId="174" fillId="61" borderId="0" applyAlignment="1" pivotButton="0" quotePrefix="0" xfId="0">
      <alignment horizontal="center" vertical="center"/>
    </xf>
    <xf numFmtId="9" fontId="174" fillId="61" borderId="0" applyAlignment="1" pivotButton="0" quotePrefix="0" xfId="0">
      <alignment horizontal="center" vertical="center"/>
    </xf>
    <xf numFmtId="164" fontId="183" fillId="61" borderId="0" applyAlignment="1" pivotButton="0" quotePrefix="0" xfId="0">
      <alignment horizontal="center" vertical="center"/>
    </xf>
    <xf numFmtId="0" fontId="43" fillId="61" borderId="0" applyAlignment="1" pivotButton="0" quotePrefix="0" xfId="0">
      <alignment horizontal="center" vertical="center"/>
    </xf>
    <xf numFmtId="0" fontId="198" fillId="61" borderId="0" applyAlignment="1" pivotButton="0" quotePrefix="0" xfId="0">
      <alignment horizontal="left" vertical="center" wrapText="1"/>
    </xf>
    <xf numFmtId="0" fontId="199" fillId="61" borderId="0" applyAlignment="1" pivotButton="0" quotePrefix="0" xfId="0">
      <alignment horizontal="center" vertical="center"/>
    </xf>
    <xf numFmtId="0" fontId="186" fillId="61" borderId="0" applyAlignment="1" pivotButton="0" quotePrefix="0" xfId="0">
      <alignment horizontal="center" vertical="center"/>
    </xf>
    <xf numFmtId="0" fontId="199" fillId="0" borderId="0" applyAlignment="1" pivotButton="0" quotePrefix="0" xfId="0">
      <alignment horizontal="center" vertical="center"/>
    </xf>
    <xf numFmtId="0" fontId="196" fillId="61" borderId="0" applyAlignment="1" pivotButton="0" quotePrefix="0" xfId="0">
      <alignment horizontal="center" vertical="center"/>
    </xf>
    <xf numFmtId="0" fontId="200" fillId="61" borderId="0" applyAlignment="1" pivotButton="0" quotePrefix="0" xfId="0">
      <alignment horizontal="center" vertical="center"/>
    </xf>
    <xf numFmtId="1" fontId="23" fillId="62" borderId="0" applyAlignment="1" pivotButton="0" quotePrefix="0" xfId="0">
      <alignment horizontal="left" vertical="center"/>
    </xf>
    <xf numFmtId="0" fontId="175" fillId="6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80" fontId="175" fillId="62" borderId="0" applyAlignment="1" pivotButton="0" quotePrefix="0" xfId="0">
      <alignment horizontal="center" vertical="center"/>
    </xf>
    <xf numFmtId="167" fontId="175" fillId="62" borderId="0" applyAlignment="1" pivotButton="0" quotePrefix="0" xfId="0">
      <alignment horizontal="center" vertical="center"/>
    </xf>
    <xf numFmtId="164" fontId="175" fillId="62" borderId="0" applyAlignment="1" pivotButton="0" quotePrefix="0" xfId="0">
      <alignment horizontal="center" vertical="center"/>
    </xf>
    <xf numFmtId="178" fontId="175" fillId="62" borderId="0" applyAlignment="1" pivotButton="0" quotePrefix="0" xfId="0">
      <alignment horizontal="center" vertical="center"/>
    </xf>
    <xf numFmtId="179" fontId="175" fillId="62" borderId="0" applyAlignment="1" pivotButton="0" quotePrefix="0" xfId="0">
      <alignment horizontal="center" vertical="center"/>
    </xf>
    <xf numFmtId="165" fontId="175" fillId="62" borderId="0" applyAlignment="1" pivotButton="0" quotePrefix="0" xfId="0">
      <alignment horizontal="center" vertical="center"/>
    </xf>
    <xf numFmtId="10" fontId="175" fillId="62" borderId="0" applyAlignment="1" pivotButton="0" quotePrefix="0" xfId="0">
      <alignment horizontal="center" vertical="center"/>
    </xf>
    <xf numFmtId="2" fontId="175" fillId="62" borderId="0" applyAlignment="1" pivotButton="0" quotePrefix="0" xfId="0">
      <alignment horizontal="center" vertical="center"/>
    </xf>
    <xf numFmtId="9" fontId="175" fillId="62" borderId="0" applyAlignment="1" pivotButton="0" quotePrefix="0" xfId="0">
      <alignment horizontal="center" vertical="center"/>
    </xf>
    <xf numFmtId="164" fontId="183" fillId="62" borderId="0" applyAlignment="1" pivotButton="0" quotePrefix="0" xfId="0">
      <alignment horizontal="center" vertical="center"/>
    </xf>
    <xf numFmtId="0" fontId="43" fillId="62" borderId="0" applyAlignment="1" pivotButton="0" quotePrefix="0" xfId="0">
      <alignment horizontal="center" vertical="center"/>
    </xf>
    <xf numFmtId="0" fontId="201" fillId="62" borderId="0" applyAlignment="1" pivotButton="0" quotePrefix="0" xfId="0">
      <alignment horizontal="left" vertical="center" wrapText="1"/>
    </xf>
    <xf numFmtId="0" fontId="194" fillId="62" borderId="0" applyAlignment="1" pivotButton="0" quotePrefix="0" xfId="0">
      <alignment horizontal="center" vertical="center"/>
    </xf>
    <xf numFmtId="0" fontId="186" fillId="62" borderId="0" applyAlignment="1" pivotButton="0" quotePrefix="0" xfId="0">
      <alignment horizontal="center" vertical="center"/>
    </xf>
    <xf numFmtId="0" fontId="199" fillId="62" borderId="0" applyAlignment="1" pivotButton="0" quotePrefix="0" xfId="0">
      <alignment horizontal="center" vertical="center"/>
    </xf>
    <xf numFmtId="0" fontId="202" fillId="62" borderId="0" applyAlignment="1" pivotButton="0" quotePrefix="0" xfId="0">
      <alignment horizontal="center" vertical="center"/>
    </xf>
    <xf numFmtId="0" fontId="203" fillId="32" borderId="0" applyAlignment="1" pivotButton="0" quotePrefix="0" xfId="0">
      <alignment horizontal="center" vertical="center"/>
    </xf>
    <xf numFmtId="0" fontId="203" fillId="43" borderId="0" applyAlignment="1" pivotButton="0" quotePrefix="0" xfId="0">
      <alignment horizontal="center" vertical="center"/>
    </xf>
    <xf numFmtId="1" fontId="204" fillId="30" borderId="0" applyAlignment="1" pivotButton="0" quotePrefix="0" xfId="0">
      <alignment horizontal="center" vertical="center"/>
    </xf>
    <xf numFmtId="0" fontId="179" fillId="30" borderId="0" applyAlignment="1" pivotButton="0" quotePrefix="0" xfId="0">
      <alignment horizontal="center" vertical="center"/>
    </xf>
    <xf numFmtId="0" fontId="205" fillId="30" borderId="0" applyAlignment="1" pivotButton="0" quotePrefix="0" xfId="0">
      <alignment horizontal="left" vertical="center"/>
    </xf>
    <xf numFmtId="0" fontId="206" fillId="30" borderId="0" applyAlignment="1" pivotButton="0" quotePrefix="0" xfId="0">
      <alignment horizontal="center" vertical="center"/>
    </xf>
    <xf numFmtId="0" fontId="207" fillId="30" borderId="0" applyAlignment="1" pivotButton="0" quotePrefix="0" xfId="0">
      <alignment horizontal="center" vertical="center"/>
    </xf>
    <xf numFmtId="0" fontId="208" fillId="30" borderId="0" applyAlignment="1" pivotButton="0" quotePrefix="0" xfId="0">
      <alignment horizontal="center" vertical="center"/>
    </xf>
    <xf numFmtId="180" fontId="209" fillId="30" borderId="0" applyAlignment="1" pivotButton="0" quotePrefix="0" xfId="0">
      <alignment horizontal="center" vertical="center"/>
    </xf>
    <xf numFmtId="167" fontId="210" fillId="30" borderId="0" applyAlignment="1" pivotButton="0" quotePrefix="0" xfId="0">
      <alignment horizontal="center" vertical="center"/>
    </xf>
    <xf numFmtId="167" fontId="211" fillId="30" borderId="0" applyAlignment="1" pivotButton="0" quotePrefix="0" xfId="0">
      <alignment horizontal="center" vertical="center"/>
    </xf>
    <xf numFmtId="167" fontId="208" fillId="30" borderId="0" applyAlignment="1" pivotButton="0" quotePrefix="0" xfId="0">
      <alignment horizontal="center" vertical="center"/>
    </xf>
    <xf numFmtId="164" fontId="211" fillId="30" borderId="0" applyAlignment="1" pivotButton="0" quotePrefix="0" xfId="0">
      <alignment horizontal="center" vertical="center"/>
    </xf>
    <xf numFmtId="164" fontId="208" fillId="30" borderId="0" applyAlignment="1" pivotButton="0" quotePrefix="0" xfId="0">
      <alignment horizontal="center" vertical="center"/>
    </xf>
    <xf numFmtId="164" fontId="209" fillId="30" borderId="0" applyAlignment="1" pivotButton="0" quotePrefix="0" xfId="0">
      <alignment horizontal="center" vertical="center"/>
    </xf>
    <xf numFmtId="165" fontId="207" fillId="30" borderId="0" applyAlignment="1" pivotButton="0" quotePrefix="0" xfId="0">
      <alignment horizontal="center" vertical="center"/>
    </xf>
    <xf numFmtId="10" fontId="209" fillId="30" borderId="0" applyAlignment="1" pivotButton="0" quotePrefix="0" xfId="0">
      <alignment horizontal="center" vertical="center"/>
    </xf>
    <xf numFmtId="167" fontId="212" fillId="30" borderId="0" applyAlignment="1" pivotButton="0" quotePrefix="0" xfId="0">
      <alignment horizontal="center" vertical="center"/>
    </xf>
    <xf numFmtId="164" fontId="213" fillId="30" borderId="0" applyAlignment="1" pivotButton="0" quotePrefix="0" xfId="0">
      <alignment horizontal="center" vertical="center"/>
    </xf>
    <xf numFmtId="0" fontId="214" fillId="30" borderId="0" applyAlignment="1" pivotButton="0" quotePrefix="0" xfId="0">
      <alignment horizontal="center" vertical="center"/>
    </xf>
    <xf numFmtId="0" fontId="203" fillId="30" borderId="0" applyAlignment="1" pivotButton="0" quotePrefix="0" xfId="0">
      <alignment horizontal="center" vertical="center"/>
    </xf>
    <xf numFmtId="0" fontId="74" fillId="13" borderId="0" applyAlignment="1" pivotButton="0" quotePrefix="0" xfId="0">
      <alignment horizontal="general" vertical="bottom"/>
    </xf>
    <xf numFmtId="0" fontId="74" fillId="13" borderId="0" applyAlignment="1" pivotButton="0" quotePrefix="0" xfId="0">
      <alignment horizontal="left" vertical="center"/>
    </xf>
    <xf numFmtId="0" fontId="74" fillId="13" borderId="0" applyAlignment="1" pivotButton="0" quotePrefix="0" xfId="0">
      <alignment horizontal="center" vertical="center"/>
    </xf>
    <xf numFmtId="167" fontId="74" fillId="13" borderId="0" applyAlignment="1" pivotButton="0" quotePrefix="0" xfId="0">
      <alignment horizontal="center" vertical="center"/>
    </xf>
    <xf numFmtId="164" fontId="74" fillId="13" borderId="0" applyAlignment="1" pivotButton="0" quotePrefix="0" xfId="0">
      <alignment horizontal="center" vertical="center"/>
    </xf>
    <xf numFmtId="178" fontId="74" fillId="13" borderId="0" applyAlignment="1" pivotButton="0" quotePrefix="0" xfId="0">
      <alignment horizontal="center" vertical="center"/>
    </xf>
    <xf numFmtId="179" fontId="74" fillId="13" borderId="0" applyAlignment="1" pivotButton="0" quotePrefix="0" xfId="0">
      <alignment horizontal="center" vertical="center"/>
    </xf>
    <xf numFmtId="165" fontId="74" fillId="13" borderId="0" applyAlignment="1" pivotButton="0" quotePrefix="0" xfId="0">
      <alignment horizontal="center" vertical="center"/>
    </xf>
    <xf numFmtId="10" fontId="74" fillId="13" borderId="0" applyAlignment="1" pivotButton="0" quotePrefix="0" xfId="0">
      <alignment horizontal="center" vertical="center"/>
    </xf>
    <xf numFmtId="9" fontId="74" fillId="13" borderId="0" applyAlignment="1" pivotButton="0" quotePrefix="0" xfId="0">
      <alignment horizontal="center" vertical="center"/>
    </xf>
    <xf numFmtId="0" fontId="170" fillId="14" borderId="0" applyAlignment="1" pivotButton="0" quotePrefix="0" xfId="0">
      <alignment horizontal="general" vertical="bottom"/>
    </xf>
    <xf numFmtId="0" fontId="17" fillId="30" borderId="0" applyAlignment="1" pivotButton="0" quotePrefix="0" xfId="0">
      <alignment horizontal="center" vertical="center"/>
    </xf>
    <xf numFmtId="0" fontId="72" fillId="30" borderId="0" applyAlignment="1" pivotButton="0" quotePrefix="0" xfId="0">
      <alignment horizontal="center" vertical="center"/>
    </xf>
    <xf numFmtId="181" fontId="215" fillId="30" borderId="0" applyAlignment="1" pivotButton="0" quotePrefix="0" xfId="0">
      <alignment horizontal="center" vertical="center"/>
    </xf>
    <xf numFmtId="164" fontId="215" fillId="30" borderId="0" applyAlignment="1" pivotButton="0" quotePrefix="0" xfId="0">
      <alignment horizontal="center" vertical="center"/>
    </xf>
    <xf numFmtId="165" fontId="215" fillId="30" borderId="0" applyAlignment="1" pivotButton="0" quotePrefix="0" xfId="0">
      <alignment horizontal="center" vertical="center"/>
    </xf>
    <xf numFmtId="0" fontId="215" fillId="30" borderId="0" applyAlignment="1" pivotButton="0" quotePrefix="0" xfId="0">
      <alignment horizontal="center" vertical="center"/>
    </xf>
    <xf numFmtId="0" fontId="177" fillId="30" borderId="0" applyAlignment="1" pivotButton="0" quotePrefix="0" xfId="0">
      <alignment horizontal="left" vertical="center"/>
    </xf>
    <xf numFmtId="167" fontId="177" fillId="30" borderId="0" applyAlignment="1" pivotButton="0" quotePrefix="0" xfId="0">
      <alignment horizontal="center" vertical="center"/>
    </xf>
    <xf numFmtId="178" fontId="177" fillId="30" borderId="0" applyAlignment="1" pivotButton="0" quotePrefix="0" xfId="0">
      <alignment horizontal="center" vertical="center"/>
    </xf>
    <xf numFmtId="179" fontId="177" fillId="30" borderId="0" applyAlignment="1" pivotButton="0" quotePrefix="0" xfId="0">
      <alignment horizontal="center" vertical="center"/>
    </xf>
    <xf numFmtId="165" fontId="177" fillId="30" borderId="0" applyAlignment="1" pivotButton="0" quotePrefix="0" xfId="0">
      <alignment horizontal="center" vertical="center"/>
    </xf>
    <xf numFmtId="10" fontId="177" fillId="30" borderId="0" applyAlignment="1" pivotButton="0" quotePrefix="0" xfId="0">
      <alignment horizontal="center" vertical="center"/>
    </xf>
    <xf numFmtId="9" fontId="177" fillId="30" borderId="0" applyAlignment="1" pivotButton="0" quotePrefix="0" xfId="0">
      <alignment horizontal="center" vertical="center"/>
    </xf>
    <xf numFmtId="0" fontId="177" fillId="63" borderId="0" applyAlignment="1" pivotButton="0" quotePrefix="0" xfId="0">
      <alignment horizontal="left" vertical="center"/>
    </xf>
    <xf numFmtId="167" fontId="177" fillId="63" borderId="0" applyAlignment="1" pivotButton="0" quotePrefix="0" xfId="0">
      <alignment horizontal="center" vertical="center"/>
    </xf>
    <xf numFmtId="178" fontId="177" fillId="63" borderId="0" applyAlignment="1" pivotButton="0" quotePrefix="0" xfId="0">
      <alignment horizontal="center" vertical="center"/>
    </xf>
    <xf numFmtId="179" fontId="177" fillId="63" borderId="0" applyAlignment="1" pivotButton="0" quotePrefix="0" xfId="0">
      <alignment horizontal="center" vertical="center"/>
    </xf>
    <xf numFmtId="165" fontId="177" fillId="63" borderId="0" applyAlignment="1" pivotButton="0" quotePrefix="0" xfId="0">
      <alignment horizontal="center" vertical="center"/>
    </xf>
    <xf numFmtId="10" fontId="177" fillId="63" borderId="0" applyAlignment="1" pivotButton="0" quotePrefix="0" xfId="0">
      <alignment horizontal="center" vertical="center"/>
    </xf>
    <xf numFmtId="2" fontId="177" fillId="63" borderId="0" applyAlignment="1" pivotButton="0" quotePrefix="0" xfId="0">
      <alignment horizontal="center" vertical="center"/>
    </xf>
    <xf numFmtId="9" fontId="177" fillId="63" borderId="0" applyAlignment="1" pivotButton="0" quotePrefix="0" xfId="0">
      <alignment horizontal="center" vertical="center"/>
    </xf>
    <xf numFmtId="164" fontId="177" fillId="63" borderId="0" applyAlignment="1" pivotButton="0" quotePrefix="0" xfId="0">
      <alignment horizontal="left" vertical="center"/>
    </xf>
    <xf numFmtId="1" fontId="177" fillId="63" borderId="0" applyAlignment="1" pivotButton="0" quotePrefix="0" xfId="0">
      <alignment horizontal="center" vertical="center"/>
    </xf>
    <xf numFmtId="164" fontId="177" fillId="30" borderId="0" applyAlignment="1" pivotButton="0" quotePrefix="0" xfId="0">
      <alignment horizontal="left" vertical="center"/>
    </xf>
    <xf numFmtId="1" fontId="177" fillId="30" borderId="0" applyAlignment="1" pivotButton="0" quotePrefix="0" xfId="0">
      <alignment horizontal="center" vertical="center"/>
    </xf>
    <xf numFmtId="10" fontId="177" fillId="30" borderId="0" applyAlignment="1" pivotButton="0" quotePrefix="0" xfId="0">
      <alignment horizontal="left" vertical="center"/>
    </xf>
    <xf numFmtId="3" fontId="177" fillId="30" borderId="0" applyAlignment="1" pivotButton="0" quotePrefix="0" xfId="0">
      <alignment horizontal="left" vertical="center"/>
    </xf>
    <xf numFmtId="3" fontId="177" fillId="63" borderId="0" applyAlignment="1" pivotButton="0" quotePrefix="0" xfId="0">
      <alignment horizontal="left" vertical="center"/>
    </xf>
    <xf numFmtId="165" fontId="177" fillId="30" borderId="0" applyAlignment="1" pivotButton="0" quotePrefix="0" xfId="0">
      <alignment horizontal="left" vertical="center"/>
    </xf>
    <xf numFmtId="165" fontId="177" fillId="63" borderId="0" applyAlignment="1" pivotButton="0" quotePrefix="0" xfId="0">
      <alignment horizontal="left" vertical="center"/>
    </xf>
    <xf numFmtId="49" fontId="177" fillId="30" borderId="0" applyAlignment="1" pivotButton="0" quotePrefix="0" xfId="0">
      <alignment horizontal="left" vertical="center"/>
    </xf>
    <xf numFmtId="3" fontId="177" fillId="30" borderId="0" applyAlignment="1" pivotButton="0" quotePrefix="0" xfId="0">
      <alignment horizontal="center" vertical="center"/>
    </xf>
    <xf numFmtId="167" fontId="177" fillId="30" borderId="0" applyAlignment="1" pivotButton="0" quotePrefix="0" xfId="0">
      <alignment horizontal="center" vertical="center" wrapText="1"/>
    </xf>
    <xf numFmtId="0" fontId="216" fillId="38" borderId="0" applyAlignment="1" pivotButton="0" quotePrefix="0" xfId="0">
      <alignment horizontal="left" vertical="center" wrapText="1"/>
    </xf>
    <xf numFmtId="0" fontId="217" fillId="14" borderId="0" applyAlignment="1" pivotButton="0" quotePrefix="0" xfId="0">
      <alignment horizontal="left" vertical="center" wrapText="1"/>
    </xf>
    <xf numFmtId="0" fontId="17" fillId="33" borderId="0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17" fillId="64" borderId="0" applyAlignment="1" pivotButton="0" quotePrefix="0" xfId="0">
      <alignment horizontal="center" vertical="center" wrapText="1"/>
    </xf>
    <xf numFmtId="0" fontId="26" fillId="48" borderId="0" applyAlignment="1" pivotButton="0" quotePrefix="0" xfId="0">
      <alignment horizontal="left" vertical="center" wrapText="1"/>
    </xf>
    <xf numFmtId="0" fontId="27" fillId="55" borderId="0" applyAlignment="1" pivotButton="0" quotePrefix="0" xfId="0">
      <alignment horizontal="left" vertical="center" wrapText="1"/>
    </xf>
    <xf numFmtId="0" fontId="27" fillId="56" borderId="0" applyAlignment="1" pivotButton="0" quotePrefix="0" xfId="0">
      <alignment horizontal="left" vertical="center" wrapText="1"/>
    </xf>
    <xf numFmtId="0" fontId="27" fillId="57" borderId="0" applyAlignment="1" pivotButton="0" quotePrefix="0" xfId="0">
      <alignment horizontal="left" vertical="center" wrapText="1"/>
    </xf>
    <xf numFmtId="0" fontId="27" fillId="65" borderId="0" applyAlignment="1" pivotButton="0" quotePrefix="0" xfId="0">
      <alignment horizontal="left" vertical="center" wrapText="1"/>
    </xf>
    <xf numFmtId="0" fontId="26" fillId="30" borderId="0" applyAlignment="1" pivotButton="0" quotePrefix="0" xfId="0">
      <alignment horizontal="left" vertical="center" wrapText="1"/>
    </xf>
    <xf numFmtId="0" fontId="18" fillId="33" borderId="0" applyAlignment="1" pivotButton="0" quotePrefix="0" xfId="0">
      <alignment horizontal="left" vertical="center" wrapText="1"/>
    </xf>
    <xf numFmtId="0" fontId="218" fillId="48" borderId="0" applyAlignment="1" pivotButton="0" quotePrefix="0" xfId="0">
      <alignment horizontal="center" vertical="center" wrapText="1"/>
    </xf>
    <xf numFmtId="9" fontId="27" fillId="43" borderId="0" applyAlignment="1" pivotButton="0" quotePrefix="0" xfId="0">
      <alignment horizontal="center" vertical="center" wrapText="1"/>
    </xf>
    <xf numFmtId="0" fontId="27" fillId="28" borderId="0" applyAlignment="1" pivotButton="0" quotePrefix="0" xfId="0">
      <alignment horizontal="center" vertical="center" wrapText="1"/>
    </xf>
    <xf numFmtId="0" fontId="27" fillId="19" borderId="0" applyAlignment="1" pivotButton="0" quotePrefix="0" xfId="0">
      <alignment horizontal="center" vertical="center" wrapText="1"/>
    </xf>
    <xf numFmtId="0" fontId="109" fillId="48" borderId="0" applyAlignment="1" pivotButton="0" quotePrefix="0" xfId="0">
      <alignment horizontal="left" vertical="center" wrapText="1"/>
    </xf>
    <xf numFmtId="0" fontId="218" fillId="30" borderId="0" applyAlignment="1" pivotButton="0" quotePrefix="0" xfId="0">
      <alignment horizontal="center" vertical="center" wrapText="1"/>
    </xf>
    <xf numFmtId="0" fontId="109" fillId="30" borderId="0" applyAlignment="1" pivotButton="0" quotePrefix="0" xfId="0">
      <alignment horizontal="left" vertical="center" wrapText="1"/>
    </xf>
    <xf numFmtId="0" fontId="17" fillId="40" borderId="0" applyAlignment="1" pivotButton="0" quotePrefix="0" xfId="0">
      <alignment horizontal="left" vertical="center" wrapText="1"/>
    </xf>
    <xf numFmtId="0" fontId="17" fillId="40" borderId="0" applyAlignment="1" pivotButton="0" quotePrefix="0" xfId="0">
      <alignment horizontal="center" vertical="center" wrapText="1"/>
    </xf>
    <xf numFmtId="0" fontId="219" fillId="40" borderId="0" applyAlignment="1" pivotButton="0" quotePrefix="0" xfId="0">
      <alignment horizontal="center" vertical="center" wrapText="1"/>
    </xf>
    <xf numFmtId="0" fontId="17" fillId="38" borderId="0" applyAlignment="1" pivotButton="0" quotePrefix="0" xfId="0">
      <alignment horizontal="left" vertical="center" wrapText="1"/>
    </xf>
    <xf numFmtId="0" fontId="220" fillId="20" borderId="0" applyAlignment="1" pivotButton="0" quotePrefix="0" xfId="0">
      <alignment horizontal="left" vertical="center" wrapText="1"/>
    </xf>
    <xf numFmtId="0" fontId="37" fillId="34" borderId="1" applyAlignment="1" pivotButton="0" quotePrefix="0" xfId="0">
      <alignment horizontal="center" vertical="center"/>
    </xf>
    <xf numFmtId="0" fontId="150" fillId="34" borderId="1" applyAlignment="1" pivotButton="0" quotePrefix="0" xfId="0">
      <alignment horizontal="left" vertical="center" wrapText="1"/>
    </xf>
    <xf numFmtId="0" fontId="221" fillId="34" borderId="1" applyAlignment="1" pivotButton="0" quotePrefix="0" xfId="0">
      <alignment horizontal="center" vertical="center"/>
    </xf>
    <xf numFmtId="0" fontId="222" fillId="34" borderId="0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center" vertical="center"/>
    </xf>
    <xf numFmtId="0" fontId="150" fillId="30" borderId="1" applyAlignment="1" pivotButton="0" quotePrefix="0" xfId="0">
      <alignment horizontal="left" vertical="center" wrapText="1"/>
    </xf>
    <xf numFmtId="0" fontId="221" fillId="30" borderId="1" applyAlignment="1" pivotButton="0" quotePrefix="0" xfId="0">
      <alignment horizontal="center" vertical="center"/>
    </xf>
    <xf numFmtId="0" fontId="222" fillId="30" borderId="0" applyAlignment="1" pivotButton="0" quotePrefix="0" xfId="0">
      <alignment horizontal="left" vertical="center" wrapText="1"/>
    </xf>
    <xf numFmtId="0" fontId="115" fillId="34" borderId="1" applyAlignment="1" pivotButton="0" quotePrefix="0" xfId="0">
      <alignment horizontal="center" vertical="center"/>
    </xf>
    <xf numFmtId="0" fontId="223" fillId="34" borderId="1" applyAlignment="1" pivotButton="0" quotePrefix="0" xfId="0">
      <alignment horizontal="center" vertical="center"/>
    </xf>
    <xf numFmtId="0" fontId="223" fillId="30" borderId="1" applyAlignment="1" pivotButton="0" quotePrefix="0" xfId="0">
      <alignment horizontal="center" vertical="center"/>
    </xf>
    <xf numFmtId="0" fontId="26" fillId="56" borderId="0" applyAlignment="1" pivotButton="0" quotePrefix="0" xfId="0">
      <alignment horizontal="left" vertical="center" wrapText="1"/>
    </xf>
    <xf numFmtId="0" fontId="27" fillId="56" borderId="0" applyAlignment="1" pivotButton="0" quotePrefix="0" xfId="0">
      <alignment horizontal="left" vertical="center" wrapText="1"/>
    </xf>
    <xf numFmtId="0" fontId="26" fillId="56" borderId="0" applyAlignment="1" pivotButton="0" quotePrefix="0" xfId="0">
      <alignment horizontal="center" vertical="center" wrapText="1"/>
    </xf>
    <xf numFmtId="0" fontId="109" fillId="28" borderId="0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center" vertical="center" wrapText="1"/>
    </xf>
    <xf numFmtId="0" fontId="27" fillId="43" borderId="0" applyAlignment="1" pivotButton="0" quotePrefix="0" xfId="0">
      <alignment horizontal="center" vertical="center" wrapText="1"/>
    </xf>
    <xf numFmtId="0" fontId="26" fillId="57" borderId="0" applyAlignment="1" pivotButton="0" quotePrefix="0" xfId="0">
      <alignment horizontal="left" vertical="center" wrapText="1"/>
    </xf>
    <xf numFmtId="0" fontId="27" fillId="57" borderId="0" applyAlignment="1" pivotButton="0" quotePrefix="0" xfId="0">
      <alignment horizontal="left" vertical="center" wrapText="1"/>
    </xf>
    <xf numFmtId="0" fontId="26" fillId="57" borderId="0" applyAlignment="1" pivotButton="0" quotePrefix="0" xfId="0">
      <alignment horizontal="center" vertical="center" wrapText="1"/>
    </xf>
    <xf numFmtId="0" fontId="26" fillId="65" borderId="0" applyAlignment="1" pivotButton="0" quotePrefix="0" xfId="0">
      <alignment horizontal="left" vertical="center" wrapText="1"/>
    </xf>
    <xf numFmtId="0" fontId="27" fillId="65" borderId="0" applyAlignment="1" pivotButton="0" quotePrefix="0" xfId="0">
      <alignment horizontal="left" vertical="center" wrapText="1"/>
    </xf>
    <xf numFmtId="0" fontId="26" fillId="65" borderId="0" applyAlignment="1" pivotButton="0" quotePrefix="0" xfId="0">
      <alignment horizontal="center" vertical="center" wrapText="1"/>
    </xf>
    <xf numFmtId="0" fontId="27" fillId="30" borderId="0" applyAlignment="1" pivotButton="0" quotePrefix="0" xfId="0">
      <alignment horizontal="left" vertical="center" wrapText="1"/>
    </xf>
    <xf numFmtId="0" fontId="27" fillId="48" borderId="0" applyAlignment="1" pivotButton="0" quotePrefix="0" xfId="0">
      <alignment horizontal="left" vertical="center" wrapText="1"/>
    </xf>
    <xf numFmtId="0" fontId="224" fillId="0" borderId="0" applyAlignment="1" pivotButton="0" quotePrefix="0" xfId="0">
      <alignment horizontal="left" vertical="center" wrapText="1"/>
    </xf>
    <xf numFmtId="0" fontId="224" fillId="0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/>
    </xf>
    <xf numFmtId="0" fontId="6" fillId="42" borderId="0" applyAlignment="1" pivotButton="0" quotePrefix="0" xfId="0">
      <alignment horizontal="left" vertical="center"/>
    </xf>
    <xf numFmtId="0" fontId="72" fillId="15" borderId="0" applyAlignment="1" pivotButton="0" quotePrefix="0" xfId="0">
      <alignment horizontal="left" vertical="center"/>
    </xf>
    <xf numFmtId="0" fontId="71" fillId="28" borderId="0" applyAlignment="1" pivotButton="0" quotePrefix="0" xfId="0">
      <alignment horizontal="left" vertical="center"/>
    </xf>
    <xf numFmtId="0" fontId="0" fillId="17" borderId="0" applyAlignment="1" pivotButton="0" quotePrefix="0" xfId="0">
      <alignment horizontal="general" vertical="bottom"/>
    </xf>
    <xf numFmtId="164" fontId="0" fillId="17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164" fontId="0" fillId="16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64" fontId="0" fillId="15" borderId="0" applyAlignment="1" pivotButton="0" quotePrefix="0" xfId="0">
      <alignment horizontal="general" vertical="bottom"/>
    </xf>
    <xf numFmtId="0" fontId="71" fillId="19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 wrapText="1"/>
    </xf>
    <xf numFmtId="0" fontId="6" fillId="25" borderId="0" applyAlignment="1" pivotButton="0" quotePrefix="0" xfId="0">
      <alignment horizontal="left" vertical="center"/>
    </xf>
    <xf numFmtId="0" fontId="182" fillId="32" borderId="0" applyAlignment="1" pivotButton="0" quotePrefix="0" xfId="0">
      <alignment horizontal="general" vertical="bottom"/>
    </xf>
    <xf numFmtId="0" fontId="101" fillId="32" borderId="0" applyAlignment="1" pivotButton="0" quotePrefix="0" xfId="0">
      <alignment horizontal="general" vertical="bottom"/>
    </xf>
    <xf numFmtId="0" fontId="225" fillId="2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left" vertical="center"/>
    </xf>
    <xf numFmtId="0" fontId="0" fillId="15" borderId="0" applyAlignment="1" pivotButton="0" quotePrefix="0" xfId="0">
      <alignment horizontal="general" vertical="bottom"/>
    </xf>
    <xf numFmtId="0" fontId="72" fillId="15" borderId="0" applyAlignment="1" pivotButton="0" quotePrefix="0" xfId="0">
      <alignment horizontal="left" vertical="center" wrapText="1"/>
    </xf>
    <xf numFmtId="0" fontId="0" fillId="16" borderId="0" applyAlignment="1" pivotButton="0" quotePrefix="0" xfId="0">
      <alignment horizontal="general" vertical="bottom"/>
    </xf>
    <xf numFmtId="0" fontId="72" fillId="16" borderId="0" applyAlignment="1" pivotButton="0" quotePrefix="0" xfId="0">
      <alignment horizontal="left" vertical="center" wrapText="1"/>
    </xf>
    <xf numFmtId="0" fontId="226" fillId="42" borderId="0" applyAlignment="1" pivotButton="0" quotePrefix="0" xfId="0">
      <alignment horizontal="left" vertical="center"/>
    </xf>
    <xf numFmtId="0" fontId="18" fillId="42" borderId="0" applyAlignment="1" pivotButton="0" quotePrefix="0" xfId="0">
      <alignment horizontal="center" vertical="center"/>
    </xf>
    <xf numFmtId="0" fontId="18" fillId="42" borderId="0" applyAlignment="1" pivotButton="0" quotePrefix="0" xfId="0">
      <alignment horizontal="center" vertical="center"/>
    </xf>
    <xf numFmtId="0" fontId="0" fillId="45" borderId="0" applyAlignment="1" pivotButton="0" quotePrefix="0" xfId="0">
      <alignment horizontal="general" vertical="bottom"/>
    </xf>
    <xf numFmtId="0" fontId="0" fillId="45" borderId="0" applyAlignment="1" pivotButton="0" quotePrefix="0" xfId="0">
      <alignment horizontal="general" vertical="bottom"/>
    </xf>
    <xf numFmtId="0" fontId="100" fillId="25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167" fontId="0" fillId="16" borderId="0" applyAlignment="1" pivotButton="0" quotePrefix="0" xfId="0">
      <alignment horizontal="general" vertical="bottom"/>
    </xf>
    <xf numFmtId="167" fontId="0" fillId="45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7" fillId="14" borderId="0" applyAlignment="1" pivotButton="0" quotePrefix="0" xfId="0">
      <alignment horizontal="general" vertical="bottom"/>
    </xf>
    <xf numFmtId="0" fontId="31" fillId="20" borderId="0" applyAlignment="1" pivotButton="0" quotePrefix="0" xfId="0">
      <alignment horizontal="center" vertical="center"/>
    </xf>
    <xf numFmtId="0" fontId="104" fillId="20" borderId="0" applyAlignment="1" pivotButton="0" quotePrefix="0" xfId="0">
      <alignment horizontal="center" vertical="center"/>
    </xf>
    <xf numFmtId="0" fontId="104" fillId="20" borderId="0" applyAlignment="1" pivotButton="0" quotePrefix="0" xfId="0">
      <alignment horizontal="center" vertical="center"/>
    </xf>
    <xf numFmtId="0" fontId="105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27" fillId="46" borderId="0" applyAlignment="1" pivotButton="0" quotePrefix="0" xfId="0">
      <alignment horizontal="left" vertical="center"/>
    </xf>
    <xf numFmtId="0" fontId="18" fillId="46" borderId="0" applyAlignment="1" pivotButton="0" quotePrefix="0" xfId="0">
      <alignment horizontal="center" vertical="center"/>
    </xf>
    <xf numFmtId="0" fontId="0" fillId="66" borderId="0" applyAlignment="1" pivotButton="0" quotePrefix="0" xfId="0">
      <alignment horizontal="general" vertical="bottom"/>
    </xf>
    <xf numFmtId="0" fontId="72" fillId="66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general" vertical="bottom"/>
    </xf>
    <xf numFmtId="0" fontId="0" fillId="66" borderId="0" applyAlignment="1" pivotButton="0" quotePrefix="0" xfId="0">
      <alignment horizontal="general" vertical="bottom"/>
    </xf>
    <xf numFmtId="0" fontId="72" fillId="66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 wrapText="1"/>
    </xf>
    <xf numFmtId="0" fontId="6" fillId="46" borderId="0" applyAlignment="1" pivotButton="0" quotePrefix="0" xfId="0">
      <alignment horizontal="left" vertical="center"/>
    </xf>
    <xf numFmtId="0" fontId="0" fillId="29" borderId="0" applyAlignment="1" pivotButton="0" quotePrefix="0" xfId="0">
      <alignment horizontal="general" vertical="bottom"/>
    </xf>
    <xf numFmtId="176" fontId="0" fillId="29" borderId="0" applyAlignment="1" pivotButton="0" quotePrefix="0" xfId="0">
      <alignment horizontal="general" vertical="bottom"/>
    </xf>
    <xf numFmtId="0" fontId="72" fillId="29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general" vertical="bottom"/>
    </xf>
    <xf numFmtId="176" fontId="0" fillId="19" borderId="0" applyAlignment="1" pivotButton="0" quotePrefix="0" xfId="0">
      <alignment horizontal="general" vertical="bottom"/>
    </xf>
    <xf numFmtId="165" fontId="0" fillId="29" borderId="0" applyAlignment="1" pivotButton="0" quotePrefix="0" xfId="0">
      <alignment horizontal="general" vertical="bottom"/>
    </xf>
    <xf numFmtId="0" fontId="18" fillId="14" borderId="0" applyAlignment="1" pivotButton="0" quotePrefix="0" xfId="0">
      <alignment horizontal="general" vertical="bottom"/>
    </xf>
    <xf numFmtId="0" fontId="51" fillId="15" borderId="0" applyAlignment="1" pivotButton="0" quotePrefix="0" xfId="0">
      <alignment horizontal="left" vertical="center" wrapText="1"/>
    </xf>
    <xf numFmtId="0" fontId="26" fillId="28" borderId="0" applyAlignment="1" pivotButton="0" quotePrefix="0" xfId="0">
      <alignment horizontal="left" vertical="center" wrapText="1"/>
    </xf>
    <xf numFmtId="0" fontId="228" fillId="28" borderId="0" applyAlignment="1" pivotButton="0" quotePrefix="0" xfId="0">
      <alignment horizontal="left" vertical="center" wrapText="1"/>
    </xf>
    <xf numFmtId="0" fontId="229" fillId="28" borderId="0" applyAlignment="1" pivotButton="0" quotePrefix="0" xfId="0">
      <alignment horizontal="left" vertical="center" wrapText="1"/>
    </xf>
    <xf numFmtId="0" fontId="26" fillId="55" borderId="0" applyAlignment="1" pivotButton="0" quotePrefix="0" xfId="0">
      <alignment horizontal="left" vertical="center" wrapText="1"/>
    </xf>
    <xf numFmtId="0" fontId="230" fillId="55" borderId="0" applyAlignment="1" pivotButton="0" quotePrefix="0" xfId="0">
      <alignment horizontal="left" vertical="center" wrapText="1"/>
    </xf>
    <xf numFmtId="0" fontId="229" fillId="55" borderId="0" applyAlignment="1" pivotButton="0" quotePrefix="0" xfId="0">
      <alignment horizontal="left" vertical="center" wrapText="1"/>
    </xf>
    <xf numFmtId="0" fontId="100" fillId="21" borderId="0" applyAlignment="1" pivotButton="0" quotePrefix="0" xfId="0">
      <alignment horizontal="left" vertical="center"/>
    </xf>
    <xf numFmtId="0" fontId="71" fillId="19" borderId="0" applyAlignment="1" pivotButton="0" quotePrefix="0" xfId="0">
      <alignment horizontal="left" vertical="center"/>
    </xf>
    <xf numFmtId="10" fontId="0" fillId="15" borderId="0" applyAlignment="1" pivotButton="0" quotePrefix="0" xfId="0">
      <alignment horizontal="general" vertical="bottom"/>
    </xf>
    <xf numFmtId="0" fontId="72" fillId="15" borderId="0" applyAlignment="1" pivotButton="0" quotePrefix="0" xfId="0">
      <alignment horizontal="left" vertical="center"/>
    </xf>
    <xf numFmtId="10" fontId="0" fillId="16" borderId="0" applyAlignment="1" pivotButton="0" quotePrefix="0" xfId="0">
      <alignment horizontal="general" vertical="bottom"/>
    </xf>
    <xf numFmtId="0" fontId="72" fillId="16" borderId="0" applyAlignment="1" pivotButton="0" quotePrefix="0" xfId="0">
      <alignment horizontal="left" vertical="center"/>
    </xf>
    <xf numFmtId="0" fontId="0" fillId="42" borderId="0" applyAlignment="1" pivotButton="0" quotePrefix="0" xfId="0">
      <alignment horizontal="general" vertical="bottom"/>
    </xf>
    <xf numFmtId="164" fontId="0" fillId="42" borderId="0" applyAlignment="1" pivotButton="0" quotePrefix="0" xfId="0">
      <alignment horizontal="general" vertical="bottom"/>
    </xf>
    <xf numFmtId="0" fontId="0" fillId="42" borderId="0" applyAlignment="1" pivotButton="0" quotePrefix="0" xfId="0">
      <alignment horizontal="general" vertical="bottom"/>
    </xf>
    <xf numFmtId="164" fontId="0" fillId="19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2" fillId="17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00" fillId="46" borderId="0" applyAlignment="1" pivotButton="0" quotePrefix="0" xfId="0">
      <alignment horizontal="left" vertical="center"/>
    </xf>
    <xf numFmtId="0" fontId="231" fillId="0" borderId="0" applyAlignment="1" pivotButton="0" quotePrefix="0" xfId="0">
      <alignment horizontal="left" vertical="center" wrapText="1"/>
    </xf>
    <xf numFmtId="0" fontId="6" fillId="42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center" vertical="center"/>
    </xf>
    <xf numFmtId="0" fontId="31" fillId="15" borderId="0" applyAlignment="1" pivotButton="0" quotePrefix="0" xfId="0">
      <alignment horizontal="center" vertical="center"/>
    </xf>
    <xf numFmtId="0" fontId="104" fillId="15" borderId="0" applyAlignment="1" pivotButton="0" quotePrefix="0" xfId="0">
      <alignment horizontal="center" vertical="center"/>
    </xf>
    <xf numFmtId="0" fontId="31" fillId="16" borderId="0" applyAlignment="1" pivotButton="0" quotePrefix="0" xfId="0">
      <alignment horizontal="center" vertical="center"/>
    </xf>
    <xf numFmtId="0" fontId="104" fillId="16" borderId="0" applyAlignment="1" pivotButton="0" quotePrefix="0" xfId="0">
      <alignment horizontal="center" vertical="center"/>
    </xf>
    <xf numFmtId="0" fontId="227" fillId="46" borderId="0" applyAlignment="1" pivotButton="0" quotePrefix="0" xfId="0">
      <alignment horizontal="left" vertical="center"/>
    </xf>
    <xf numFmtId="0" fontId="0" fillId="66" borderId="0" applyAlignment="1" pivotButton="0" quotePrefix="0" xfId="0">
      <alignment horizontal="general" vertical="bottom"/>
    </xf>
    <xf numFmtId="49" fontId="89" fillId="28" borderId="2" applyAlignment="1" pivotButton="0" quotePrefix="0" xfId="0">
      <alignment horizontal="right" vertical="center"/>
    </xf>
    <xf numFmtId="0" fontId="15" fillId="21" borderId="2" applyAlignment="1" pivotButton="0" quotePrefix="0" xfId="0">
      <alignment horizontal="left" vertical="center" wrapText="1"/>
    </xf>
    <xf numFmtId="0" fontId="0" fillId="21" borderId="2" applyAlignment="1" pivotButton="0" quotePrefix="0" xfId="0">
      <alignment horizontal="general" vertical="bottom"/>
    </xf>
    <xf numFmtId="0" fontId="70" fillId="21" borderId="2" applyAlignment="1" pivotButton="0" quotePrefix="0" xfId="0">
      <alignment horizontal="center" vertical="center" wrapText="1"/>
    </xf>
    <xf numFmtId="0" fontId="85" fillId="67" borderId="2" applyAlignment="1" pivotButton="0" quotePrefix="0" xfId="0">
      <alignment horizontal="left" vertical="center" wrapText="1"/>
    </xf>
    <xf numFmtId="0" fontId="91" fillId="67" borderId="2" applyAlignment="1" pivotButton="0" quotePrefix="0" xfId="0">
      <alignment horizontal="center" vertical="center" wrapText="1"/>
    </xf>
    <xf numFmtId="164" fontId="95" fillId="44" borderId="2" applyAlignment="1" pivotButton="0" quotePrefix="0" xfId="0">
      <alignment horizontal="right" vertical="center"/>
    </xf>
    <xf numFmtId="0" fontId="91" fillId="42" borderId="2" applyAlignment="1" pivotButton="0" quotePrefix="0" xfId="0">
      <alignment horizontal="center" vertical="center" wrapText="1"/>
    </xf>
    <xf numFmtId="164" fontId="70" fillId="42" borderId="2" applyAlignment="1" pivotButton="0" quotePrefix="0" xfId="0">
      <alignment horizontal="right" vertical="center"/>
    </xf>
    <xf numFmtId="0" fontId="232" fillId="44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233" fillId="30" borderId="0" applyAlignment="1" pivotButton="0" quotePrefix="0" xfId="0">
      <alignment horizontal="left" vertical="center"/>
    </xf>
    <xf numFmtId="0" fontId="234" fillId="0" borderId="0" applyAlignment="1" pivotButton="0" quotePrefix="0" xfId="0">
      <alignment horizontal="left" vertical="center"/>
    </xf>
    <xf numFmtId="0" fontId="170" fillId="46" borderId="0" applyAlignment="1" pivotButton="0" quotePrefix="0" xfId="0">
      <alignment horizontal="general" vertical="bottom"/>
    </xf>
    <xf numFmtId="0" fontId="47" fillId="46" borderId="0" applyAlignment="1" pivotButton="0" quotePrefix="0" xfId="0">
      <alignment horizontal="center" vertical="center" wrapText="1"/>
    </xf>
    <xf numFmtId="0" fontId="177" fillId="30" borderId="0" applyAlignment="1" pivotButton="0" quotePrefix="0" xfId="0">
      <alignment horizontal="left" vertical="center" wrapText="1"/>
    </xf>
    <xf numFmtId="0" fontId="177" fillId="63" borderId="0" applyAlignment="1" pivotButton="0" quotePrefix="0" xfId="0">
      <alignment horizontal="left" vertical="center" wrapText="1"/>
    </xf>
    <xf numFmtId="0" fontId="18" fillId="46" borderId="0" applyAlignment="1" pivotButton="0" quotePrefix="0" xfId="0">
      <alignment horizontal="left" vertical="center"/>
    </xf>
    <xf numFmtId="164" fontId="18" fillId="46" borderId="0" applyAlignment="1" pivotButton="0" quotePrefix="0" xfId="0">
      <alignment horizontal="center" vertical="center"/>
    </xf>
    <xf numFmtId="165" fontId="18" fillId="46" borderId="0" applyAlignment="1" pivotButton="0" quotePrefix="0" xfId="0">
      <alignment horizontal="center" vertical="center"/>
    </xf>
    <xf numFmtId="0" fontId="234" fillId="14" borderId="0" applyAlignment="1" pivotButton="0" quotePrefix="0" xfId="0">
      <alignment horizontal="left" vertical="center"/>
    </xf>
    <xf numFmtId="0" fontId="177" fillId="63" borderId="0" applyAlignment="1" pivotButton="0" quotePrefix="0" xfId="0">
      <alignment horizontal="center" vertical="center" wrapText="1"/>
    </xf>
    <xf numFmtId="0" fontId="31" fillId="15" borderId="0" applyAlignment="1" pivotButton="0" quotePrefix="0" xfId="0">
      <alignment horizontal="general" vertical="bottom"/>
    </xf>
    <xf numFmtId="0" fontId="104" fillId="15" borderId="0" applyAlignment="1" pivotButton="0" quotePrefix="0" xfId="0">
      <alignment horizontal="general" vertical="bottom"/>
    </xf>
    <xf numFmtId="0" fontId="235" fillId="15" borderId="0" applyAlignment="1" pivotButton="0" quotePrefix="0" xfId="0">
      <alignment horizontal="general" vertical="bottom"/>
    </xf>
    <xf numFmtId="0" fontId="31" fillId="32" borderId="0" applyAlignment="1" pivotButton="0" quotePrefix="0" xfId="0">
      <alignment horizontal="general" vertical="bottom"/>
    </xf>
    <xf numFmtId="0" fontId="104" fillId="32" borderId="0" applyAlignment="1" pivotButton="0" quotePrefix="0" xfId="0">
      <alignment horizontal="general" vertical="bottom"/>
    </xf>
    <xf numFmtId="0" fontId="182" fillId="32" borderId="0" applyAlignment="1" pivotButton="0" quotePrefix="0" xfId="0">
      <alignment horizontal="center" vertical="center"/>
    </xf>
    <xf numFmtId="0" fontId="235" fillId="32" borderId="0" applyAlignment="1" pivotButton="0" quotePrefix="0" xfId="0">
      <alignment horizontal="general" vertical="bottom"/>
    </xf>
    <xf numFmtId="0" fontId="100" fillId="42" borderId="0" applyAlignment="1" pivotButton="0" quotePrefix="0" xfId="0">
      <alignment horizontal="left" vertical="center"/>
    </xf>
    <xf numFmtId="0" fontId="236" fillId="18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47" fillId="40" borderId="0" applyAlignment="1" pivotButton="0" quotePrefix="0" xfId="0">
      <alignment horizontal="center" vertical="center"/>
    </xf>
    <xf numFmtId="0" fontId="237" fillId="30" borderId="0" applyAlignment="1" pivotButton="0" quotePrefix="0" xfId="0">
      <alignment horizontal="left" vertical="center"/>
    </xf>
    <xf numFmtId="0" fontId="238" fillId="30" borderId="0" applyAlignment="1" pivotButton="0" quotePrefix="0" xfId="0">
      <alignment horizontal="right" vertical="center"/>
    </xf>
    <xf numFmtId="0" fontId="239" fillId="30" borderId="0" applyAlignment="1" pivotButton="0" quotePrefix="0" xfId="0">
      <alignment horizontal="right" vertical="center"/>
    </xf>
    <xf numFmtId="0" fontId="240" fillId="30" borderId="0" applyAlignment="1" pivotButton="0" quotePrefix="0" xfId="0">
      <alignment horizontal="right" vertical="center"/>
    </xf>
    <xf numFmtId="0" fontId="237" fillId="24" borderId="0" applyAlignment="1" pivotButton="0" quotePrefix="0" xfId="0">
      <alignment horizontal="left" vertical="center"/>
    </xf>
    <xf numFmtId="164" fontId="238" fillId="24" borderId="0" applyAlignment="1" pivotButton="0" quotePrefix="0" xfId="0">
      <alignment horizontal="right" vertical="center"/>
    </xf>
    <xf numFmtId="0" fontId="239" fillId="24" borderId="0" applyAlignment="1" pivotButton="0" quotePrefix="0" xfId="0">
      <alignment horizontal="right" vertical="center"/>
    </xf>
    <xf numFmtId="0" fontId="240" fillId="24" borderId="0" applyAlignment="1" pivotButton="0" quotePrefix="0" xfId="0">
      <alignment horizontal="right" vertical="center"/>
    </xf>
    <xf numFmtId="164" fontId="238" fillId="30" borderId="0" applyAlignment="1" pivotButton="0" quotePrefix="0" xfId="0">
      <alignment horizontal="right" vertical="center"/>
    </xf>
    <xf numFmtId="165" fontId="238" fillId="24" borderId="0" applyAlignment="1" pivotButton="0" quotePrefix="0" xfId="0">
      <alignment horizontal="right" vertical="center"/>
    </xf>
    <xf numFmtId="165" fontId="238" fillId="30" borderId="0" applyAlignment="1" pivotButton="0" quotePrefix="0" xfId="0">
      <alignment horizontal="right" vertical="center"/>
    </xf>
    <xf numFmtId="0" fontId="238" fillId="24" borderId="0" applyAlignment="1" pivotButton="0" quotePrefix="0" xfId="0">
      <alignment horizontal="right" vertical="center"/>
    </xf>
    <xf numFmtId="164" fontId="239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17" fillId="24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right" vertical="center"/>
    </xf>
    <xf numFmtId="164" fontId="20" fillId="30" borderId="0" applyAlignment="1" pivotButton="0" quotePrefix="0" xfId="0">
      <alignment horizontal="right" vertical="center"/>
    </xf>
    <xf numFmtId="0" fontId="20" fillId="24" borderId="0" applyAlignment="1" pivotButton="0" quotePrefix="0" xfId="0">
      <alignment horizontal="left" vertical="center"/>
    </xf>
    <xf numFmtId="0" fontId="20" fillId="24" borderId="0" applyAlignment="1" pivotButton="0" quotePrefix="0" xfId="0">
      <alignment horizontal="right" vertical="center"/>
    </xf>
    <xf numFmtId="164" fontId="20" fillId="24" borderId="0" applyAlignment="1" pivotButton="0" quotePrefix="0" xfId="0">
      <alignment horizontal="right" vertical="center"/>
    </xf>
    <xf numFmtId="0" fontId="237" fillId="30" borderId="0" applyAlignment="1" pivotButton="0" quotePrefix="0" xfId="0">
      <alignment horizontal="right" vertical="center"/>
    </xf>
    <xf numFmtId="164" fontId="237" fillId="30" borderId="0" applyAlignment="1" pivotButton="0" quotePrefix="0" xfId="0">
      <alignment horizontal="right" vertical="center"/>
    </xf>
    <xf numFmtId="164" fontId="241" fillId="30" borderId="0" applyAlignment="1" pivotButton="0" quotePrefix="0" xfId="0">
      <alignment horizontal="right" vertical="center"/>
    </xf>
    <xf numFmtId="0" fontId="20" fillId="39" borderId="0" applyAlignment="1" pivotButton="0" quotePrefix="0" xfId="0">
      <alignment horizontal="general" vertical="bottom"/>
    </xf>
    <xf numFmtId="0" fontId="170" fillId="39" borderId="0" applyAlignment="1" pivotButton="0" quotePrefix="0" xfId="0">
      <alignment horizontal="general" vertical="bottom"/>
    </xf>
    <xf numFmtId="0" fontId="233" fillId="24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left" vertical="center"/>
    </xf>
    <xf numFmtId="0" fontId="242" fillId="44" borderId="0" applyAlignment="1" pivotButton="0" quotePrefix="0" xfId="0">
      <alignment horizontal="left" vertical="center"/>
    </xf>
    <xf numFmtId="0" fontId="242" fillId="44" borderId="0" applyAlignment="1" pivotButton="0" quotePrefix="0" xfId="0">
      <alignment horizontal="general" vertical="bottom"/>
    </xf>
    <xf numFmtId="0" fontId="176" fillId="30" borderId="0" applyAlignment="1" pivotButton="0" quotePrefix="0" xfId="0">
      <alignment horizontal="right" vertical="center"/>
    </xf>
    <xf numFmtId="0" fontId="177" fillId="30" borderId="0" applyAlignment="1" pivotButton="0" quotePrefix="0" xfId="0">
      <alignment horizontal="right" vertical="center"/>
    </xf>
    <xf numFmtId="0" fontId="176" fillId="24" borderId="0" applyAlignment="1" pivotButton="0" quotePrefix="0" xfId="0">
      <alignment horizontal="right" vertical="center"/>
    </xf>
    <xf numFmtId="164" fontId="177" fillId="24" borderId="0" applyAlignment="1" pivotButton="0" quotePrefix="0" xfId="0">
      <alignment horizontal="right" vertical="center"/>
    </xf>
    <xf numFmtId="164" fontId="177" fillId="30" borderId="0" applyAlignment="1" pivotButton="0" quotePrefix="0" xfId="0">
      <alignment horizontal="right" vertical="center"/>
    </xf>
    <xf numFmtId="165" fontId="177" fillId="24" borderId="0" applyAlignment="1" pivotButton="0" quotePrefix="0" xfId="0">
      <alignment horizontal="right" vertical="center"/>
    </xf>
    <xf numFmtId="165" fontId="177" fillId="30" borderId="0" applyAlignment="1" pivotButton="0" quotePrefix="0" xfId="0">
      <alignment horizontal="right" vertical="center"/>
    </xf>
    <xf numFmtId="0" fontId="20" fillId="30" borderId="0" applyAlignment="1" pivotButton="0" quotePrefix="0" xfId="0">
      <alignment horizontal="center" vertical="center"/>
    </xf>
    <xf numFmtId="0" fontId="20" fillId="30" borderId="0" applyAlignment="1" pivotButton="0" quotePrefix="0" xfId="0">
      <alignment horizontal="left" vertical="center" wrapText="1"/>
    </xf>
    <xf numFmtId="164" fontId="20" fillId="30" borderId="0" applyAlignment="1" pivotButton="0" quotePrefix="0" xfId="0">
      <alignment horizontal="center" vertical="center"/>
    </xf>
    <xf numFmtId="164" fontId="20" fillId="30" borderId="0" applyAlignment="1" pivotButton="0" quotePrefix="0" xfId="0">
      <alignment horizontal="left" vertical="center" wrapText="1"/>
    </xf>
    <xf numFmtId="0" fontId="234" fillId="30" borderId="0" applyAlignment="1" pivotButton="0" quotePrefix="0" xfId="0">
      <alignment horizontal="left" vertical="center"/>
    </xf>
    <xf numFmtId="0" fontId="177" fillId="24" borderId="0" applyAlignment="1" pivotButton="0" quotePrefix="0" xfId="0">
      <alignment horizontal="right" vertical="center"/>
    </xf>
    <xf numFmtId="164" fontId="177" fillId="24" borderId="0" applyAlignment="1" pivotButton="0" quotePrefix="0" xfId="0">
      <alignment horizontal="right" vertical="center" wrapText="1"/>
    </xf>
    <xf numFmtId="0" fontId="177" fillId="24" borderId="0" applyAlignment="1" pivotButton="0" quotePrefix="0" xfId="0">
      <alignment horizontal="right" vertical="center" wrapText="1"/>
    </xf>
    <xf numFmtId="164" fontId="18" fillId="24" borderId="0" applyAlignment="1" pivotButton="0" quotePrefix="0" xfId="0">
      <alignment horizontal="right" vertical="center"/>
    </xf>
    <xf numFmtId="0" fontId="18" fillId="24" borderId="0" applyAlignment="1" pivotButton="0" quotePrefix="0" xfId="0">
      <alignment horizontal="right" vertical="center"/>
    </xf>
    <xf numFmtId="0" fontId="18" fillId="24" borderId="0" applyAlignment="1" pivotButton="0" quotePrefix="0" xfId="0">
      <alignment horizontal="right" vertical="center" wrapText="1"/>
    </xf>
    <xf numFmtId="164" fontId="72" fillId="30" borderId="0" applyAlignment="1" pivotButton="0" quotePrefix="0" xfId="0">
      <alignment horizontal="right" vertical="center"/>
    </xf>
    <xf numFmtId="0" fontId="28" fillId="30" borderId="0" applyAlignment="1" pivotButton="0" quotePrefix="0" xfId="0">
      <alignment horizontal="right" vertical="center"/>
    </xf>
    <xf numFmtId="0" fontId="234" fillId="24" borderId="0" applyAlignment="1" pivotButton="0" quotePrefix="0" xfId="0">
      <alignment horizontal="left" vertical="center"/>
    </xf>
    <xf numFmtId="0" fontId="211" fillId="30" borderId="0" applyAlignment="1" pivotButton="0" quotePrefix="0" xfId="0">
      <alignment horizontal="right" vertical="center"/>
    </xf>
    <xf numFmtId="164" fontId="177" fillId="40" borderId="0" applyAlignment="1" pivotButton="0" quotePrefix="0" xfId="0">
      <alignment horizontal="center" vertical="center"/>
    </xf>
    <xf numFmtId="0" fontId="182" fillId="24" borderId="0" applyAlignment="1" pivotButton="0" quotePrefix="0" xfId="0">
      <alignment horizontal="right" vertical="center"/>
    </xf>
    <xf numFmtId="164" fontId="48" fillId="24" borderId="0" applyAlignment="1" pivotButton="0" quotePrefix="0" xfId="0">
      <alignment horizontal="right" vertical="center"/>
    </xf>
    <xf numFmtId="164" fontId="243" fillId="24" borderId="0" applyAlignment="1" pivotButton="0" quotePrefix="0" xfId="0">
      <alignment horizontal="right" vertical="center"/>
    </xf>
    <xf numFmtId="164" fontId="101" fillId="24" borderId="0" applyAlignment="1" pivotButton="0" quotePrefix="0" xfId="0">
      <alignment horizontal="right" vertical="center"/>
    </xf>
    <xf numFmtId="164" fontId="184" fillId="24" borderId="0" applyAlignment="1" pivotButton="0" quotePrefix="0" xfId="0">
      <alignment horizontal="right" vertical="center"/>
    </xf>
    <xf numFmtId="164" fontId="177" fillId="32" borderId="0" applyAlignment="1" pivotButton="0" quotePrefix="0" xfId="0">
      <alignment horizontal="center" vertical="center"/>
    </xf>
    <xf numFmtId="0" fontId="244" fillId="30" borderId="0" applyAlignment="1" pivotButton="0" quotePrefix="0" xfId="0">
      <alignment horizontal="right" vertical="center"/>
    </xf>
    <xf numFmtId="164" fontId="245" fillId="30" borderId="0" applyAlignment="1" pivotButton="0" quotePrefix="0" xfId="0">
      <alignment horizontal="right" vertical="center"/>
    </xf>
    <xf numFmtId="164" fontId="243" fillId="30" borderId="0" applyAlignment="1" pivotButton="0" quotePrefix="0" xfId="0">
      <alignment horizontal="right" vertical="center"/>
    </xf>
    <xf numFmtId="164" fontId="183" fillId="30" borderId="0" applyAlignment="1" pivotButton="0" quotePrefix="0" xfId="0">
      <alignment horizontal="right" vertical="center"/>
    </xf>
    <xf numFmtId="164" fontId="246" fillId="30" borderId="0" applyAlignment="1" pivotButton="0" quotePrefix="0" xfId="0">
      <alignment horizontal="right" vertical="center"/>
    </xf>
    <xf numFmtId="0" fontId="197" fillId="24" borderId="0" applyAlignment="1" pivotButton="0" quotePrefix="0" xfId="0">
      <alignment horizontal="right" vertical="center"/>
    </xf>
    <xf numFmtId="164" fontId="247" fillId="24" borderId="0" applyAlignment="1" pivotButton="0" quotePrefix="0" xfId="0">
      <alignment horizontal="right" vertical="center"/>
    </xf>
    <xf numFmtId="164" fontId="174" fillId="24" borderId="0" applyAlignment="1" pivotButton="0" quotePrefix="0" xfId="0">
      <alignment horizontal="right" vertical="center"/>
    </xf>
    <xf numFmtId="164" fontId="198" fillId="24" borderId="0" applyAlignment="1" pivotButton="0" quotePrefix="0" xfId="0">
      <alignment horizontal="right" vertical="center"/>
    </xf>
    <xf numFmtId="164" fontId="177" fillId="61" borderId="0" applyAlignment="1" pivotButton="0" quotePrefix="0" xfId="0">
      <alignment horizontal="center" vertical="center"/>
    </xf>
    <xf numFmtId="0" fontId="160" fillId="14" borderId="0" applyAlignment="1" pivotButton="0" quotePrefix="0" xfId="0">
      <alignment horizontal="left" vertical="center" wrapText="1"/>
    </xf>
    <xf numFmtId="164" fontId="177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general" vertical="bottom"/>
    </xf>
    <xf numFmtId="0" fontId="99" fillId="40" borderId="0" applyAlignment="1" pivotButton="0" quotePrefix="0" xfId="0">
      <alignment horizontal="left" vertical="center" wrapText="1"/>
    </xf>
    <xf numFmtId="164" fontId="6" fillId="40" borderId="0" applyAlignment="1" pivotButton="0" quotePrefix="0" xfId="0">
      <alignment horizontal="center" vertical="center"/>
    </xf>
    <xf numFmtId="0" fontId="248" fillId="0" borderId="0" applyAlignment="1" pivotButton="0" quotePrefix="0" xfId="0">
      <alignment horizontal="left" vertical="center"/>
    </xf>
    <xf numFmtId="164" fontId="249" fillId="0" borderId="0" applyAlignment="1" pivotButton="0" quotePrefix="0" xfId="0">
      <alignment horizontal="center" vertical="center"/>
    </xf>
    <xf numFmtId="164" fontId="100" fillId="0" borderId="0" applyAlignment="1" pivotButton="0" quotePrefix="0" xfId="0">
      <alignment horizontal="center" vertical="center"/>
    </xf>
    <xf numFmtId="0" fontId="250" fillId="0" borderId="0" applyAlignment="1" pivotButton="0" quotePrefix="0" xfId="0">
      <alignment horizontal="left" vertical="center"/>
    </xf>
    <xf numFmtId="0" fontId="99" fillId="3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70" fillId="42" borderId="0" applyAlignment="1" pivotButton="0" quotePrefix="0" xfId="0">
      <alignment horizontal="left" vertical="center" wrapText="1"/>
    </xf>
    <xf numFmtId="0" fontId="47" fillId="42" borderId="12" applyAlignment="1" pivotButton="0" quotePrefix="0" xfId="0">
      <alignment horizontal="center" vertical="center" wrapText="1"/>
    </xf>
    <xf numFmtId="0" fontId="20" fillId="42" borderId="12" applyAlignment="1" pivotButton="0" quotePrefix="0" xfId="0">
      <alignment horizontal="general" vertical="bottom"/>
    </xf>
    <xf numFmtId="0" fontId="84" fillId="33" borderId="0" applyAlignment="1" pivotButton="0" quotePrefix="0" xfId="0">
      <alignment horizontal="left" vertical="center" wrapText="1"/>
    </xf>
    <xf numFmtId="164" fontId="86" fillId="33" borderId="0" applyAlignment="1" pivotButton="0" quotePrefix="0" xfId="0">
      <alignment horizontal="center" vertical="center" wrapText="1"/>
    </xf>
    <xf numFmtId="0" fontId="87" fillId="33" borderId="0" applyAlignment="1" pivotButton="0" quotePrefix="0" xfId="0">
      <alignment horizontal="left" vertical="center" wrapText="1"/>
    </xf>
    <xf numFmtId="0" fontId="20" fillId="33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left" vertical="center" wrapText="1"/>
    </xf>
    <xf numFmtId="164" fontId="89" fillId="28" borderId="0" applyAlignment="1" pivotButton="0" quotePrefix="0" xfId="0">
      <alignment horizontal="center" vertical="center" wrapText="1"/>
    </xf>
    <xf numFmtId="0" fontId="87" fillId="30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horizontal="left" vertical="center" wrapText="1"/>
    </xf>
    <xf numFmtId="0" fontId="251" fillId="0" borderId="0" applyAlignment="1" pivotButton="0" quotePrefix="0" xfId="0">
      <alignment horizontal="center" vertical="center" wrapText="1"/>
    </xf>
    <xf numFmtId="164" fontId="70" fillId="46" borderId="2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general" vertical="bottom"/>
    </xf>
    <xf numFmtId="0" fontId="84" fillId="44" borderId="2" applyAlignment="1" pivotButton="0" quotePrefix="0" xfId="0">
      <alignment horizontal="center" vertical="center" wrapText="1"/>
    </xf>
    <xf numFmtId="165" fontId="89" fillId="44" borderId="2" applyAlignment="1" pivotButton="0" quotePrefix="0" xfId="0">
      <alignment horizontal="center" vertical="center" wrapText="1"/>
    </xf>
    <xf numFmtId="165" fontId="86" fillId="30" borderId="2" applyAlignment="1" pivotButton="0" quotePrefix="0" xfId="0">
      <alignment horizontal="center" vertical="center" wrapText="1"/>
    </xf>
    <xf numFmtId="165" fontId="86" fillId="44" borderId="2" applyAlignment="1" pivotButton="0" quotePrefix="0" xfId="0">
      <alignment horizontal="center" vertical="center" wrapText="1"/>
    </xf>
    <xf numFmtId="0" fontId="87" fillId="3" borderId="0" applyAlignment="1" pivotButton="0" quotePrefix="0" xfId="0">
      <alignment horizontal="left" vertical="center" wrapText="1"/>
    </xf>
    <xf numFmtId="10" fontId="85" fillId="4" borderId="2" applyAlignment="1" pivotButton="0" quotePrefix="0" xfId="0">
      <alignment horizontal="left" vertical="center" wrapText="1"/>
    </xf>
    <xf numFmtId="164" fontId="87" fillId="8" borderId="0" applyAlignment="1" pivotButton="0" quotePrefix="0" xfId="0">
      <alignment horizontal="left" vertical="center" wrapText="1"/>
    </xf>
    <xf numFmtId="1" fontId="89" fillId="44" borderId="2" applyAlignment="1" pivotButton="0" quotePrefix="0" xfId="0">
      <alignment horizontal="center" vertical="center" wrapText="1"/>
    </xf>
    <xf numFmtId="164" fontId="86" fillId="44" borderId="2" applyAlignment="1" pivotButton="0" quotePrefix="0" xfId="0">
      <alignment horizontal="center" vertical="center" wrapText="1"/>
    </xf>
    <xf numFmtId="164" fontId="89" fillId="44" borderId="2" applyAlignment="1" pivotButton="0" quotePrefix="0" xfId="0">
      <alignment horizontal="center" vertical="center" wrapText="1"/>
    </xf>
    <xf numFmtId="164" fontId="87" fillId="43" borderId="0" applyAlignment="1" pivotButton="0" quotePrefix="0" xfId="0">
      <alignment horizontal="left" vertical="center" wrapText="1"/>
    </xf>
    <xf numFmtId="164" fontId="86" fillId="30" borderId="2" applyAlignment="1" pivotButton="0" quotePrefix="0" xfId="0">
      <alignment horizontal="center" vertical="center" wrapText="1"/>
    </xf>
    <xf numFmtId="0" fontId="85" fillId="30" borderId="0" applyAlignment="1" pivotButton="0" quotePrefix="0" xfId="0">
      <alignment horizontal="left" vertical="center" wrapText="1"/>
    </xf>
    <xf numFmtId="0" fontId="84" fillId="30" borderId="0" applyAlignment="1" pivotButton="0" quotePrefix="0" xfId="0">
      <alignment horizontal="left" vertical="center" wrapText="1"/>
    </xf>
    <xf numFmtId="0" fontId="252" fillId="44" borderId="0" applyAlignment="1" pivotButton="0" quotePrefix="0" xfId="0">
      <alignment horizontal="left" vertical="center" wrapText="1"/>
    </xf>
    <xf numFmtId="0" fontId="70" fillId="36" borderId="0" applyAlignment="1" pivotButton="0" quotePrefix="0" xfId="0">
      <alignment horizontal="center" vertical="center" wrapText="1"/>
    </xf>
    <xf numFmtId="0" fontId="20" fillId="36" borderId="0" applyAlignment="1" pivotButton="0" quotePrefix="0" xfId="0">
      <alignment horizontal="general" vertical="bottom"/>
    </xf>
    <xf numFmtId="0" fontId="70" fillId="40" borderId="0" applyAlignment="1" pivotButton="0" quotePrefix="0" xfId="0">
      <alignment horizontal="center" vertical="center" wrapText="1"/>
    </xf>
    <xf numFmtId="0" fontId="20" fillId="40" borderId="0" applyAlignment="1" pivotButton="0" quotePrefix="0" xfId="0">
      <alignment horizontal="general" vertical="bottom"/>
    </xf>
    <xf numFmtId="0" fontId="70" fillId="14" borderId="0" applyAlignment="1" pivotButton="0" quotePrefix="0" xfId="0">
      <alignment horizontal="center" vertical="center" wrapText="1"/>
    </xf>
    <xf numFmtId="0" fontId="70" fillId="42" borderId="12" applyAlignment="1" pivotButton="0" quotePrefix="0" xfId="0">
      <alignment horizontal="center" vertical="center" wrapText="1"/>
    </xf>
    <xf numFmtId="164" fontId="85" fillId="4" borderId="12" applyAlignment="1" pivotButton="0" quotePrefix="0" xfId="0">
      <alignment horizontal="center" vertical="center" wrapText="1"/>
    </xf>
    <xf numFmtId="1" fontId="91" fillId="4" borderId="12" applyAlignment="1" pivotButton="0" quotePrefix="0" xfId="0">
      <alignment horizontal="center" vertical="center" wrapText="1"/>
    </xf>
    <xf numFmtId="164" fontId="253" fillId="30" borderId="12" applyAlignment="1" pivotButton="0" quotePrefix="0" xfId="0">
      <alignment horizontal="right" vertical="center"/>
    </xf>
    <xf numFmtId="164" fontId="90" fillId="30" borderId="12" applyAlignment="1" pivotButton="0" quotePrefix="0" xfId="0">
      <alignment horizontal="right" vertical="center"/>
    </xf>
    <xf numFmtId="49" fontId="254" fillId="4" borderId="12" applyAlignment="1" pivotButton="0" quotePrefix="0" xfId="0">
      <alignment horizontal="center" vertical="center" wrapText="1"/>
    </xf>
    <xf numFmtId="164" fontId="255" fillId="30" borderId="12" applyAlignment="1" pivotButton="0" quotePrefix="0" xfId="0">
      <alignment horizontal="right" vertical="center"/>
    </xf>
    <xf numFmtId="164" fontId="256" fillId="30" borderId="12" applyAlignment="1" pivotButton="0" quotePrefix="0" xfId="0">
      <alignment horizontal="right" vertical="center"/>
    </xf>
    <xf numFmtId="182" fontId="85" fillId="30" borderId="12" applyAlignment="1" pivotButton="0" quotePrefix="0" xfId="0">
      <alignment horizontal="right" vertical="center"/>
    </xf>
    <xf numFmtId="49" fontId="91" fillId="30" borderId="12" applyAlignment="1" pivotButton="0" quotePrefix="0" xfId="0">
      <alignment horizontal="center" vertical="center" wrapText="1"/>
    </xf>
    <xf numFmtId="164" fontId="90" fillId="65" borderId="12" applyAlignment="1" pivotButton="0" quotePrefix="0" xfId="0">
      <alignment horizontal="center" vertical="center" wrapText="1"/>
    </xf>
    <xf numFmtId="164" fontId="253" fillId="65" borderId="12" applyAlignment="1" pivotButton="0" quotePrefix="0" xfId="0">
      <alignment horizontal="right" vertical="center"/>
    </xf>
    <xf numFmtId="164" fontId="90" fillId="65" borderId="12" applyAlignment="1" pivotButton="0" quotePrefix="0" xfId="0">
      <alignment horizontal="right" vertical="center"/>
    </xf>
    <xf numFmtId="164" fontId="255" fillId="65" borderId="12" applyAlignment="1" pivotButton="0" quotePrefix="0" xfId="0">
      <alignment horizontal="right" vertical="center"/>
    </xf>
    <xf numFmtId="164" fontId="256" fillId="65" borderId="12" applyAlignment="1" pivotButton="0" quotePrefix="0" xfId="0">
      <alignment horizontal="right" vertical="center"/>
    </xf>
    <xf numFmtId="182" fontId="85" fillId="65" borderId="12" applyAlignment="1" pivotButton="0" quotePrefix="0" xfId="0">
      <alignment horizontal="right" vertical="center"/>
    </xf>
    <xf numFmtId="49" fontId="91" fillId="65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 wrapText="1"/>
    </xf>
    <xf numFmtId="0" fontId="72" fillId="4" borderId="0" applyAlignment="1" pivotButton="0" quotePrefix="0" xfId="0">
      <alignment horizontal="left" vertical="center" wrapText="1"/>
    </xf>
    <xf numFmtId="0" fontId="72" fillId="30" borderId="0" applyAlignment="1" pivotButton="0" quotePrefix="0" xfId="0">
      <alignment horizontal="left" vertical="center" wrapText="1"/>
    </xf>
    <xf numFmtId="164" fontId="253" fillId="44" borderId="12" applyAlignment="1" pivotButton="0" quotePrefix="0" xfId="0">
      <alignment horizontal="right" vertical="center"/>
    </xf>
    <xf numFmtId="164" fontId="90" fillId="44" borderId="12" applyAlignment="1" pivotButton="0" quotePrefix="0" xfId="0">
      <alignment horizontal="right" vertical="center"/>
    </xf>
    <xf numFmtId="164" fontId="255" fillId="44" borderId="12" applyAlignment="1" pivotButton="0" quotePrefix="0" xfId="0">
      <alignment horizontal="right" vertical="center"/>
    </xf>
    <xf numFmtId="164" fontId="256" fillId="44" borderId="12" applyAlignment="1" pivotButton="0" quotePrefix="0" xfId="0">
      <alignment horizontal="right" vertical="center"/>
    </xf>
    <xf numFmtId="182" fontId="85" fillId="44" borderId="12" applyAlignment="1" pivotButton="0" quotePrefix="0" xfId="0">
      <alignment horizontal="right" vertical="center"/>
    </xf>
    <xf numFmtId="49" fontId="91" fillId="44" borderId="12" applyAlignment="1" pivotButton="0" quotePrefix="0" xfId="0">
      <alignment horizontal="center" vertical="center" wrapText="1"/>
    </xf>
    <xf numFmtId="0" fontId="0" fillId="42" borderId="12" applyAlignment="1" pivotButton="0" quotePrefix="0" xfId="0">
      <alignment horizontal="general" vertical="bottom"/>
    </xf>
    <xf numFmtId="164" fontId="257" fillId="44" borderId="0" applyAlignment="1" pivotButton="0" quotePrefix="0" xfId="0">
      <alignment horizontal="right" vertical="center"/>
    </xf>
    <xf numFmtId="182" fontId="257" fillId="44" borderId="0" applyAlignment="1" pivotButton="0" quotePrefix="0" xfId="0">
      <alignment horizontal="right" vertical="center"/>
    </xf>
    <xf numFmtId="49" fontId="257" fillId="44" borderId="0" applyAlignment="1" pivotButton="0" quotePrefix="0" xfId="0">
      <alignment horizontal="right" vertical="center"/>
    </xf>
    <xf numFmtId="0" fontId="70" fillId="42" borderId="0" applyAlignment="1" pivotButton="0" quotePrefix="0" xfId="0">
      <alignment horizontal="general" vertical="bottom"/>
    </xf>
    <xf numFmtId="0" fontId="90" fillId="18" borderId="0" applyAlignment="1" pivotButton="0" quotePrefix="0" xfId="0">
      <alignment horizontal="center" vertical="bottom"/>
    </xf>
    <xf numFmtId="0" fontId="256" fillId="16" borderId="0" applyAlignment="1" pivotButton="0" quotePrefix="0" xfId="0">
      <alignment horizontal="center" vertical="bottom"/>
    </xf>
    <xf numFmtId="0" fontId="93" fillId="18" borderId="0" applyAlignment="1" pivotButton="0" quotePrefix="0" xfId="0">
      <alignment horizontal="center" vertical="bottom"/>
    </xf>
    <xf numFmtId="0" fontId="15" fillId="42" borderId="14" applyAlignment="1" pivotButton="0" quotePrefix="0" xfId="0">
      <alignment horizontal="left" vertical="center" wrapText="1"/>
    </xf>
    <xf numFmtId="0" fontId="0" fillId="42" borderId="14" applyAlignment="1" pivotButton="0" quotePrefix="0" xfId="0">
      <alignment horizontal="general" vertical="bottom"/>
    </xf>
    <xf numFmtId="0" fontId="85" fillId="4" borderId="14" applyAlignment="1" pivotButton="0" quotePrefix="0" xfId="0">
      <alignment horizontal="left" vertical="center" wrapText="1"/>
    </xf>
    <xf numFmtId="164" fontId="89" fillId="28" borderId="14" applyAlignment="1" pivotButton="0" quotePrefix="0" xfId="0">
      <alignment horizontal="right" vertical="center"/>
    </xf>
    <xf numFmtId="0" fontId="87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general" vertical="bottom"/>
    </xf>
    <xf numFmtId="165" fontId="86" fillId="44" borderId="14" applyAlignment="1" pivotButton="0" quotePrefix="0" xfId="0">
      <alignment horizontal="right" vertical="center"/>
    </xf>
    <xf numFmtId="164" fontId="86" fillId="44" borderId="14" applyAlignment="1" pivotButton="0" quotePrefix="0" xfId="0">
      <alignment horizontal="right" vertical="center"/>
    </xf>
    <xf numFmtId="49" fontId="89" fillId="28" borderId="14" applyAlignment="1" pivotButton="0" quotePrefix="0" xfId="0">
      <alignment horizontal="right" vertical="center"/>
    </xf>
    <xf numFmtId="0" fontId="100" fillId="36" borderId="0" applyAlignment="1" pivotButton="0" quotePrefix="0" xfId="0">
      <alignment horizontal="left" vertical="center"/>
    </xf>
    <xf numFmtId="0" fontId="47" fillId="36" borderId="3" applyAlignment="1" pivotButton="0" quotePrefix="0" xfId="0">
      <alignment horizontal="center" vertical="center"/>
    </xf>
    <xf numFmtId="0" fontId="47" fillId="36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18" fillId="14" borderId="5" applyAlignment="1" pivotButton="0" quotePrefix="0" xfId="0">
      <alignment horizontal="center" vertical="center"/>
    </xf>
    <xf numFmtId="0" fontId="224" fillId="4" borderId="6" applyAlignment="1" pivotButton="0" quotePrefix="0" xfId="0">
      <alignment horizontal="left" vertical="center"/>
    </xf>
    <xf numFmtId="0" fontId="0" fillId="4" borderId="0" applyAlignment="1" pivotButton="0" quotePrefix="0" xfId="0">
      <alignment horizontal="right" vertical="center"/>
    </xf>
    <xf numFmtId="0" fontId="104" fillId="30" borderId="6" applyAlignment="1" pivotButton="0" quotePrefix="0" xfId="0">
      <alignment horizontal="left" vertical="center"/>
    </xf>
    <xf numFmtId="0" fontId="31" fillId="30" borderId="7" applyAlignment="1" pivotButton="0" quotePrefix="0" xfId="0">
      <alignment horizontal="left" vertical="center"/>
    </xf>
    <xf numFmtId="0" fontId="104" fillId="30" borderId="7" applyAlignment="1" pivotButton="0" quotePrefix="0" xfId="0">
      <alignment horizontal="left" vertical="center"/>
    </xf>
    <xf numFmtId="0" fontId="104" fillId="30" borderId="7" applyAlignment="1" pivotButton="0" quotePrefix="0" xfId="0">
      <alignment horizontal="right" vertical="center"/>
    </xf>
    <xf numFmtId="0" fontId="104" fillId="30" borderId="8" applyAlignment="1" pivotButton="0" quotePrefix="0" xfId="0">
      <alignment horizontal="right" vertical="center"/>
    </xf>
    <xf numFmtId="0" fontId="0" fillId="30" borderId="0" applyAlignment="1" pivotButton="0" quotePrefix="0" xfId="0">
      <alignment horizontal="right" vertical="center"/>
    </xf>
    <xf numFmtId="0" fontId="104" fillId="4" borderId="6" applyAlignment="1" pivotButton="0" quotePrefix="0" xfId="0">
      <alignment horizontal="left" vertical="center"/>
    </xf>
    <xf numFmtId="0" fontId="31" fillId="4" borderId="7" applyAlignment="1" pivotButton="0" quotePrefix="0" xfId="0">
      <alignment horizontal="left" vertical="center"/>
    </xf>
    <xf numFmtId="0" fontId="104" fillId="4" borderId="7" applyAlignment="1" pivotButton="0" quotePrefix="0" xfId="0">
      <alignment horizontal="left" vertical="center"/>
    </xf>
    <xf numFmtId="0" fontId="104" fillId="4" borderId="7" applyAlignment="1" pivotButton="0" quotePrefix="0" xfId="0">
      <alignment horizontal="right" vertical="center"/>
    </xf>
    <xf numFmtId="0" fontId="104" fillId="4" borderId="8" applyAlignment="1" pivotButton="0" quotePrefix="0" xfId="0">
      <alignment horizontal="right" vertical="center"/>
    </xf>
    <xf numFmtId="0" fontId="224" fillId="30" borderId="6" applyAlignment="1" pivotButton="0" quotePrefix="0" xfId="0">
      <alignment horizontal="left" vertical="center"/>
    </xf>
    <xf numFmtId="0" fontId="104" fillId="30" borderId="10" applyAlignment="1" pivotButton="0" quotePrefix="0" xfId="0">
      <alignment horizontal="left" vertical="center"/>
    </xf>
    <xf numFmtId="0" fontId="31" fillId="30" borderId="15" applyAlignment="1" pivotButton="0" quotePrefix="0" xfId="0">
      <alignment horizontal="left" vertical="center"/>
    </xf>
    <xf numFmtId="0" fontId="104" fillId="30" borderId="15" applyAlignment="1" pivotButton="0" quotePrefix="0" xfId="0">
      <alignment horizontal="left" vertical="center"/>
    </xf>
    <xf numFmtId="0" fontId="104" fillId="30" borderId="15" applyAlignment="1" pivotButton="0" quotePrefix="0" xfId="0">
      <alignment horizontal="right" vertical="center"/>
    </xf>
    <xf numFmtId="0" fontId="104" fillId="30" borderId="11" applyAlignment="1" pivotButton="0" quotePrefix="0" xfId="0">
      <alignment horizontal="right" vertical="center"/>
    </xf>
    <xf numFmtId="0" fontId="224" fillId="4" borderId="0" applyAlignment="1" pivotButton="0" quotePrefix="0" xfId="0">
      <alignment horizontal="left" vertical="center"/>
    </xf>
    <xf numFmtId="0" fontId="104" fillId="30" borderId="0" applyAlignment="1" pivotButton="0" quotePrefix="0" xfId="0">
      <alignment horizontal="left" vertical="center"/>
    </xf>
    <xf numFmtId="0" fontId="31" fillId="30" borderId="0" applyAlignment="1" pivotButton="0" quotePrefix="0" xfId="0">
      <alignment horizontal="left" vertical="center"/>
    </xf>
    <xf numFmtId="0" fontId="104" fillId="30" borderId="0" applyAlignment="1" pivotButton="0" quotePrefix="0" xfId="0">
      <alignment horizontal="right" vertical="center"/>
    </xf>
    <xf numFmtId="0" fontId="104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104" fillId="4" borderId="0" applyAlignment="1" pivotButton="0" quotePrefix="0" xfId="0">
      <alignment horizontal="right" vertical="center"/>
    </xf>
    <xf numFmtId="0" fontId="224" fillId="30" borderId="0" applyAlignment="1" pivotButton="0" quotePrefix="0" xfId="0">
      <alignment horizontal="left" vertical="center"/>
    </xf>
    <xf numFmtId="0" fontId="0" fillId="3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6" fillId="30" borderId="0" applyAlignment="1" pivotButton="0" quotePrefix="0" xfId="0">
      <alignment horizontal="left" vertical="center"/>
    </xf>
    <xf numFmtId="0" fontId="17" fillId="3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47" fillId="30" borderId="0" applyAlignment="1" pivotButton="0" quotePrefix="0" xfId="0">
      <alignment horizontal="left" vertical="center"/>
    </xf>
    <xf numFmtId="0" fontId="47" fillId="30" borderId="0" applyAlignment="1" pivotButton="0" quotePrefix="0" xfId="0">
      <alignment horizontal="right" vertical="center"/>
    </xf>
    <xf numFmtId="0" fontId="33" fillId="4" borderId="0" applyAlignment="1" pivotButton="0" quotePrefix="0" xfId="0">
      <alignment horizontal="left" vertical="center"/>
    </xf>
    <xf numFmtId="164" fontId="33" fillId="4" borderId="0" applyAlignment="1" pivotButton="0" quotePrefix="0" xfId="0">
      <alignment horizontal="left" vertical="center"/>
    </xf>
    <xf numFmtId="0" fontId="43" fillId="4" borderId="0" applyAlignment="1" pivotButton="0" quotePrefix="0" xfId="0">
      <alignment horizontal="left" vertical="center"/>
    </xf>
    <xf numFmtId="0" fontId="43" fillId="4" borderId="0" applyAlignment="1" pivotButton="0" quotePrefix="0" xfId="0">
      <alignment horizontal="right" vertical="center"/>
    </xf>
    <xf numFmtId="0" fontId="46" fillId="4" borderId="0" applyAlignment="1" pivotButton="0" quotePrefix="0" xfId="0">
      <alignment horizontal="right" vertical="center"/>
    </xf>
    <xf numFmtId="10" fontId="23" fillId="30" borderId="0" applyAlignment="1" pivotButton="0" quotePrefix="0" xfId="0">
      <alignment horizontal="left" vertical="center"/>
    </xf>
    <xf numFmtId="0" fontId="43" fillId="30" borderId="0" applyAlignment="1" pivotButton="0" quotePrefix="0" xfId="0">
      <alignment horizontal="right" vertical="center"/>
    </xf>
    <xf numFmtId="0" fontId="46" fillId="30" borderId="0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167" fontId="33" fillId="4" borderId="0" applyAlignment="1" pivotButton="0" quotePrefix="0" xfId="0">
      <alignment horizontal="left" vertical="center"/>
    </xf>
    <xf numFmtId="0" fontId="224" fillId="4" borderId="0" applyAlignment="1" pivotButton="0" quotePrefix="0" xfId="0">
      <alignment horizontal="left" vertical="center"/>
    </xf>
    <xf numFmtId="173" fontId="182" fillId="4" borderId="0" applyAlignment="1" pivotButton="0" quotePrefix="0" xfId="0">
      <alignment horizontal="right" vertical="center"/>
    </xf>
    <xf numFmtId="0" fontId="45" fillId="4" borderId="0" applyAlignment="1" pivotButton="0" quotePrefix="0" xfId="0">
      <alignment horizontal="right" vertical="center"/>
    </xf>
    <xf numFmtId="0" fontId="258" fillId="4" borderId="0" applyAlignment="1" pivotButton="0" quotePrefix="0" xfId="0">
      <alignment horizontal="right" vertical="center"/>
    </xf>
    <xf numFmtId="0" fontId="32" fillId="4" borderId="0" applyAlignment="1" pivotButton="0" quotePrefix="0" xfId="0">
      <alignment horizontal="right" vertical="center"/>
    </xf>
    <xf numFmtId="0" fontId="32" fillId="30" borderId="0" applyAlignment="1" pivotButton="0" quotePrefix="0" xfId="0">
      <alignment horizontal="left" vertical="center"/>
    </xf>
    <xf numFmtId="167" fontId="33" fillId="30" borderId="0" applyAlignment="1" pivotButton="0" quotePrefix="0" xfId="0">
      <alignment horizontal="left" vertical="center"/>
    </xf>
    <xf numFmtId="0" fontId="224" fillId="30" borderId="0" applyAlignment="1" pivotButton="0" quotePrefix="0" xfId="0">
      <alignment horizontal="left" vertical="center"/>
    </xf>
    <xf numFmtId="173" fontId="182" fillId="30" borderId="0" applyAlignment="1" pivotButton="0" quotePrefix="0" xfId="0">
      <alignment horizontal="right" vertical="center"/>
    </xf>
    <xf numFmtId="0" fontId="45" fillId="30" borderId="0" applyAlignment="1" pivotButton="0" quotePrefix="0" xfId="0">
      <alignment horizontal="right" vertical="center"/>
    </xf>
    <xf numFmtId="0" fontId="258" fillId="30" borderId="0" applyAlignment="1" pivotButton="0" quotePrefix="0" xfId="0">
      <alignment horizontal="right" vertical="center"/>
    </xf>
    <xf numFmtId="0" fontId="32" fillId="30" borderId="0" applyAlignment="1" pivotButton="0" quotePrefix="0" xfId="0">
      <alignment horizontal="right" vertical="center"/>
    </xf>
    <xf numFmtId="173" fontId="23" fillId="4" borderId="0" applyAlignment="1" pivotButton="0" quotePrefix="0" xfId="0">
      <alignment horizontal="right" vertical="center"/>
    </xf>
    <xf numFmtId="164" fontId="33" fillId="30" borderId="0" applyAlignment="1" pivotButton="0" quotePrefix="0" xfId="0">
      <alignment horizontal="left" vertical="center"/>
    </xf>
    <xf numFmtId="173" fontId="23" fillId="30" borderId="0" applyAlignment="1" pivotButton="0" quotePrefix="0" xfId="0">
      <alignment horizontal="right" vertical="center"/>
    </xf>
    <xf numFmtId="0" fontId="18" fillId="30" borderId="0" applyAlignment="1" pivotButton="0" quotePrefix="0" xfId="0">
      <alignment horizontal="left" vertical="center"/>
    </xf>
    <xf numFmtId="0" fontId="259" fillId="30" borderId="0" applyAlignment="1" pivotButton="0" quotePrefix="0" xfId="0">
      <alignment horizontal="right" vertical="center"/>
    </xf>
    <xf numFmtId="0" fontId="260" fillId="30" borderId="0" applyAlignment="1" pivotButton="0" quotePrefix="0" xfId="0">
      <alignment horizontal="right" vertical="center"/>
    </xf>
    <xf numFmtId="0" fontId="261" fillId="30" borderId="0" applyAlignment="1" pivotButton="0" quotePrefix="0" xfId="0">
      <alignment horizontal="right" vertical="center"/>
    </xf>
    <xf numFmtId="0" fontId="50" fillId="3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164" fontId="0" fillId="30" borderId="0" applyAlignment="1" pivotButton="0" quotePrefix="0" xfId="0">
      <alignment horizontal="right" vertical="center"/>
    </xf>
    <xf numFmtId="167" fontId="0" fillId="30" borderId="0" applyAlignment="1" pivotButton="0" quotePrefix="0" xfId="0">
      <alignment horizontal="right" vertical="center"/>
    </xf>
    <xf numFmtId="0" fontId="70" fillId="14" borderId="0" applyAlignment="1" pivotButton="0" quotePrefix="0" xfId="0">
      <alignment horizontal="general" vertical="bottom"/>
    </xf>
    <xf numFmtId="0" fontId="70" fillId="4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164" fontId="262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70" fillId="33" borderId="0" applyAlignment="1" pivotButton="0" quotePrefix="0" xfId="0">
      <alignment horizontal="general" vertical="bottom"/>
    </xf>
    <xf numFmtId="0" fontId="70" fillId="46" borderId="0" applyAlignment="1" pivotButton="0" quotePrefix="0" xfId="0">
      <alignment horizontal="center" vertical="center"/>
    </xf>
    <xf numFmtId="0" fontId="93" fillId="17" borderId="0" applyAlignment="1" pivotButton="0" quotePrefix="0" xfId="0">
      <alignment horizontal="general" vertical="bottom"/>
    </xf>
    <xf numFmtId="0" fontId="100" fillId="14" borderId="0" applyAlignment="1" pivotButton="0" quotePrefix="0" xfId="0">
      <alignment horizontal="left" vertical="center"/>
    </xf>
    <xf numFmtId="0" fontId="6" fillId="46" borderId="0" applyAlignment="1" pivotButton="0" quotePrefix="0" xfId="0">
      <alignment horizontal="center" vertical="center"/>
    </xf>
    <xf numFmtId="0" fontId="263" fillId="14" borderId="0" applyAlignment="1" pivotButton="0" quotePrefix="0" xfId="0">
      <alignment horizontal="left" vertical="center"/>
    </xf>
    <xf numFmtId="0" fontId="72" fillId="15" borderId="0" applyAlignment="1" pivotButton="0" quotePrefix="0" xfId="0">
      <alignment horizontal="left" vertical="center"/>
    </xf>
    <xf numFmtId="0" fontId="72" fillId="16" borderId="0" applyAlignment="1" pivotButton="0" quotePrefix="0" xfId="0">
      <alignment horizontal="left" vertical="center"/>
    </xf>
    <xf numFmtId="0" fontId="72" fillId="16" borderId="0" applyAlignment="1" pivotButton="0" quotePrefix="0" xfId="0">
      <alignment horizontal="left" vertical="center"/>
    </xf>
    <xf numFmtId="0" fontId="100" fillId="14" borderId="0" applyAlignment="1" pivotButton="0" quotePrefix="0" xfId="0">
      <alignment horizontal="center" vertical="center"/>
    </xf>
    <xf numFmtId="164" fontId="72" fillId="15" borderId="0" applyAlignment="1" pivotButton="0" quotePrefix="0" xfId="0">
      <alignment horizontal="left" vertical="center"/>
    </xf>
    <xf numFmtId="164" fontId="72" fillId="15" borderId="0" applyAlignment="1" pivotButton="0" quotePrefix="0" xfId="0">
      <alignment horizontal="left" vertical="center"/>
    </xf>
    <xf numFmtId="164" fontId="72" fillId="16" borderId="0" applyAlignment="1" pivotButton="0" quotePrefix="0" xfId="0">
      <alignment horizontal="left" vertical="center"/>
    </xf>
    <xf numFmtId="164" fontId="72" fillId="16" borderId="0" applyAlignment="1" pivotButton="0" quotePrefix="0" xfId="0">
      <alignment horizontal="left" vertical="center"/>
    </xf>
    <xf numFmtId="0" fontId="72" fillId="66" borderId="0" applyAlignment="1" pivotButton="0" quotePrefix="0" xfId="0">
      <alignment horizontal="left" vertical="center"/>
    </xf>
    <xf numFmtId="164" fontId="72" fillId="66" borderId="0" applyAlignment="1" pivotButton="0" quotePrefix="0" xfId="0">
      <alignment horizontal="left" vertical="center"/>
    </xf>
    <xf numFmtId="164" fontId="72" fillId="66" borderId="0" applyAlignment="1" pivotButton="0" quotePrefix="0" xfId="0">
      <alignment horizontal="left" vertical="center"/>
    </xf>
    <xf numFmtId="0" fontId="71" fillId="66" borderId="0" applyAlignment="1" pivotButton="0" quotePrefix="0" xfId="0">
      <alignment horizontal="left" vertical="center"/>
    </xf>
    <xf numFmtId="0" fontId="47" fillId="14" borderId="0" applyAlignment="1" pivotButton="0" quotePrefix="0" xfId="0">
      <alignment horizontal="center" vertical="center"/>
    </xf>
    <xf numFmtId="0" fontId="31" fillId="15" borderId="7" applyAlignment="1" pivotButton="0" quotePrefix="0" xfId="0">
      <alignment horizontal="left" vertical="center"/>
    </xf>
    <xf numFmtId="0" fontId="260" fillId="24" borderId="7" applyAlignment="1" pivotButton="0" quotePrefix="0" xfId="0">
      <alignment horizontal="center" vertical="center"/>
    </xf>
    <xf numFmtId="0" fontId="43" fillId="15" borderId="7" applyAlignment="1" pivotButton="0" quotePrefix="0" xfId="0">
      <alignment horizontal="center" vertical="center"/>
    </xf>
    <xf numFmtId="0" fontId="31" fillId="22" borderId="7" applyAlignment="1" pivotButton="0" quotePrefix="0" xfId="0">
      <alignment horizontal="left" vertical="center"/>
    </xf>
    <xf numFmtId="169" fontId="264" fillId="22" borderId="7" applyAlignment="1" pivotButton="0" quotePrefix="0" xfId="0">
      <alignment horizontal="center" vertical="center"/>
    </xf>
    <xf numFmtId="0" fontId="43" fillId="22" borderId="7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center"/>
    </xf>
    <xf numFmtId="0" fontId="47" fillId="42" borderId="0" applyAlignment="1" pivotButton="0" quotePrefix="0" xfId="0">
      <alignment horizontal="center" vertical="center"/>
    </xf>
    <xf numFmtId="0" fontId="47" fillId="42" borderId="0" applyAlignment="1" pivotButton="0" quotePrefix="0" xfId="0">
      <alignment horizontal="center" vertical="center"/>
    </xf>
    <xf numFmtId="0" fontId="31" fillId="24" borderId="7" applyAlignment="1" pivotButton="0" quotePrefix="0" xfId="0">
      <alignment horizontal="center" vertical="center"/>
    </xf>
    <xf numFmtId="0" fontId="104" fillId="24" borderId="7" applyAlignment="1" pivotButton="0" quotePrefix="0" xfId="0">
      <alignment horizontal="center" vertical="center"/>
    </xf>
    <xf numFmtId="0" fontId="104" fillId="24" borderId="7" applyAlignment="1" pivotButton="0" quotePrefix="0" xfId="0">
      <alignment horizontal="left" vertical="center"/>
    </xf>
    <xf numFmtId="0" fontId="31" fillId="15" borderId="7" applyAlignment="1" pivotButton="0" quotePrefix="0" xfId="0">
      <alignment horizontal="center" vertical="center"/>
    </xf>
    <xf numFmtId="0" fontId="104" fillId="15" borderId="7" applyAlignment="1" pivotButton="0" quotePrefix="0" xfId="0">
      <alignment horizontal="center" vertical="center"/>
    </xf>
    <xf numFmtId="0" fontId="104" fillId="15" borderId="7" applyAlignment="1" pivotButton="0" quotePrefix="0" xfId="0">
      <alignment horizontal="left" vertical="center"/>
    </xf>
    <xf numFmtId="0" fontId="265" fillId="23" borderId="7" applyAlignment="1" pivotButton="0" quotePrefix="0" xfId="0">
      <alignment horizontal="center" vertical="center"/>
    </xf>
    <xf numFmtId="0" fontId="266" fillId="23" borderId="7" applyAlignment="1" pivotButton="0" quotePrefix="0" xfId="0">
      <alignment horizontal="center" vertical="center"/>
    </xf>
    <xf numFmtId="0" fontId="266" fillId="23" borderId="7" applyAlignment="1" pivotButton="0" quotePrefix="0" xfId="0">
      <alignment horizontal="left" vertical="center"/>
    </xf>
    <xf numFmtId="0" fontId="50" fillId="19" borderId="0" applyAlignment="1" pivotButton="0" quotePrefix="0" xfId="0">
      <alignment horizontal="left" vertical="center" wrapText="1"/>
    </xf>
    <xf numFmtId="0" fontId="100" fillId="14" borderId="0" applyAlignment="1" pivotButton="0" quotePrefix="0" xfId="0">
      <alignment horizontal="center" vertical="center"/>
    </xf>
    <xf numFmtId="0" fontId="71" fillId="15" borderId="0" applyAlignment="1" pivotButton="0" quotePrefix="0" xfId="0">
      <alignment horizontal="left" vertical="center" wrapText="1"/>
    </xf>
    <xf numFmtId="0" fontId="71" fillId="16" borderId="0" applyAlignment="1" pivotButton="0" quotePrefix="0" xfId="0">
      <alignment horizontal="left" vertical="center" wrapText="1"/>
    </xf>
    <xf numFmtId="0" fontId="104" fillId="16" borderId="0" applyAlignment="1" pivotButton="0" quotePrefix="0" xfId="0">
      <alignment horizontal="left" vertical="center" wrapText="1"/>
    </xf>
    <xf numFmtId="0" fontId="72" fillId="16" borderId="0" applyAlignment="1" pivotButton="0" quotePrefix="0" xfId="0">
      <alignment horizontal="left" vertical="center" wrapText="1"/>
    </xf>
    <xf numFmtId="0" fontId="101" fillId="32" borderId="0" applyAlignment="1" pivotButton="0" quotePrefix="0" xfId="0">
      <alignment horizontal="left" vertical="center" wrapText="1"/>
    </xf>
    <xf numFmtId="0" fontId="72" fillId="15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/>
    </xf>
    <xf numFmtId="0" fontId="72" fillId="66" borderId="0" applyAlignment="1" pivotButton="0" quotePrefix="0" xfId="0">
      <alignment horizontal="left" vertical="center"/>
    </xf>
    <xf numFmtId="0" fontId="71" fillId="66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/>
    </xf>
    <xf numFmtId="0" fontId="17" fillId="42" borderId="0" applyAlignment="1" pivotButton="0" quotePrefix="0" xfId="0">
      <alignment horizontal="left" vertical="center"/>
    </xf>
    <xf numFmtId="0" fontId="72" fillId="18" borderId="0" applyAlignment="1" pivotButton="0" quotePrefix="0" xfId="0">
      <alignment horizontal="left" vertical="center" wrapText="1"/>
    </xf>
    <xf numFmtId="0" fontId="72" fillId="45" borderId="0" applyAlignment="1" pivotButton="0" quotePrefix="0" xfId="0">
      <alignment horizontal="left" vertical="center" wrapText="1"/>
    </xf>
    <xf numFmtId="0" fontId="17" fillId="14" borderId="0" applyAlignment="1" pivotButton="0" quotePrefix="0" xfId="0">
      <alignment horizontal="general" vertical="bottom"/>
    </xf>
    <xf numFmtId="0" fontId="31" fillId="32" borderId="0" applyAlignment="1" pivotButton="0" quotePrefix="0" xfId="0">
      <alignment horizontal="center" vertical="center"/>
    </xf>
    <xf numFmtId="0" fontId="104" fillId="32" borderId="0" applyAlignment="1" pivotButton="0" quotePrefix="0" xfId="0">
      <alignment horizontal="center" vertical="center"/>
    </xf>
    <xf numFmtId="0" fontId="31" fillId="20" borderId="0" applyAlignment="1" pivotButton="0" quotePrefix="0" xfId="0">
      <alignment horizontal="center" vertical="center"/>
    </xf>
    <xf numFmtId="169" fontId="267" fillId="19" borderId="0" applyAlignment="1" pivotButton="0" quotePrefix="0" xfId="0">
      <alignment horizontal="center" vertical="center"/>
    </xf>
    <xf numFmtId="0" fontId="171" fillId="63" borderId="0" applyAlignment="1" pivotButton="0" quotePrefix="0" xfId="0">
      <alignment horizontal="left" vertical="center"/>
    </xf>
    <xf numFmtId="0" fontId="50" fillId="8" borderId="0" applyAlignment="1" pivotButton="0" quotePrefix="0" xfId="0">
      <alignment horizontal="center" vertical="center"/>
    </xf>
    <xf numFmtId="0" fontId="179" fillId="63" borderId="0" applyAlignment="1" pivotButton="0" quotePrefix="0" xfId="0">
      <alignment horizontal="center" vertical="center"/>
    </xf>
    <xf numFmtId="164" fontId="268" fillId="20" borderId="0" applyAlignment="1" pivotButton="0" quotePrefix="0" xfId="0">
      <alignment horizontal="center" vertical="center"/>
    </xf>
    <xf numFmtId="0" fontId="171" fillId="30" borderId="0" applyAlignment="1" pivotButton="0" quotePrefix="0" xfId="0">
      <alignment horizontal="left" vertical="center"/>
    </xf>
    <xf numFmtId="0" fontId="240" fillId="0" borderId="0" applyAlignment="1" pivotButton="0" quotePrefix="0" xfId="0">
      <alignment horizontal="general" vertical="bottom"/>
    </xf>
    <xf numFmtId="167" fontId="269" fillId="4" borderId="0" applyAlignment="1" pivotButton="0" quotePrefix="0" xfId="0">
      <alignment horizontal="general" vertical="bottom"/>
    </xf>
    <xf numFmtId="10" fontId="268" fillId="20" borderId="0" applyAlignment="1" pivotButton="0" quotePrefix="0" xfId="0">
      <alignment horizontal="center" vertical="center"/>
    </xf>
    <xf numFmtId="164" fontId="179" fillId="30" borderId="0" applyAlignment="1" pivotButton="0" quotePrefix="0" xfId="0">
      <alignment horizontal="center" vertical="center"/>
    </xf>
    <xf numFmtId="164" fontId="179" fillId="63" borderId="0" applyAlignment="1" pivotButton="0" quotePrefix="0" xfId="0">
      <alignment horizontal="center" vertical="center"/>
    </xf>
    <xf numFmtId="0" fontId="0" fillId="67" borderId="0" applyAlignment="1" pivotButton="0" quotePrefix="0" xfId="0">
      <alignment horizontal="general" vertical="bottom"/>
    </xf>
    <xf numFmtId="0" fontId="237" fillId="67" borderId="0" applyAlignment="1" pivotButton="0" quotePrefix="0" xfId="0">
      <alignment horizontal="left" vertical="center" wrapText="1"/>
    </xf>
    <xf numFmtId="0" fontId="14" fillId="67" borderId="0" applyAlignment="1" pivotButton="0" quotePrefix="0" xfId="0">
      <alignment horizontal="left" vertical="center" wrapText="1"/>
    </xf>
    <xf numFmtId="0" fontId="14" fillId="67" borderId="0" applyAlignment="1" pivotButton="0" quotePrefix="0" xfId="0">
      <alignment horizontal="left" vertical="center" wrapText="1"/>
    </xf>
    <xf numFmtId="0" fontId="237" fillId="30" borderId="0" applyAlignment="1" pivotButton="0" quotePrefix="0" xfId="0">
      <alignment horizontal="left" vertical="center" wrapText="1"/>
    </xf>
    <xf numFmtId="164" fontId="238" fillId="30" borderId="0" applyAlignment="1" pivotButton="0" quotePrefix="0" xfId="0">
      <alignment horizontal="general" vertical="bottom"/>
    </xf>
    <xf numFmtId="0" fontId="240" fillId="30" borderId="0" applyAlignment="1" pivotButton="0" quotePrefix="0" xfId="0">
      <alignment horizontal="left" vertical="center" wrapText="1"/>
    </xf>
    <xf numFmtId="0" fontId="238" fillId="67" borderId="0" applyAlignment="1" pivotButton="0" quotePrefix="0" xfId="0">
      <alignment horizontal="general" vertical="bottom"/>
    </xf>
    <xf numFmtId="0" fontId="240" fillId="67" borderId="0" applyAlignment="1" pivotButton="0" quotePrefix="0" xfId="0">
      <alignment horizontal="left" vertical="center" wrapText="1"/>
    </xf>
    <xf numFmtId="164" fontId="238" fillId="67" borderId="0" applyAlignment="1" pivotButton="0" quotePrefix="0" xfId="0">
      <alignment horizontal="general" vertical="bottom"/>
    </xf>
    <xf numFmtId="164" fontId="238" fillId="60" borderId="0" applyAlignment="1" pivotButton="0" quotePrefix="0" xfId="0">
      <alignment horizontal="general" vertical="bottom"/>
    </xf>
    <xf numFmtId="0" fontId="239" fillId="30" borderId="0" applyAlignment="1" pivotButton="0" quotePrefix="0" xfId="0">
      <alignment horizontal="general" vertical="bottom"/>
    </xf>
    <xf numFmtId="0" fontId="270" fillId="32" borderId="0" applyAlignment="1" pivotButton="0" quotePrefix="0" xfId="0">
      <alignment horizontal="general" vertical="bottom"/>
    </xf>
    <xf numFmtId="0" fontId="239" fillId="60" borderId="0" applyAlignment="1" pivotButton="0" quotePrefix="0" xfId="0">
      <alignment horizontal="general" vertical="bottom"/>
    </xf>
    <xf numFmtId="0" fontId="237" fillId="30" borderId="0" applyAlignment="1" pivotButton="0" quotePrefix="0" xfId="0">
      <alignment horizontal="general" vertical="bottom"/>
    </xf>
    <xf numFmtId="0" fontId="271" fillId="29" borderId="0" applyAlignment="1" pivotButton="0" quotePrefix="0" xfId="0">
      <alignment horizontal="center" vertical="center"/>
    </xf>
    <xf numFmtId="0" fontId="272" fillId="20" borderId="0" applyAlignment="1" pivotButton="0" quotePrefix="0" xfId="0">
      <alignment horizontal="general" vertical="bottom"/>
    </xf>
    <xf numFmtId="0" fontId="106" fillId="22" borderId="0" applyAlignment="1" pivotButton="0" quotePrefix="0" xfId="0">
      <alignment horizontal="center" vertical="center"/>
    </xf>
    <xf numFmtId="0" fontId="237" fillId="67" borderId="0" applyAlignment="1" pivotButton="0" quotePrefix="0" xfId="0">
      <alignment horizontal="general" vertical="bottom"/>
    </xf>
    <xf numFmtId="165" fontId="273" fillId="60" borderId="0" applyAlignment="1" pivotButton="0" quotePrefix="0" xfId="0">
      <alignment horizontal="center" vertical="bottom"/>
    </xf>
    <xf numFmtId="165" fontId="274" fillId="30" borderId="0" applyAlignment="1" pivotButton="0" quotePrefix="0" xfId="0">
      <alignment horizontal="center" vertical="bottom"/>
    </xf>
    <xf numFmtId="0" fontId="275" fillId="30" borderId="0" applyAlignment="1" pivotButton="0" quotePrefix="0" xfId="0">
      <alignment horizontal="general" vertical="bottom"/>
    </xf>
    <xf numFmtId="164" fontId="274" fillId="67" borderId="0" applyAlignment="1" pivotButton="0" quotePrefix="0" xfId="0">
      <alignment horizontal="general" vertical="bottom"/>
    </xf>
    <xf numFmtId="0" fontId="275" fillId="67" borderId="0" applyAlignment="1" pivotButton="0" quotePrefix="0" xfId="0">
      <alignment horizontal="general" vertical="bottom"/>
    </xf>
    <xf numFmtId="164" fontId="182" fillId="19" borderId="0" applyAlignment="1" pivotButton="0" quotePrefix="0" xfId="0">
      <alignment horizontal="general" vertical="bottom"/>
    </xf>
    <xf numFmtId="0" fontId="32" fillId="30" borderId="0" applyAlignment="1" pivotButton="0" quotePrefix="0" xfId="0">
      <alignment horizontal="general" vertical="bottom"/>
    </xf>
    <xf numFmtId="164" fontId="276" fillId="60" borderId="0" applyAlignment="1" pivotButton="0" quotePrefix="0" xfId="0">
      <alignment horizontal="center" vertical="center" wrapText="1"/>
    </xf>
    <xf numFmtId="0" fontId="277" fillId="17" borderId="0" applyAlignment="1" pivotButton="0" quotePrefix="0" xfId="0">
      <alignment horizontal="left" vertical="center" wrapText="1"/>
    </xf>
    <xf numFmtId="0" fontId="278" fillId="8" borderId="0" applyAlignment="1" pivotButton="0" quotePrefix="0" xfId="0">
      <alignment horizontal="left" vertical="center"/>
    </xf>
    <xf numFmtId="4" fontId="244" fillId="24" borderId="0" applyAlignment="1" pivotButton="0" quotePrefix="0" xfId="0">
      <alignment horizontal="general" vertical="bottom"/>
    </xf>
    <xf numFmtId="0" fontId="72" fillId="67" borderId="0" applyAlignment="1" pivotButton="0" quotePrefix="0" xfId="0">
      <alignment horizontal="left" vertical="center"/>
    </xf>
    <xf numFmtId="0" fontId="204" fillId="67" borderId="0" applyAlignment="1" pivotButton="0" quotePrefix="0" xfId="0">
      <alignment horizontal="left" vertical="center"/>
    </xf>
    <xf numFmtId="0" fontId="72" fillId="30" borderId="0" applyAlignment="1" pivotButton="0" quotePrefix="0" xfId="0">
      <alignment horizontal="left" vertical="center"/>
    </xf>
    <xf numFmtId="0" fontId="204" fillId="30" borderId="0" applyAlignment="1" pivotButton="0" quotePrefix="0" xfId="0">
      <alignment horizontal="left" vertical="center"/>
    </xf>
    <xf numFmtId="167" fontId="48" fillId="19" borderId="0" applyAlignment="1" pivotButton="0" quotePrefix="0" xfId="0">
      <alignment horizontal="general" vertical="bottom"/>
    </xf>
    <xf numFmtId="0" fontId="32" fillId="67" borderId="0" applyAlignment="1" pivotButton="0" quotePrefix="0" xfId="0">
      <alignment horizontal="general" vertical="bottom"/>
    </xf>
    <xf numFmtId="167" fontId="279" fillId="24" borderId="0" applyAlignment="1" pivotButton="0" quotePrefix="0" xfId="0">
      <alignment horizontal="general" vertical="bottom"/>
    </xf>
    <xf numFmtId="0" fontId="257" fillId="45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general" vertical="bottom"/>
    </xf>
    <xf numFmtId="164" fontId="91" fillId="0" borderId="0" applyAlignment="1" pivotButton="0" quotePrefix="0" xfId="0">
      <alignment horizontal="general" vertical="bottom"/>
    </xf>
    <xf numFmtId="0" fontId="91" fillId="14" borderId="0" applyAlignment="1" pivotButton="0" quotePrefix="0" xfId="0">
      <alignment horizontal="left" vertical="center"/>
    </xf>
    <xf numFmtId="165" fontId="91" fillId="0" borderId="0" applyAlignment="1" pivotButton="0" quotePrefix="0" xfId="0">
      <alignment horizontal="general" vertical="bottom"/>
    </xf>
    <xf numFmtId="0" fontId="91" fillId="36" borderId="0" applyAlignment="1" pivotButton="0" quotePrefix="0" xfId="0">
      <alignment horizontal="left" vertical="center"/>
    </xf>
    <xf numFmtId="0" fontId="69" fillId="8" borderId="0" applyAlignment="1" pivotButton="0" quotePrefix="0" xfId="0">
      <alignment horizontal="left" vertical="center"/>
    </xf>
    <xf numFmtId="184" fontId="244" fillId="24" borderId="0" applyAlignment="1" pivotButton="0" quotePrefix="0" xfId="0">
      <alignment horizontal="center" vertical="center"/>
    </xf>
    <xf numFmtId="0" fontId="46" fillId="23" borderId="0" applyAlignment="1" pivotButton="0" quotePrefix="0" xfId="0">
      <alignment horizontal="left" vertical="center"/>
    </xf>
    <xf numFmtId="184" fontId="182" fillId="19" borderId="0" applyAlignment="1" pivotButton="0" quotePrefix="0" xfId="0">
      <alignment horizontal="center" vertical="center"/>
    </xf>
    <xf numFmtId="0" fontId="32" fillId="23" borderId="0" applyAlignment="1" pivotButton="0" quotePrefix="0" xfId="0">
      <alignment horizontal="left" vertical="center"/>
    </xf>
    <xf numFmtId="0" fontId="46" fillId="23" borderId="0" applyAlignment="1" pivotButton="0" quotePrefix="0" xfId="0">
      <alignment horizontal="left" vertical="center"/>
    </xf>
    <xf numFmtId="0" fontId="33" fillId="24" borderId="0" applyAlignment="1" pivotButton="0" quotePrefix="0" xfId="0">
      <alignment horizontal="center" vertical="center"/>
    </xf>
    <xf numFmtId="0" fontId="197" fillId="27" borderId="0" applyAlignment="1" pivotButton="0" quotePrefix="0" xfId="0">
      <alignment horizontal="center" vertical="center"/>
    </xf>
    <xf numFmtId="0" fontId="47" fillId="36" borderId="0" applyAlignment="1" pivotButton="0" quotePrefix="0" xfId="0">
      <alignment horizontal="left" vertical="center"/>
    </xf>
    <xf numFmtId="0" fontId="69" fillId="22" borderId="0" applyAlignment="1" pivotButton="0" quotePrefix="0" xfId="0">
      <alignment horizontal="left" vertical="center"/>
    </xf>
    <xf numFmtId="0" fontId="45" fillId="28" borderId="0" applyAlignment="1" pivotButton="0" quotePrefix="0" xfId="0">
      <alignment horizontal="left" vertical="center"/>
    </xf>
    <xf numFmtId="0" fontId="69" fillId="22" borderId="0" applyAlignment="1" pivotButton="0" quotePrefix="0" xfId="0">
      <alignment horizontal="left" vertical="center"/>
    </xf>
    <xf numFmtId="0" fontId="45" fillId="28" borderId="0" applyAlignment="1" pivotButton="0" quotePrefix="0" xfId="0">
      <alignment horizontal="left" vertical="center"/>
    </xf>
    <xf numFmtId="0" fontId="66" fillId="15" borderId="0" applyAlignment="1" pivotButton="0" quotePrefix="0" xfId="0">
      <alignment horizontal="center" vertical="center"/>
    </xf>
    <xf numFmtId="0" fontId="66" fillId="30" borderId="0" applyAlignment="1" pivotButton="0" quotePrefix="0" xfId="0">
      <alignment horizontal="center" vertical="center"/>
    </xf>
    <xf numFmtId="0" fontId="66" fillId="15" borderId="0" applyAlignment="1" pivotButton="0" quotePrefix="0" xfId="0">
      <alignment horizontal="center" vertical="center"/>
    </xf>
    <xf numFmtId="0" fontId="66" fillId="30" borderId="0" applyAlignment="1" pivotButton="0" quotePrefix="0" xfId="0">
      <alignment horizontal="center" vertical="center"/>
    </xf>
    <xf numFmtId="0" fontId="69" fillId="27" borderId="0" applyAlignment="1" pivotButton="0" quotePrefix="0" xfId="0">
      <alignment horizontal="left" vertical="center"/>
    </xf>
    <xf numFmtId="0" fontId="46" fillId="28" borderId="0" applyAlignment="1" pivotButton="0" quotePrefix="0" xfId="0">
      <alignment horizontal="left" vertical="center"/>
    </xf>
    <xf numFmtId="0" fontId="197" fillId="27" borderId="0" applyAlignment="1" pivotButton="0" quotePrefix="0" xfId="0">
      <alignment horizontal="general" vertical="bottom"/>
    </xf>
    <xf numFmtId="0" fontId="69" fillId="27" borderId="0" applyAlignment="1" pivotButton="0" quotePrefix="0" xfId="0">
      <alignment horizontal="left" vertical="center"/>
    </xf>
    <xf numFmtId="0" fontId="46" fillId="28" borderId="0" applyAlignment="1" pivotButton="0" quotePrefix="0" xfId="0">
      <alignment horizontal="left" vertical="center"/>
    </xf>
    <xf numFmtId="0" fontId="197" fillId="27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center" vertical="center"/>
    </xf>
    <xf numFmtId="0" fontId="69" fillId="30" borderId="0" applyAlignment="1" pivotButton="0" quotePrefix="0" xfId="0">
      <alignment horizontal="left" vertical="center"/>
    </xf>
    <xf numFmtId="4" fontId="43" fillId="8" borderId="0" applyAlignment="1" pivotButton="0" quotePrefix="0" xfId="0">
      <alignment horizontal="center" vertical="center"/>
    </xf>
    <xf numFmtId="4" fontId="69" fillId="24" borderId="0" applyAlignment="1" pivotButton="0" quotePrefix="0" xfId="0">
      <alignment horizontal="center" vertical="center"/>
    </xf>
    <xf numFmtId="0" fontId="280" fillId="17" borderId="0" applyAlignment="1" pivotButton="0" quotePrefix="0" xfId="0">
      <alignment horizontal="left" vertical="center" wrapText="1"/>
    </xf>
    <xf numFmtId="0" fontId="69" fillId="18" borderId="0" applyAlignment="1" pivotButton="0" quotePrefix="0" xfId="0">
      <alignment horizontal="left" vertical="center"/>
    </xf>
    <xf numFmtId="0" fontId="45" fillId="23" borderId="0" applyAlignment="1" pivotButton="0" quotePrefix="0" xfId="0">
      <alignment horizontal="center" vertical="center"/>
    </xf>
    <xf numFmtId="0" fontId="69" fillId="18" borderId="0" applyAlignment="1" pivotButton="0" quotePrefix="0" xfId="0">
      <alignment horizontal="left" vertical="center"/>
    </xf>
    <xf numFmtId="0" fontId="47" fillId="46" borderId="0" applyAlignment="1" pivotButton="0" quotePrefix="0" xfId="0">
      <alignment horizontal="center" vertical="center"/>
    </xf>
    <xf numFmtId="0" fontId="69" fillId="66" borderId="0" applyAlignment="1" pivotButton="0" quotePrefix="0" xfId="0">
      <alignment horizontal="center" vertical="center"/>
    </xf>
    <xf numFmtId="0" fontId="43" fillId="66" borderId="0" applyAlignment="1" pivotButton="0" quotePrefix="0" xfId="0">
      <alignment horizontal="center" vertical="center"/>
    </xf>
    <xf numFmtId="0" fontId="25" fillId="66" borderId="0" applyAlignment="1" pivotButton="0" quotePrefix="0" xfId="0">
      <alignment horizontal="center" vertical="center"/>
    </xf>
    <xf numFmtId="0" fontId="281" fillId="66" borderId="0" applyAlignment="1" pivotButton="0" quotePrefix="0" xfId="0">
      <alignment horizontal="left" vertical="center"/>
    </xf>
    <xf numFmtId="0" fontId="69" fillId="30" borderId="0" applyAlignment="1" pivotButton="0" quotePrefix="0" xfId="0">
      <alignment horizontal="center" vertical="center"/>
    </xf>
    <xf numFmtId="0" fontId="25" fillId="30" borderId="0" applyAlignment="1" pivotButton="0" quotePrefix="0" xfId="0">
      <alignment horizontal="center" vertical="center"/>
    </xf>
    <xf numFmtId="0" fontId="281" fillId="30" borderId="0" applyAlignment="1" pivotButton="0" quotePrefix="0" xfId="0">
      <alignment horizontal="left" vertical="center"/>
    </xf>
    <xf numFmtId="0" fontId="69" fillId="66" borderId="0" applyAlignment="1" pivotButton="0" quotePrefix="0" xfId="0">
      <alignment horizontal="center" vertical="center"/>
    </xf>
    <xf numFmtId="0" fontId="66" fillId="66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center" vertical="center"/>
    </xf>
    <xf numFmtId="0" fontId="32" fillId="19" borderId="0" applyAlignment="1" pivotButton="0" quotePrefix="0" xfId="0">
      <alignment horizontal="left" vertical="center" wrapText="1"/>
    </xf>
    <xf numFmtId="0" fontId="69" fillId="15" borderId="0" applyAlignment="1" pivotButton="0" quotePrefix="0" xfId="0">
      <alignment horizontal="left" vertical="center"/>
    </xf>
    <xf numFmtId="0" fontId="69" fillId="24" borderId="0" applyAlignment="1" pivotButton="0" quotePrefix="0" xfId="0">
      <alignment horizontal="center" vertical="center"/>
    </xf>
    <xf numFmtId="0" fontId="46" fillId="15" borderId="0" applyAlignment="1" pivotButton="0" quotePrefix="0" xfId="0">
      <alignment horizontal="left" vertical="center"/>
    </xf>
    <xf numFmtId="0" fontId="69" fillId="17" borderId="0" applyAlignment="1" pivotButton="0" quotePrefix="0" xfId="0">
      <alignment horizontal="left" vertical="center"/>
    </xf>
    <xf numFmtId="0" fontId="283" fillId="18" borderId="0" applyAlignment="1" pivotButton="0" quotePrefix="0" xfId="0">
      <alignment horizontal="center" vertical="center"/>
    </xf>
    <xf numFmtId="0" fontId="46" fillId="17" borderId="0" applyAlignment="1" pivotButton="0" quotePrefix="0" xfId="0">
      <alignment horizontal="left" vertical="center"/>
    </xf>
    <xf numFmtId="0" fontId="70" fillId="42" borderId="14" applyAlignment="1" pivotButton="0" quotePrefix="0" xfId="0">
      <alignment horizontal="center" vertical="center" wrapText="1"/>
    </xf>
    <xf numFmtId="164" fontId="262" fillId="28" borderId="14" applyAlignment="1" pivotButton="0" quotePrefix="0" xfId="0">
      <alignment horizontal="right" vertical="center"/>
    </xf>
    <xf numFmtId="0" fontId="87" fillId="30" borderId="14" applyAlignment="1" pivotButton="0" quotePrefix="0" xfId="0">
      <alignment horizontal="left" vertical="center" wrapText="1"/>
    </xf>
    <xf numFmtId="1" fontId="284" fillId="43" borderId="14" applyAlignment="1" pivotButton="0" quotePrefix="0" xfId="0">
      <alignment horizontal="right" vertical="center"/>
    </xf>
    <xf numFmtId="164" fontId="95" fillId="44" borderId="14" applyAlignment="1" pivotButton="0" quotePrefix="0" xfId="0">
      <alignment horizontal="right" vertical="center"/>
    </xf>
    <xf numFmtId="164" fontId="284" fillId="43" borderId="14" applyAlignment="1" pivotButton="0" quotePrefix="0" xfId="0">
      <alignment horizontal="right" vertical="center"/>
    </xf>
    <xf numFmtId="0" fontId="93" fillId="45" borderId="14" applyAlignment="1" pivotButton="0" quotePrefix="0" xfId="0">
      <alignment horizontal="left" vertical="center" wrapText="1"/>
    </xf>
    <xf numFmtId="166" fontId="93" fillId="45" borderId="14" applyAlignment="1" pivotButton="0" quotePrefix="0" xfId="0">
      <alignment horizontal="right" vertical="center"/>
    </xf>
    <xf numFmtId="9" fontId="95" fillId="44" borderId="14" applyAlignment="1" pivotButton="0" quotePrefix="0" xfId="0">
      <alignment horizontal="right" vertical="center"/>
    </xf>
    <xf numFmtId="0" fontId="85" fillId="0" borderId="2" applyAlignment="1" pivotButton="0" quotePrefix="0" xfId="0">
      <alignment horizontal="left" vertical="center" wrapText="1"/>
    </xf>
    <xf numFmtId="164" fontId="86" fillId="0" borderId="2" applyAlignment="1" pivotButton="0" quotePrefix="0" xfId="0">
      <alignment horizontal="right" vertical="center"/>
    </xf>
    <xf numFmtId="0" fontId="87" fillId="0" borderId="2" applyAlignment="1" pivotButton="0" quotePrefix="0" xfId="0">
      <alignment horizontal="left" vertical="center" wrapText="1"/>
    </xf>
    <xf numFmtId="0" fontId="252" fillId="44" borderId="14" applyAlignment="1" pivotButton="0" quotePrefix="0" xfId="0">
      <alignment horizontal="left" vertical="center" wrapText="1"/>
    </xf>
    <xf numFmtId="0" fontId="87" fillId="44" borderId="14" applyAlignment="1" pivotButton="0" quotePrefix="0" xfId="0">
      <alignment horizontal="left" vertical="center" wrapText="1"/>
    </xf>
    <xf numFmtId="0" fontId="0" fillId="44" borderId="1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164" fontId="89" fillId="0" borderId="2" applyAlignment="1" pivotButton="0" quotePrefix="0" xfId="0">
      <alignment horizontal="right" vertical="center"/>
    </xf>
    <xf numFmtId="49" fontId="89" fillId="0" borderId="2" applyAlignment="1" pivotButton="0" quotePrefix="0" xfId="0">
      <alignment horizontal="right" vertical="center"/>
    </xf>
    <xf numFmtId="165" fontId="86" fillId="0" borderId="2" applyAlignment="1" pivotButton="0" quotePrefix="0" xfId="0">
      <alignment horizontal="right" vertical="center"/>
    </xf>
    <xf numFmtId="49" fontId="86" fillId="0" borderId="2" applyAlignment="1" pivotButton="0" quotePrefix="0" xfId="0">
      <alignment horizontal="right" vertical="center"/>
    </xf>
    <xf numFmtId="9" fontId="93" fillId="0" borderId="2" applyAlignment="1" pivotButton="0" quotePrefix="0" xfId="0">
      <alignment horizontal="right" vertical="center"/>
    </xf>
    <xf numFmtId="0" fontId="96" fillId="0" borderId="2" applyAlignment="1" pivotButton="0" quotePrefix="0" xfId="0">
      <alignment horizontal="left" vertical="center" wrapText="1"/>
    </xf>
    <xf numFmtId="0" fontId="15" fillId="25" borderId="14" applyAlignment="1" pivotButton="0" quotePrefix="0" xfId="0">
      <alignment horizontal="left" vertical="center" wrapText="1"/>
    </xf>
    <xf numFmtId="0" fontId="96" fillId="25" borderId="14" applyAlignment="1" pivotButton="0" quotePrefix="0" xfId="0">
      <alignment horizontal="left" vertical="center" wrapText="1"/>
    </xf>
    <xf numFmtId="0" fontId="87" fillId="25" borderId="14" applyAlignment="1" pivotButton="0" quotePrefix="0" xfId="0">
      <alignment horizontal="left" vertical="center" wrapText="1"/>
    </xf>
    <xf numFmtId="0" fontId="0" fillId="25" borderId="14" applyAlignment="1" pivotButton="0" quotePrefix="0" xfId="0">
      <alignment horizontal="general" vertical="bottom"/>
    </xf>
    <xf numFmtId="0" fontId="70" fillId="25" borderId="14" applyAlignment="1" pivotButton="0" quotePrefix="0" xfId="0">
      <alignment horizontal="center" vertical="center" wrapText="1"/>
    </xf>
    <xf numFmtId="0" fontId="285" fillId="28" borderId="14" applyAlignment="1" pivotButton="0" quotePrefix="0" xfId="0">
      <alignment horizontal="left" vertical="center" wrapText="1"/>
    </xf>
    <xf numFmtId="0" fontId="85" fillId="28" borderId="14" applyAlignment="1" pivotButton="0" quotePrefix="0" xfId="0">
      <alignment horizontal="left" vertical="center" wrapText="1"/>
    </xf>
    <xf numFmtId="0" fontId="95" fillId="28" borderId="14" applyAlignment="1" pivotButton="0" quotePrefix="0" xfId="0">
      <alignment horizontal="left" vertical="center" wrapText="1"/>
    </xf>
    <xf numFmtId="0" fontId="255" fillId="30" borderId="14" applyAlignment="1" pivotButton="0" quotePrefix="0" xfId="0">
      <alignment horizontal="left" vertical="center" wrapText="1"/>
    </xf>
    <xf numFmtId="0" fontId="87" fillId="23" borderId="14" applyAlignment="1" pivotButton="0" quotePrefix="0" xfId="0">
      <alignment horizontal="left" vertical="center" wrapText="1"/>
    </xf>
    <xf numFmtId="0" fontId="85" fillId="45" borderId="14" applyAlignment="1" pivotButton="0" quotePrefix="0" xfId="0">
      <alignment horizontal="left" vertical="center" wrapText="1"/>
    </xf>
    <xf numFmtId="0" fontId="70" fillId="13" borderId="0" applyAlignment="1" pivotButton="0" quotePrefix="0" xfId="0">
      <alignment horizontal="general" vertical="center"/>
    </xf>
    <xf numFmtId="0" fontId="74" fillId="36" borderId="0" applyAlignment="1" pivotButton="0" quotePrefix="0" xfId="0">
      <alignment horizontal="general" vertical="center"/>
    </xf>
    <xf numFmtId="0" fontId="286" fillId="56" borderId="0" applyAlignment="1" pivotButton="0" quotePrefix="0" xfId="0">
      <alignment horizontal="general" vertical="bottom"/>
    </xf>
    <xf numFmtId="0" fontId="287" fillId="0" borderId="0" applyAlignment="1" pivotButton="0" quotePrefix="0" xfId="0">
      <alignment horizontal="left" vertical="center"/>
    </xf>
    <xf numFmtId="0" fontId="288" fillId="13" borderId="0" applyAlignment="1" pivotButton="0" quotePrefix="0" xfId="0">
      <alignment horizontal="left" vertical="center"/>
    </xf>
    <xf numFmtId="0" fontId="289" fillId="3" borderId="0" applyAlignment="1" pivotButton="0" quotePrefix="0" xfId="0">
      <alignment horizontal="left" vertical="center"/>
    </xf>
    <xf numFmtId="0" fontId="290" fillId="59" borderId="0" applyAlignment="1" pivotButton="0" quotePrefix="0" xfId="0">
      <alignment horizontal="left" vertical="center"/>
    </xf>
    <xf numFmtId="0" fontId="117" fillId="13" borderId="16" applyAlignment="1" pivotButton="0" quotePrefix="0" xfId="0">
      <alignment horizontal="center" vertical="center" wrapText="1"/>
    </xf>
    <xf numFmtId="0" fontId="291" fillId="68" borderId="1" applyAlignment="1" pivotButton="0" quotePrefix="0" xfId="0">
      <alignment horizontal="center" vertical="center"/>
    </xf>
    <xf numFmtId="0" fontId="292" fillId="68" borderId="1" applyAlignment="1" pivotButton="0" quotePrefix="0" xfId="0">
      <alignment horizontal="center" vertical="center"/>
    </xf>
    <xf numFmtId="0" fontId="293" fillId="68" borderId="1" applyAlignment="1" pivotButton="0" quotePrefix="0" xfId="0">
      <alignment horizontal="left" vertical="center" wrapText="1"/>
    </xf>
    <xf numFmtId="0" fontId="113" fillId="68" borderId="1" applyAlignment="1" pivotButton="0" quotePrefix="0" xfId="0">
      <alignment horizontal="left" vertical="center" wrapText="1"/>
    </xf>
    <xf numFmtId="1" fontId="294" fillId="68" borderId="1" applyAlignment="1" pivotButton="0" quotePrefix="0" xfId="0">
      <alignment horizontal="center" vertical="center"/>
    </xf>
    <xf numFmtId="0" fontId="153" fillId="68" borderId="1" applyAlignment="1" pivotButton="0" quotePrefix="0" xfId="0">
      <alignment horizontal="center" vertical="center"/>
    </xf>
    <xf numFmtId="0" fontId="156" fillId="68" borderId="1" applyAlignment="1" pivotButton="0" quotePrefix="0" xfId="0">
      <alignment horizontal="center" vertical="center"/>
    </xf>
    <xf numFmtId="0" fontId="113" fillId="68" borderId="1" applyAlignment="1" pivotButton="0" quotePrefix="0" xfId="0">
      <alignment horizontal="center" vertical="center"/>
    </xf>
    <xf numFmtId="0" fontId="295" fillId="28" borderId="1" applyAlignment="1" pivotButton="0" quotePrefix="0" xfId="0">
      <alignment horizontal="left" vertical="center" wrapText="1"/>
    </xf>
    <xf numFmtId="0" fontId="291" fillId="69" borderId="1" applyAlignment="1" pivotButton="0" quotePrefix="0" xfId="0">
      <alignment horizontal="center" vertical="center"/>
    </xf>
    <xf numFmtId="0" fontId="292" fillId="69" borderId="1" applyAlignment="1" pivotButton="0" quotePrefix="0" xfId="0">
      <alignment horizontal="center" vertical="center"/>
    </xf>
    <xf numFmtId="0" fontId="293" fillId="69" borderId="1" applyAlignment="1" pivotButton="0" quotePrefix="0" xfId="0">
      <alignment horizontal="left" vertical="center" wrapText="1"/>
    </xf>
    <xf numFmtId="0" fontId="113" fillId="69" borderId="1" applyAlignment="1" pivotButton="0" quotePrefix="0" xfId="0">
      <alignment horizontal="left" vertical="center" wrapText="1"/>
    </xf>
    <xf numFmtId="1" fontId="294" fillId="69" borderId="1" applyAlignment="1" pivotButton="0" quotePrefix="0" xfId="0">
      <alignment horizontal="center" vertical="center"/>
    </xf>
    <xf numFmtId="0" fontId="153" fillId="69" borderId="1" applyAlignment="1" pivotButton="0" quotePrefix="0" xfId="0">
      <alignment horizontal="center" vertical="center"/>
    </xf>
    <xf numFmtId="0" fontId="296" fillId="69" borderId="1" applyAlignment="1" pivotButton="0" quotePrefix="0" xfId="0">
      <alignment horizontal="center" vertical="center"/>
    </xf>
    <xf numFmtId="0" fontId="113" fillId="69" borderId="1" applyAlignment="1" pivotButton="0" quotePrefix="0" xfId="0">
      <alignment horizontal="center" vertical="center"/>
    </xf>
    <xf numFmtId="0" fontId="296" fillId="68" borderId="1" applyAlignment="1" pivotButton="0" quotePrefix="0" xfId="0">
      <alignment horizontal="center" vertical="center"/>
    </xf>
    <xf numFmtId="0" fontId="156" fillId="69" borderId="1" applyAlignment="1" pivotButton="0" quotePrefix="0" xfId="0">
      <alignment horizontal="center" vertical="center"/>
    </xf>
    <xf numFmtId="0" fontId="291" fillId="70" borderId="1" applyAlignment="1" pivotButton="0" quotePrefix="0" xfId="0">
      <alignment horizontal="center" vertical="center"/>
    </xf>
    <xf numFmtId="0" fontId="292" fillId="70" borderId="1" applyAlignment="1" pivotButton="0" quotePrefix="0" xfId="0">
      <alignment horizontal="center" vertical="center"/>
    </xf>
    <xf numFmtId="0" fontId="293" fillId="70" borderId="1" applyAlignment="1" pivotButton="0" quotePrefix="0" xfId="0">
      <alignment horizontal="left" vertical="center" wrapText="1"/>
    </xf>
    <xf numFmtId="0" fontId="113" fillId="70" borderId="1" applyAlignment="1" pivotButton="0" quotePrefix="0" xfId="0">
      <alignment horizontal="left" vertical="center" wrapText="1"/>
    </xf>
    <xf numFmtId="1" fontId="297" fillId="70" borderId="1" applyAlignment="1" pivotButton="0" quotePrefix="0" xfId="0">
      <alignment horizontal="center" vertical="center"/>
    </xf>
    <xf numFmtId="0" fontId="298" fillId="70" borderId="1" applyAlignment="1" pivotButton="0" quotePrefix="0" xfId="0">
      <alignment horizontal="center" vertical="center"/>
    </xf>
    <xf numFmtId="0" fontId="156" fillId="70" borderId="1" applyAlignment="1" pivotButton="0" quotePrefix="0" xfId="0">
      <alignment horizontal="center" vertical="center"/>
    </xf>
    <xf numFmtId="0" fontId="113" fillId="70" borderId="1" applyAlignment="1" pivotButton="0" quotePrefix="0" xfId="0">
      <alignment horizontal="center" vertical="center"/>
    </xf>
    <xf numFmtId="0" fontId="291" fillId="71" borderId="1" applyAlignment="1" pivotButton="0" quotePrefix="0" xfId="0">
      <alignment horizontal="center" vertical="center"/>
    </xf>
    <xf numFmtId="0" fontId="292" fillId="71" borderId="1" applyAlignment="1" pivotButton="0" quotePrefix="0" xfId="0">
      <alignment horizontal="center" vertical="center"/>
    </xf>
    <xf numFmtId="0" fontId="293" fillId="71" borderId="1" applyAlignment="1" pivotButton="0" quotePrefix="0" xfId="0">
      <alignment horizontal="left" vertical="center" wrapText="1"/>
    </xf>
    <xf numFmtId="0" fontId="113" fillId="71" borderId="1" applyAlignment="1" pivotButton="0" quotePrefix="0" xfId="0">
      <alignment horizontal="left" vertical="center" wrapText="1"/>
    </xf>
    <xf numFmtId="1" fontId="297" fillId="71" borderId="1" applyAlignment="1" pivotButton="0" quotePrefix="0" xfId="0">
      <alignment horizontal="center" vertical="center"/>
    </xf>
    <xf numFmtId="0" fontId="298" fillId="71" borderId="1" applyAlignment="1" pivotButton="0" quotePrefix="0" xfId="0">
      <alignment horizontal="center" vertical="center"/>
    </xf>
    <xf numFmtId="0" fontId="156" fillId="71" borderId="1" applyAlignment="1" pivotButton="0" quotePrefix="0" xfId="0">
      <alignment horizontal="center" vertical="center"/>
    </xf>
    <xf numFmtId="0" fontId="113" fillId="71" borderId="1" applyAlignment="1" pivotButton="0" quotePrefix="0" xfId="0">
      <alignment horizontal="center" vertical="center"/>
    </xf>
    <xf numFmtId="0" fontId="296" fillId="70" borderId="1" applyAlignment="1" pivotButton="0" quotePrefix="0" xfId="0">
      <alignment horizontal="center" vertical="center"/>
    </xf>
    <xf numFmtId="0" fontId="296" fillId="71" borderId="1" applyAlignment="1" pivotButton="0" quotePrefix="0" xfId="0">
      <alignment horizontal="center" vertical="center"/>
    </xf>
    <xf numFmtId="0" fontId="291" fillId="72" borderId="1" applyAlignment="1" pivotButton="0" quotePrefix="0" xfId="0">
      <alignment horizontal="center" vertical="center"/>
    </xf>
    <xf numFmtId="0" fontId="292" fillId="72" borderId="1" applyAlignment="1" pivotButton="0" quotePrefix="0" xfId="0">
      <alignment horizontal="center" vertical="center"/>
    </xf>
    <xf numFmtId="0" fontId="293" fillId="72" borderId="1" applyAlignment="1" pivotButton="0" quotePrefix="0" xfId="0">
      <alignment horizontal="left" vertical="center" wrapText="1"/>
    </xf>
    <xf numFmtId="0" fontId="113" fillId="72" borderId="1" applyAlignment="1" pivotButton="0" quotePrefix="0" xfId="0">
      <alignment horizontal="left" vertical="center" wrapText="1"/>
    </xf>
    <xf numFmtId="1" fontId="299" fillId="72" borderId="1" applyAlignment="1" pivotButton="0" quotePrefix="0" xfId="0">
      <alignment horizontal="center" vertical="center"/>
    </xf>
    <xf numFmtId="0" fontId="300" fillId="72" borderId="1" applyAlignment="1" pivotButton="0" quotePrefix="0" xfId="0">
      <alignment horizontal="center" vertical="center"/>
    </xf>
    <xf numFmtId="0" fontId="156" fillId="72" borderId="1" applyAlignment="1" pivotButton="0" quotePrefix="0" xfId="0">
      <alignment horizontal="center" vertical="center"/>
    </xf>
    <xf numFmtId="0" fontId="113" fillId="72" borderId="1" applyAlignment="1" pivotButton="0" quotePrefix="0" xfId="0">
      <alignment horizontal="center" vertical="center"/>
    </xf>
    <xf numFmtId="0" fontId="291" fillId="54" borderId="1" applyAlignment="1" pivotButton="0" quotePrefix="0" xfId="0">
      <alignment horizontal="center" vertical="center"/>
    </xf>
    <xf numFmtId="0" fontId="292" fillId="54" borderId="1" applyAlignment="1" pivotButton="0" quotePrefix="0" xfId="0">
      <alignment horizontal="center" vertical="center"/>
    </xf>
    <xf numFmtId="0" fontId="293" fillId="54" borderId="1" applyAlignment="1" pivotButton="0" quotePrefix="0" xfId="0">
      <alignment horizontal="left" vertical="center" wrapText="1"/>
    </xf>
    <xf numFmtId="0" fontId="113" fillId="54" borderId="1" applyAlignment="1" pivotButton="0" quotePrefix="0" xfId="0">
      <alignment horizontal="left" vertical="center" wrapText="1"/>
    </xf>
    <xf numFmtId="1" fontId="299" fillId="54" borderId="1" applyAlignment="1" pivotButton="0" quotePrefix="0" xfId="0">
      <alignment horizontal="center" vertical="center"/>
    </xf>
    <xf numFmtId="0" fontId="300" fillId="54" borderId="1" applyAlignment="1" pivotButton="0" quotePrefix="0" xfId="0">
      <alignment horizontal="center" vertical="center"/>
    </xf>
    <xf numFmtId="0" fontId="156" fillId="54" borderId="1" applyAlignment="1" pivotButton="0" quotePrefix="0" xfId="0">
      <alignment horizontal="center" vertical="center"/>
    </xf>
    <xf numFmtId="0" fontId="113" fillId="54" borderId="1" applyAlignment="1" pivotButton="0" quotePrefix="0" xfId="0">
      <alignment horizontal="center" vertical="center"/>
    </xf>
    <xf numFmtId="0" fontId="296" fillId="72" borderId="1" applyAlignment="1" pivotButton="0" quotePrefix="0" xfId="0">
      <alignment horizontal="center" vertical="center"/>
    </xf>
    <xf numFmtId="0" fontId="296" fillId="54" borderId="1" applyAlignment="1" pivotButton="0" quotePrefix="0" xfId="0">
      <alignment horizontal="center" vertical="center"/>
    </xf>
    <xf numFmtId="0" fontId="291" fillId="27" borderId="1" applyAlignment="1" pivotButton="0" quotePrefix="0" xfId="0">
      <alignment horizontal="center" vertical="center"/>
    </xf>
    <xf numFmtId="0" fontId="292" fillId="27" borderId="1" applyAlignment="1" pivotButton="0" quotePrefix="0" xfId="0">
      <alignment horizontal="center" vertical="center"/>
    </xf>
    <xf numFmtId="0" fontId="293" fillId="27" borderId="1" applyAlignment="1" pivotButton="0" quotePrefix="0" xfId="0">
      <alignment horizontal="left" vertical="center" wrapText="1"/>
    </xf>
    <xf numFmtId="0" fontId="113" fillId="27" borderId="1" applyAlignment="1" pivotButton="0" quotePrefix="0" xfId="0">
      <alignment horizontal="left" vertical="center" wrapText="1"/>
    </xf>
    <xf numFmtId="1" fontId="301" fillId="27" borderId="1" applyAlignment="1" pivotButton="0" quotePrefix="0" xfId="0">
      <alignment horizontal="center" vertical="center"/>
    </xf>
    <xf numFmtId="0" fontId="296" fillId="27" borderId="1" applyAlignment="1" pivotButton="0" quotePrefix="0" xfId="0">
      <alignment horizontal="center" vertical="center"/>
    </xf>
    <xf numFmtId="0" fontId="113" fillId="27" borderId="1" applyAlignment="1" pivotButton="0" quotePrefix="0" xfId="0">
      <alignment horizontal="center" vertical="center"/>
    </xf>
    <xf numFmtId="0" fontId="291" fillId="73" borderId="1" applyAlignment="1" pivotButton="0" quotePrefix="0" xfId="0">
      <alignment horizontal="center" vertical="center"/>
    </xf>
    <xf numFmtId="0" fontId="292" fillId="73" borderId="1" applyAlignment="1" pivotButton="0" quotePrefix="0" xfId="0">
      <alignment horizontal="center" vertical="center"/>
    </xf>
    <xf numFmtId="0" fontId="293" fillId="73" borderId="1" applyAlignment="1" pivotButton="0" quotePrefix="0" xfId="0">
      <alignment horizontal="left" vertical="center" wrapText="1"/>
    </xf>
    <xf numFmtId="0" fontId="113" fillId="73" borderId="1" applyAlignment="1" pivotButton="0" quotePrefix="0" xfId="0">
      <alignment horizontal="left" vertical="center" wrapText="1"/>
    </xf>
    <xf numFmtId="1" fontId="301" fillId="73" borderId="1" applyAlignment="1" pivotButton="0" quotePrefix="0" xfId="0">
      <alignment horizontal="center" vertical="center"/>
    </xf>
    <xf numFmtId="0" fontId="296" fillId="73" borderId="1" applyAlignment="1" pivotButton="0" quotePrefix="0" xfId="0">
      <alignment horizontal="center" vertical="center"/>
    </xf>
    <xf numFmtId="0" fontId="156" fillId="73" borderId="1" applyAlignment="1" pivotButton="0" quotePrefix="0" xfId="0">
      <alignment horizontal="center" vertical="center"/>
    </xf>
    <xf numFmtId="0" fontId="113" fillId="73" borderId="1" applyAlignment="1" pivotButton="0" quotePrefix="0" xfId="0">
      <alignment horizontal="center" vertical="center"/>
    </xf>
    <xf numFmtId="0" fontId="156" fillId="27" borderId="1" applyAlignment="1" pivotButton="0" quotePrefix="0" xfId="0">
      <alignment horizontal="center" vertical="center"/>
    </xf>
    <xf numFmtId="0" fontId="291" fillId="48" borderId="1" applyAlignment="1" pivotButton="0" quotePrefix="0" xfId="0">
      <alignment horizontal="center" vertical="center"/>
    </xf>
    <xf numFmtId="0" fontId="292" fillId="48" borderId="1" applyAlignment="1" pivotButton="0" quotePrefix="0" xfId="0">
      <alignment horizontal="center" vertical="center"/>
    </xf>
    <xf numFmtId="0" fontId="293" fillId="48" borderId="1" applyAlignment="1" pivotButton="0" quotePrefix="0" xfId="0">
      <alignment horizontal="left" vertical="center" wrapText="1"/>
    </xf>
    <xf numFmtId="0" fontId="113" fillId="48" borderId="1" applyAlignment="1" pivotButton="0" quotePrefix="0" xfId="0">
      <alignment horizontal="left" vertical="center" wrapText="1"/>
    </xf>
    <xf numFmtId="1" fontId="302" fillId="48" borderId="1" applyAlignment="1" pivotButton="0" quotePrefix="0" xfId="0">
      <alignment horizontal="center" vertical="center"/>
    </xf>
    <xf numFmtId="0" fontId="154" fillId="48" borderId="1" applyAlignment="1" pivotButton="0" quotePrefix="0" xfId="0">
      <alignment horizontal="center" vertical="center"/>
    </xf>
    <xf numFmtId="0" fontId="156" fillId="48" borderId="1" applyAlignment="1" pivotButton="0" quotePrefix="0" xfId="0">
      <alignment horizontal="center" vertical="center"/>
    </xf>
    <xf numFmtId="0" fontId="113" fillId="48" borderId="1" applyAlignment="1" pivotButton="0" quotePrefix="0" xfId="0">
      <alignment horizontal="center" vertical="center"/>
    </xf>
    <xf numFmtId="0" fontId="291" fillId="74" borderId="1" applyAlignment="1" pivotButton="0" quotePrefix="0" xfId="0">
      <alignment horizontal="center" vertical="center"/>
    </xf>
    <xf numFmtId="0" fontId="292" fillId="74" borderId="1" applyAlignment="1" pivotButton="0" quotePrefix="0" xfId="0">
      <alignment horizontal="center" vertical="center"/>
    </xf>
    <xf numFmtId="0" fontId="293" fillId="74" borderId="1" applyAlignment="1" pivotButton="0" quotePrefix="0" xfId="0">
      <alignment horizontal="left" vertical="center" wrapText="1"/>
    </xf>
    <xf numFmtId="0" fontId="113" fillId="74" borderId="1" applyAlignment="1" pivotButton="0" quotePrefix="0" xfId="0">
      <alignment horizontal="left" vertical="center" wrapText="1"/>
    </xf>
    <xf numFmtId="1" fontId="302" fillId="74" borderId="1" applyAlignment="1" pivotButton="0" quotePrefix="0" xfId="0">
      <alignment horizontal="center" vertical="center"/>
    </xf>
    <xf numFmtId="0" fontId="154" fillId="74" borderId="1" applyAlignment="1" pivotButton="0" quotePrefix="0" xfId="0">
      <alignment horizontal="center" vertical="center"/>
    </xf>
    <xf numFmtId="0" fontId="156" fillId="74" borderId="1" applyAlignment="1" pivotButton="0" quotePrefix="0" xfId="0">
      <alignment horizontal="center" vertical="center"/>
    </xf>
    <xf numFmtId="0" fontId="113" fillId="74" borderId="1" applyAlignment="1" pivotButton="0" quotePrefix="0" xfId="0">
      <alignment horizontal="center" vertical="center"/>
    </xf>
    <xf numFmtId="0" fontId="296" fillId="48" borderId="1" applyAlignment="1" pivotButton="0" quotePrefix="0" xfId="0">
      <alignment horizontal="center" vertical="center"/>
    </xf>
    <xf numFmtId="0" fontId="296" fillId="74" borderId="1" applyAlignment="1" pivotButton="0" quotePrefix="0" xfId="0">
      <alignment horizontal="center" vertical="center"/>
    </xf>
    <xf numFmtId="0" fontId="39" fillId="13" borderId="0" applyAlignment="1" pivotButton="0" quotePrefix="0" xfId="0">
      <alignment horizontal="left" vertical="center"/>
    </xf>
    <xf numFmtId="0" fontId="148" fillId="3" borderId="1" applyAlignment="1" pivotButton="0" quotePrefix="0" xfId="0">
      <alignment horizontal="center" vertical="center"/>
    </xf>
    <xf numFmtId="0" fontId="147" fillId="3" borderId="0" applyAlignment="1" pivotButton="0" quotePrefix="0" xfId="0">
      <alignment horizontal="left" vertical="center"/>
    </xf>
    <xf numFmtId="0" fontId="113" fillId="55" borderId="1" applyAlignment="1" pivotButton="0" quotePrefix="0" xfId="0">
      <alignment horizontal="left" vertical="center" wrapText="1"/>
    </xf>
    <xf numFmtId="0" fontId="113" fillId="75" borderId="1" applyAlignment="1" pivotButton="0" quotePrefix="0" xfId="0">
      <alignment horizontal="left" vertical="center" wrapText="1"/>
    </xf>
    <xf numFmtId="0" fontId="113" fillId="59" borderId="1" applyAlignment="1" pivotButton="0" quotePrefix="0" xfId="0">
      <alignment horizontal="left" vertical="center" wrapText="1"/>
    </xf>
    <xf numFmtId="0" fontId="4" fillId="76" borderId="0" applyAlignment="1" pivotButton="0" quotePrefix="0" xfId="0">
      <alignment horizontal="left" vertical="center" wrapText="1"/>
    </xf>
    <xf numFmtId="0" fontId="303" fillId="0" borderId="0" applyAlignment="1" pivotButton="0" quotePrefix="0" xfId="0">
      <alignment horizontal="left" vertical="center" wrapText="1"/>
    </xf>
    <xf numFmtId="0" fontId="6" fillId="77" borderId="0" applyAlignment="1" pivotButton="0" quotePrefix="0" xfId="0">
      <alignment horizontal="left" vertical="center"/>
    </xf>
    <xf numFmtId="0" fontId="304" fillId="0" borderId="0" applyAlignment="1" pivotButton="0" quotePrefix="0" xfId="0">
      <alignment horizontal="left" vertical="center" wrapText="1"/>
    </xf>
    <xf numFmtId="0" fontId="123" fillId="0" borderId="0" applyAlignment="1" pivotButton="0" quotePrefix="0" xfId="0">
      <alignment horizontal="general" vertical="bottom"/>
    </xf>
    <xf numFmtId="0" fontId="210" fillId="0" borderId="0" applyAlignment="1" pivotButton="0" quotePrefix="0" xfId="0">
      <alignment horizontal="general" vertical="bottom"/>
    </xf>
    <xf numFmtId="0" fontId="17" fillId="78" borderId="0" applyAlignment="1" pivotButton="0" quotePrefix="0" xfId="0">
      <alignment horizontal="center" vertical="center"/>
    </xf>
    <xf numFmtId="0" fontId="123" fillId="0" borderId="0" applyAlignment="1" pivotButton="0" quotePrefix="0" xfId="0">
      <alignment horizontal="general" vertical="bottom" wrapText="1"/>
    </xf>
    <xf numFmtId="0" fontId="231" fillId="0" borderId="0" applyAlignment="1" pivotButton="0" quotePrefix="0" xfId="0">
      <alignment horizontal="general" vertical="bottom"/>
    </xf>
    <xf numFmtId="0" fontId="17" fillId="7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left" vertical="center" wrapText="1" indent="1"/>
    </xf>
    <xf numFmtId="0" fontId="6" fillId="5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wrapText="1" indent="1"/>
    </xf>
    <xf numFmtId="0" fontId="7" fillId="7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wrapText="1" indent="1"/>
    </xf>
    <xf numFmtId="0" fontId="7" fillId="8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left" vertical="center" indent="1"/>
    </xf>
    <xf numFmtId="0" fontId="6" fillId="10" borderId="0" applyAlignment="1" pivotButton="0" quotePrefix="0" xfId="0">
      <alignment horizontal="left" vertical="center" indent="1"/>
    </xf>
    <xf numFmtId="0" fontId="6" fillId="11" borderId="0" applyAlignment="1" pivotButton="0" quotePrefix="0" xfId="0">
      <alignment horizontal="left" vertical="center" indent="1"/>
    </xf>
    <xf numFmtId="0" fontId="6" fillId="12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16" fillId="14" borderId="0" applyAlignment="1" pivotButton="0" quotePrefix="0" xfId="0">
      <alignment horizontal="center" vertical="center" wrapText="1"/>
    </xf>
    <xf numFmtId="0" fontId="17" fillId="14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20" fillId="15" borderId="0" applyAlignment="1" pivotButton="0" quotePrefix="0" xfId="0">
      <alignment horizontal="center" vertical="center"/>
    </xf>
    <xf numFmtId="10" fontId="20" fillId="15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left" vertical="center" wrapText="1"/>
    </xf>
    <xf numFmtId="164" fontId="20" fillId="16" borderId="0" applyAlignment="1" pivotButton="0" quotePrefix="0" xfId="0">
      <alignment horizontal="center" vertical="center"/>
    </xf>
    <xf numFmtId="10" fontId="20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left" vertical="center" wrapText="1"/>
    </xf>
    <xf numFmtId="164" fontId="20" fillId="17" borderId="0" applyAlignment="1" pivotButton="0" quotePrefix="0" xfId="0">
      <alignment horizontal="center" vertical="center"/>
    </xf>
    <xf numFmtId="10" fontId="20" fillId="17" borderId="0" applyAlignment="1" pivotButton="0" quotePrefix="0" xfId="0">
      <alignment horizontal="center" vertical="center"/>
    </xf>
    <xf numFmtId="0" fontId="20" fillId="17" borderId="0" applyAlignment="1" pivotButton="0" quotePrefix="0" xfId="0">
      <alignment horizontal="left" vertical="center" wrapText="1"/>
    </xf>
    <xf numFmtId="0" fontId="21" fillId="18" borderId="0" applyAlignment="1" pivotButton="0" quotePrefix="0" xfId="0">
      <alignment horizontal="center" vertical="center"/>
    </xf>
    <xf numFmtId="0" fontId="22" fillId="18" borderId="0" applyAlignment="1" pivotButton="0" quotePrefix="0" xfId="0">
      <alignment horizontal="left" vertical="center"/>
    </xf>
    <xf numFmtId="0" fontId="23" fillId="17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center" vertical="center"/>
    </xf>
    <xf numFmtId="0" fontId="25" fillId="19" borderId="0" applyAlignment="1" pivotButton="0" quotePrefix="0" xfId="0">
      <alignment horizontal="center" vertical="center"/>
    </xf>
    <xf numFmtId="0" fontId="26" fillId="17" borderId="0" applyAlignment="1" pivotButton="0" quotePrefix="0" xfId="0">
      <alignment horizontal="center" vertical="center"/>
    </xf>
    <xf numFmtId="0" fontId="27" fillId="17" borderId="0" applyAlignment="1" pivotButton="0" quotePrefix="0" xfId="0">
      <alignment horizontal="left" vertical="center" wrapText="1"/>
    </xf>
    <xf numFmtId="0" fontId="28" fillId="17" borderId="0" applyAlignment="1" pivotButton="0" quotePrefix="0" xfId="0">
      <alignment horizontal="center" vertical="center"/>
    </xf>
    <xf numFmtId="0" fontId="29" fillId="17" borderId="0" applyAlignment="1" pivotButton="0" quotePrefix="0" xfId="0">
      <alignment horizontal="center" vertical="center"/>
    </xf>
    <xf numFmtId="0" fontId="26" fillId="20" borderId="0" applyAlignment="1" pivotButton="0" quotePrefix="0" xfId="0">
      <alignment horizontal="center" vertical="center"/>
    </xf>
    <xf numFmtId="0" fontId="27" fillId="20" borderId="0" applyAlignment="1" pivotButton="0" quotePrefix="0" xfId="0">
      <alignment horizontal="left" vertical="center" wrapText="1"/>
    </xf>
    <xf numFmtId="0" fontId="28" fillId="20" borderId="0" applyAlignment="1" pivotButton="0" quotePrefix="0" xfId="0">
      <alignment horizontal="center" vertical="center"/>
    </xf>
    <xf numFmtId="0" fontId="30" fillId="20" borderId="0" applyAlignment="1" pivotButton="0" quotePrefix="0" xfId="0">
      <alignment horizontal="center" vertical="center"/>
    </xf>
    <xf numFmtId="0" fontId="26" fillId="15" borderId="0" applyAlignment="1" pivotButton="0" quotePrefix="0" xfId="0">
      <alignment horizontal="center" vertical="center"/>
    </xf>
    <xf numFmtId="0" fontId="27" fillId="15" borderId="0" applyAlignment="1" pivotButton="0" quotePrefix="0" xfId="0">
      <alignment horizontal="left" vertical="center" wrapText="1"/>
    </xf>
    <xf numFmtId="0" fontId="18" fillId="21" borderId="0" applyAlignment="1" pivotButton="0" quotePrefix="0" xfId="0">
      <alignment horizontal="left" vertical="center"/>
    </xf>
    <xf numFmtId="0" fontId="31" fillId="17" borderId="0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32" fillId="23" borderId="0" applyAlignment="1" pivotButton="0" quotePrefix="0" xfId="0">
      <alignment horizontal="left" vertical="center"/>
    </xf>
    <xf numFmtId="0" fontId="31" fillId="24" borderId="0" applyAlignment="1" pivotButton="0" quotePrefix="0" xfId="0">
      <alignment horizontal="center" vertical="center"/>
    </xf>
    <xf numFmtId="0" fontId="33" fillId="24" borderId="0" applyAlignment="1" pivotButton="0" quotePrefix="0" xfId="0">
      <alignment horizontal="left" vertical="center"/>
    </xf>
    <xf numFmtId="0" fontId="17" fillId="25" borderId="0" applyAlignment="1" pivotButton="0" quotePrefix="0" xfId="0">
      <alignment horizontal="left" vertical="center"/>
    </xf>
    <xf numFmtId="0" fontId="18" fillId="25" borderId="0" applyAlignment="1" pivotButton="0" quotePrefix="0" xfId="0">
      <alignment horizontal="left" vertical="center"/>
    </xf>
    <xf numFmtId="0" fontId="34" fillId="17" borderId="0" applyAlignment="1" pivotButton="0" quotePrefix="0" xfId="0">
      <alignment horizontal="center" vertical="center"/>
    </xf>
    <xf numFmtId="0" fontId="35" fillId="22" borderId="0" applyAlignment="1" pivotButton="0" quotePrefix="0" xfId="0">
      <alignment horizontal="left" vertical="center"/>
    </xf>
    <xf numFmtId="0" fontId="18" fillId="26" borderId="0" applyAlignment="1" pivotButton="0" quotePrefix="0" xfId="0">
      <alignment horizontal="left" vertical="center"/>
    </xf>
    <xf numFmtId="0" fontId="34" fillId="27" borderId="0" applyAlignment="1" pivotButton="0" quotePrefix="0" xfId="0">
      <alignment horizontal="center" vertical="center"/>
    </xf>
    <xf numFmtId="0" fontId="35" fillId="28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34" fillId="29" borderId="0" applyAlignment="1" pivotButton="0" quotePrefix="0" xfId="0">
      <alignment horizontal="center" vertical="center"/>
    </xf>
    <xf numFmtId="0" fontId="35" fillId="15" borderId="0" applyAlignment="1" pivotButton="0" quotePrefix="0" xfId="0">
      <alignment horizontal="left" vertical="center"/>
    </xf>
    <xf numFmtId="0" fontId="26" fillId="15" borderId="0" applyAlignment="1" pivotButton="0" quotePrefix="0" xfId="0">
      <alignment horizontal="left" vertical="center"/>
    </xf>
    <xf numFmtId="0" fontId="26" fillId="16" borderId="0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 wrapText="1"/>
    </xf>
    <xf numFmtId="0" fontId="26" fillId="16" borderId="0" applyAlignment="1" pivotButton="0" quotePrefix="0" xfId="0">
      <alignment horizontal="center" vertical="center"/>
    </xf>
    <xf numFmtId="0" fontId="0" fillId="15" borderId="0" applyAlignment="1" pivotButton="0" quotePrefix="0" xfId="0">
      <alignment horizontal="left" vertical="center"/>
    </xf>
    <xf numFmtId="0" fontId="0" fillId="16" borderId="0" applyAlignment="1" pivotButton="0" quotePrefix="0" xfId="0">
      <alignment horizontal="left" vertical="center"/>
    </xf>
    <xf numFmtId="0" fontId="36" fillId="15" borderId="0" applyAlignment="1" pivotButton="0" quotePrefix="0" xfId="0">
      <alignment horizontal="left" vertical="center"/>
    </xf>
    <xf numFmtId="0" fontId="37" fillId="30" borderId="1" applyAlignment="1" pivotButton="0" quotePrefix="0" xfId="0">
      <alignment horizontal="left" vertical="center"/>
    </xf>
    <xf numFmtId="0" fontId="38" fillId="30" borderId="0" applyAlignment="1" pivotButton="0" quotePrefix="0" xfId="0">
      <alignment horizontal="left" vertical="center" wrapText="1"/>
    </xf>
    <xf numFmtId="0" fontId="37" fillId="31" borderId="1" applyAlignment="1" pivotButton="0" quotePrefix="0" xfId="0">
      <alignment horizontal="left" vertical="center"/>
    </xf>
    <xf numFmtId="0" fontId="38" fillId="31" borderId="0" applyAlignment="1" pivotButton="0" quotePrefix="0" xfId="0">
      <alignment horizontal="left" vertical="center" wrapText="1"/>
    </xf>
    <xf numFmtId="0" fontId="26" fillId="32" borderId="0" applyAlignment="1" pivotButton="0" quotePrefix="0" xfId="0">
      <alignment horizontal="left" vertical="center"/>
    </xf>
    <xf numFmtId="0" fontId="39" fillId="33" borderId="0" applyAlignment="1" pivotButton="0" quotePrefix="0" xfId="0">
      <alignment horizontal="left" vertical="center"/>
    </xf>
    <xf numFmtId="0" fontId="40" fillId="34" borderId="1" applyAlignment="1" pivotButton="0" quotePrefix="0" xfId="0">
      <alignment horizontal="center" vertical="center"/>
    </xf>
    <xf numFmtId="0" fontId="41" fillId="34" borderId="1" applyAlignment="1" pivotButton="0" quotePrefix="0" xfId="0">
      <alignment horizontal="left" vertical="center"/>
    </xf>
    <xf numFmtId="0" fontId="42" fillId="34" borderId="0" applyAlignment="1" pivotButton="0" quotePrefix="0" xfId="0">
      <alignment horizontal="left" vertical="center" wrapText="1"/>
    </xf>
    <xf numFmtId="0" fontId="40" fillId="30" borderId="1" applyAlignment="1" pivotButton="0" quotePrefix="0" xfId="0">
      <alignment horizontal="center" vertical="center"/>
    </xf>
    <xf numFmtId="0" fontId="41" fillId="30" borderId="1" applyAlignment="1" pivotButton="0" quotePrefix="0" xfId="0">
      <alignment horizontal="left" vertical="center"/>
    </xf>
    <xf numFmtId="0" fontId="42" fillId="30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general" vertical="bottom"/>
    </xf>
    <xf numFmtId="0" fontId="43" fillId="0" borderId="0" applyAlignment="1" pivotButton="0" quotePrefix="0" xfId="0">
      <alignment horizontal="general" vertical="bottom"/>
    </xf>
    <xf numFmtId="0" fontId="35" fillId="15" borderId="0" applyAlignment="1" pivotButton="0" quotePrefix="0" xfId="0">
      <alignment horizontal="general" vertical="bottom"/>
    </xf>
    <xf numFmtId="0" fontId="18" fillId="21" borderId="0" applyAlignment="1" pivotButton="0" quotePrefix="0" xfId="0">
      <alignment horizontal="general" vertical="bottom"/>
    </xf>
    <xf numFmtId="0" fontId="35" fillId="19" borderId="0" applyAlignment="1" pivotButton="0" quotePrefix="0" xfId="0">
      <alignment horizontal="general" vertical="bottom"/>
    </xf>
    <xf numFmtId="0" fontId="44" fillId="20" borderId="0" applyAlignment="1" pivotButton="0" quotePrefix="0" xfId="0">
      <alignment horizontal="general" vertical="bottom"/>
    </xf>
    <xf numFmtId="0" fontId="45" fillId="0" borderId="0" applyAlignment="1" pivotButton="0" quotePrefix="0" xfId="0">
      <alignment horizontal="general" vertical="bottom"/>
    </xf>
    <xf numFmtId="0" fontId="46" fillId="28" borderId="0" applyAlignment="1" pivotButton="0" quotePrefix="0" xfId="0">
      <alignment horizontal="general" vertical="bottom"/>
    </xf>
    <xf numFmtId="0" fontId="17" fillId="21" borderId="0" applyAlignment="1" pivotButton="0" quotePrefix="0" xfId="0">
      <alignment horizontal="left" vertical="center"/>
    </xf>
    <xf numFmtId="0" fontId="47" fillId="3" borderId="0" applyAlignment="1" pivotButton="0" quotePrefix="0" xfId="0">
      <alignment horizontal="center" vertical="center"/>
    </xf>
    <xf numFmtId="0" fontId="18" fillId="25" borderId="0" applyAlignment="1" pivotButton="0" quotePrefix="0" xfId="0">
      <alignment horizontal="center" vertical="center"/>
    </xf>
    <xf numFmtId="0" fontId="48" fillId="19" borderId="0" applyAlignment="1" pivotButton="0" quotePrefix="0" xfId="0">
      <alignment horizontal="center" vertical="center"/>
    </xf>
    <xf numFmtId="0" fontId="47" fillId="25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 vertical="center"/>
    </xf>
    <xf numFmtId="0" fontId="33" fillId="15" borderId="0" applyAlignment="1" pivotButton="0" quotePrefix="0" xfId="0">
      <alignment horizontal="left" vertical="center"/>
    </xf>
    <xf numFmtId="0" fontId="47" fillId="35" borderId="0" applyAlignment="1" pivotButton="0" quotePrefix="0" xfId="0">
      <alignment horizontal="center" vertical="center"/>
    </xf>
    <xf numFmtId="0" fontId="33" fillId="30" borderId="0" applyAlignment="1" pivotButton="0" quotePrefix="0" xfId="0">
      <alignment horizontal="left" vertical="center"/>
    </xf>
    <xf numFmtId="0" fontId="35" fillId="30" borderId="0" applyAlignment="1" pivotButton="0" quotePrefix="0" xfId="0">
      <alignment horizontal="left" vertical="center"/>
    </xf>
    <xf numFmtId="0" fontId="49" fillId="23" borderId="0" applyAlignment="1" pivotButton="0" quotePrefix="0" xfId="0">
      <alignment horizontal="left" vertical="center"/>
    </xf>
    <xf numFmtId="0" fontId="47" fillId="14" borderId="0" applyAlignment="1" pivotButton="0" quotePrefix="0" xfId="0">
      <alignment horizontal="left" vertical="center" wrapText="1"/>
    </xf>
    <xf numFmtId="0" fontId="18" fillId="36" borderId="0" applyAlignment="1" pivotButton="0" quotePrefix="0" xfId="0">
      <alignment horizontal="left" vertical="center"/>
    </xf>
    <xf numFmtId="0" fontId="50" fillId="24" borderId="0" applyAlignment="1" pivotButton="0" quotePrefix="0" xfId="0">
      <alignment horizontal="left" vertical="center" wrapText="1"/>
    </xf>
    <xf numFmtId="0" fontId="33" fillId="24" borderId="0" applyAlignment="1" pivotButton="0" quotePrefix="0" xfId="0">
      <alignment horizontal="general" vertical="bottom"/>
    </xf>
    <xf numFmtId="0" fontId="51" fillId="30" borderId="0" applyAlignment="1" pivotButton="0" quotePrefix="0" xfId="0">
      <alignment horizontal="general" vertical="bottom"/>
    </xf>
    <xf numFmtId="0" fontId="52" fillId="19" borderId="0" applyAlignment="1" pivotButton="0" quotePrefix="0" xfId="0">
      <alignment horizontal="general" vertical="bottom"/>
    </xf>
    <xf numFmtId="0" fontId="15" fillId="14" borderId="0" applyAlignment="1" pivotButton="0" quotePrefix="0" xfId="0">
      <alignment horizontal="left" vertical="center" wrapText="1"/>
    </xf>
    <xf numFmtId="0" fontId="0" fillId="14" borderId="0" applyAlignment="1" pivotButton="0" quotePrefix="0" xfId="0">
      <alignment horizontal="general" vertical="bottom"/>
    </xf>
    <xf numFmtId="0" fontId="53" fillId="0" borderId="0" applyAlignment="1" pivotButton="0" quotePrefix="0" xfId="0">
      <alignment horizontal="left" vertical="center" wrapText="1"/>
    </xf>
    <xf numFmtId="0" fontId="54" fillId="37" borderId="1" applyAlignment="1" pivotButton="0" quotePrefix="0" xfId="0">
      <alignment horizontal="left" vertical="center" wrapText="1"/>
    </xf>
    <xf numFmtId="0" fontId="0" fillId="37" borderId="1" applyAlignment="1" pivotButton="0" quotePrefix="0" xfId="0">
      <alignment horizontal="general" vertical="bottom"/>
    </xf>
    <xf numFmtId="0" fontId="39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general" vertical="bottom"/>
    </xf>
    <xf numFmtId="0" fontId="55" fillId="38" borderId="1" applyAlignment="1" pivotButton="0" quotePrefix="0" xfId="0">
      <alignment horizontal="center" vertical="center" wrapText="1"/>
    </xf>
    <xf numFmtId="0" fontId="56" fillId="38" borderId="1" applyAlignment="1" pivotButton="0" quotePrefix="0" xfId="0">
      <alignment horizontal="left" vertical="center" wrapText="1"/>
    </xf>
    <xf numFmtId="0" fontId="57" fillId="38" borderId="1" applyAlignment="1" pivotButton="0" quotePrefix="0" xfId="0">
      <alignment horizontal="left" vertical="center" wrapText="1"/>
    </xf>
    <xf numFmtId="0" fontId="58" fillId="37" borderId="1" applyAlignment="1" pivotButton="0" quotePrefix="0" xfId="0">
      <alignment horizontal="left" vertical="center" wrapText="1"/>
    </xf>
    <xf numFmtId="0" fontId="59" fillId="37" borderId="1" applyAlignment="1" pivotButton="0" quotePrefix="0" xfId="0">
      <alignment horizontal="center" vertical="center" wrapText="1"/>
    </xf>
    <xf numFmtId="0" fontId="39" fillId="37" borderId="1" applyAlignment="1" pivotButton="0" quotePrefix="0" xfId="0">
      <alignment horizontal="center" vertical="center" wrapText="1"/>
    </xf>
    <xf numFmtId="0" fontId="39" fillId="37" borderId="1" applyAlignment="1" pivotButton="0" quotePrefix="0" xfId="0">
      <alignment horizontal="left" vertical="center" wrapText="1"/>
    </xf>
    <xf numFmtId="0" fontId="60" fillId="37" borderId="1" applyAlignment="1" pivotButton="0" quotePrefix="0" xfId="0">
      <alignment horizontal="left" vertical="center" wrapText="1"/>
    </xf>
    <xf numFmtId="0" fontId="61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center" vertical="center" wrapText="1"/>
    </xf>
    <xf numFmtId="0" fontId="39" fillId="33" borderId="1" applyAlignment="1" pivotButton="0" quotePrefix="0" xfId="0">
      <alignment horizontal="left" vertical="center" wrapText="1"/>
    </xf>
    <xf numFmtId="0" fontId="60" fillId="33" borderId="1" applyAlignment="1" pivotButton="0" quotePrefix="0" xfId="0">
      <alignment horizontal="left" vertical="center" wrapText="1"/>
    </xf>
    <xf numFmtId="0" fontId="61" fillId="38" borderId="1" applyAlignment="1" pivotButton="0" quotePrefix="0" xfId="0">
      <alignment horizontal="center" vertical="center" wrapText="1"/>
    </xf>
    <xf numFmtId="0" fontId="39" fillId="38" borderId="1" applyAlignment="1" pivotButton="0" quotePrefix="0" xfId="0">
      <alignment horizontal="center" vertical="center" wrapText="1"/>
    </xf>
    <xf numFmtId="0" fontId="39" fillId="38" borderId="1" applyAlignment="1" pivotButton="0" quotePrefix="0" xfId="0">
      <alignment horizontal="left" vertical="center" wrapText="1"/>
    </xf>
    <xf numFmtId="0" fontId="60" fillId="38" borderId="1" applyAlignment="1" pivotButton="0" quotePrefix="0" xfId="0">
      <alignment horizontal="left" vertical="center" wrapText="1"/>
    </xf>
    <xf numFmtId="0" fontId="0" fillId="38" borderId="1" applyAlignment="1" pivotButton="0" quotePrefix="0" xfId="0">
      <alignment horizontal="general" vertical="bottom"/>
    </xf>
    <xf numFmtId="0" fontId="62" fillId="38" borderId="1" applyAlignment="1" pivotButton="0" quotePrefix="0" xfId="0">
      <alignment horizontal="left" vertical="center" wrapText="1"/>
    </xf>
    <xf numFmtId="0" fontId="0" fillId="33" borderId="1" applyAlignment="1" pivotButton="0" quotePrefix="0" xfId="0">
      <alignment horizontal="general" vertical="bottom"/>
    </xf>
    <xf numFmtId="0" fontId="63" fillId="38" borderId="1" applyAlignment="1" pivotButton="0" quotePrefix="0" xfId="0">
      <alignment horizontal="left" vertical="center" wrapText="1"/>
    </xf>
    <xf numFmtId="0" fontId="18" fillId="38" borderId="1" applyAlignment="1" pivotButton="0" quotePrefix="0" xfId="0">
      <alignment horizontal="center" vertical="center"/>
    </xf>
    <xf numFmtId="0" fontId="26" fillId="38" borderId="1" applyAlignment="1" pivotButton="0" quotePrefix="0" xfId="0">
      <alignment horizontal="center" vertical="center"/>
    </xf>
    <xf numFmtId="0" fontId="61" fillId="37" borderId="1" applyAlignment="1" pivotButton="0" quotePrefix="0" xfId="0">
      <alignment horizontal="left" vertical="center" wrapText="1"/>
    </xf>
    <xf numFmtId="0" fontId="64" fillId="37" borderId="1" applyAlignment="1" pivotButton="0" quotePrefix="0" xfId="0">
      <alignment horizontal="left" vertical="center" wrapText="1"/>
    </xf>
    <xf numFmtId="0" fontId="26" fillId="37" borderId="1" applyAlignment="1" pivotButton="0" quotePrefix="0" xfId="0">
      <alignment horizontal="center" vertical="center"/>
    </xf>
    <xf numFmtId="0" fontId="27" fillId="37" borderId="1" applyAlignment="1" pivotButton="0" quotePrefix="0" xfId="0">
      <alignment horizontal="left" vertical="center" wrapText="1"/>
    </xf>
    <xf numFmtId="0" fontId="57" fillId="37" borderId="1" applyAlignment="1" pivotButton="0" quotePrefix="0" xfId="0">
      <alignment horizontal="left" vertical="center" wrapText="1"/>
    </xf>
    <xf numFmtId="0" fontId="18" fillId="37" borderId="1" applyAlignment="1" pivotButton="0" quotePrefix="0" xfId="0">
      <alignment horizontal="left" vertical="center"/>
    </xf>
    <xf numFmtId="0" fontId="47" fillId="36" borderId="0" applyAlignment="1" pivotButton="0" quotePrefix="0" xfId="0">
      <alignment horizontal="center" vertical="center"/>
    </xf>
    <xf numFmtId="0" fontId="47" fillId="3" borderId="0" applyAlignment="1" pivotButton="0" quotePrefix="0" xfId="0">
      <alignment horizontal="general" vertical="bottom"/>
    </xf>
    <xf numFmtId="0" fontId="47" fillId="36" borderId="0" applyAlignment="1" pivotButton="0" quotePrefix="0" xfId="0">
      <alignment horizontal="general" vertical="bottom"/>
    </xf>
    <xf numFmtId="0" fontId="52" fillId="19" borderId="0" applyAlignment="1" pivotButton="0" quotePrefix="0" xfId="0">
      <alignment horizontal="center" vertical="center"/>
    </xf>
    <xf numFmtId="0" fontId="65" fillId="28" borderId="0" applyAlignment="1" pivotButton="0" quotePrefix="0" xfId="0">
      <alignment horizontal="general" vertical="bottom"/>
    </xf>
    <xf numFmtId="0" fontId="66" fillId="15" borderId="0" applyAlignment="1" pivotButton="0" quotePrefix="0" xfId="0">
      <alignment horizontal="general" vertical="bottom"/>
    </xf>
    <xf numFmtId="0" fontId="43" fillId="30" borderId="0" applyAlignment="1" pivotButton="0" quotePrefix="0" xfId="0">
      <alignment horizontal="center" vertical="center"/>
    </xf>
    <xf numFmtId="0" fontId="46" fillId="30" borderId="0" applyAlignment="1" pivotButton="0" quotePrefix="0" xfId="0">
      <alignment horizontal="left" vertical="center"/>
    </xf>
    <xf numFmtId="0" fontId="66" fillId="30" borderId="0" applyAlignment="1" pivotButton="0" quotePrefix="0" xfId="0">
      <alignment horizontal="general" vertical="bottom"/>
    </xf>
    <xf numFmtId="0" fontId="43" fillId="15" borderId="0" applyAlignment="1" pivotButton="0" quotePrefix="0" xfId="0">
      <alignment horizontal="center" vertical="center"/>
    </xf>
    <xf numFmtId="0" fontId="34" fillId="15" borderId="0" applyAlignment="1" pivotButton="0" quotePrefix="0" xfId="0">
      <alignment horizontal="center" vertical="center"/>
    </xf>
    <xf numFmtId="0" fontId="67" fillId="15" borderId="0" applyAlignment="1" pivotButton="0" quotePrefix="0" xfId="0">
      <alignment horizontal="center" vertical="center"/>
    </xf>
    <xf numFmtId="0" fontId="34" fillId="30" borderId="0" applyAlignment="1" pivotButton="0" quotePrefix="0" xfId="0">
      <alignment horizontal="center" vertical="center"/>
    </xf>
    <xf numFmtId="0" fontId="50" fillId="18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left" vertical="center"/>
    </xf>
    <xf numFmtId="0" fontId="27" fillId="32" borderId="0" applyAlignment="1" pivotButton="0" quotePrefix="0" xfId="0">
      <alignment horizontal="left" vertical="center" wrapText="1"/>
    </xf>
    <xf numFmtId="0" fontId="26" fillId="20" borderId="0" applyAlignment="1" pivotButton="0" quotePrefix="0" xfId="0">
      <alignment horizontal="left" vertical="center"/>
    </xf>
    <xf numFmtId="0" fontId="23" fillId="22" borderId="0" applyAlignment="1" pivotButton="0" quotePrefix="0" xfId="0">
      <alignment horizontal="left" vertical="center" wrapText="1"/>
    </xf>
    <xf numFmtId="0" fontId="35" fillId="15" borderId="0" applyAlignment="1" pivotButton="0" quotePrefix="0" xfId="0">
      <alignment horizontal="left" vertical="center" wrapText="1"/>
    </xf>
    <xf numFmtId="0" fontId="68" fillId="17" borderId="0" applyAlignment="1" pivotButton="0" quotePrefix="0" xfId="0">
      <alignment horizontal="center" vertical="center" wrapText="1"/>
    </xf>
    <xf numFmtId="0" fontId="43" fillId="15" borderId="0" applyAlignment="1" pivotButton="0" quotePrefix="0" xfId="0">
      <alignment horizontal="center" vertical="center" wrapText="1"/>
    </xf>
    <xf numFmtId="0" fontId="49" fillId="22" borderId="0" applyAlignment="1" pivotButton="0" quotePrefix="0" xfId="0">
      <alignment horizontal="left" vertical="center" wrapText="1"/>
    </xf>
    <xf numFmtId="0" fontId="35" fillId="30" borderId="0" applyAlignment="1" pivotButton="0" quotePrefix="0" xfId="0">
      <alignment horizontal="left" vertical="center" wrapText="1"/>
    </xf>
    <xf numFmtId="0" fontId="43" fillId="30" borderId="0" applyAlignment="1" pivotButton="0" quotePrefix="0" xfId="0">
      <alignment horizontal="center" vertical="center" wrapText="1"/>
    </xf>
    <xf numFmtId="0" fontId="33" fillId="15" borderId="0" applyAlignment="1" pivotButton="0" quotePrefix="0" xfId="0">
      <alignment horizontal="left" vertical="center" wrapText="1"/>
    </xf>
    <xf numFmtId="0" fontId="69" fillId="15" borderId="0" applyAlignment="1" pivotButton="0" quotePrefix="0" xfId="0">
      <alignment horizontal="center" vertical="center" wrapText="1"/>
    </xf>
    <xf numFmtId="0" fontId="33" fillId="30" borderId="0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general" vertical="bottom"/>
    </xf>
    <xf numFmtId="0" fontId="69" fillId="24" borderId="0" applyAlignment="1" pivotButton="0" quotePrefix="0" xfId="0">
      <alignment horizontal="general" vertical="bottom" wrapText="1"/>
    </xf>
    <xf numFmtId="0" fontId="35" fillId="24" borderId="0" applyAlignment="1" pivotButton="0" quotePrefix="0" xfId="0">
      <alignment horizontal="general" vertical="bottom"/>
    </xf>
    <xf numFmtId="0" fontId="21" fillId="29" borderId="0" applyAlignment="1" pivotButton="0" quotePrefix="0" xfId="0">
      <alignment horizontal="general" vertical="bottom"/>
    </xf>
    <xf numFmtId="0" fontId="32" fillId="24" borderId="0" applyAlignment="1" pivotButton="0" quotePrefix="0" xfId="0">
      <alignment horizontal="general" vertical="bottom"/>
    </xf>
    <xf numFmtId="0" fontId="69" fillId="15" borderId="0" applyAlignment="1" pivotButton="0" quotePrefix="0" xfId="0">
      <alignment horizontal="general" vertical="bottom" wrapText="1"/>
    </xf>
    <xf numFmtId="0" fontId="32" fillId="15" borderId="0" applyAlignment="1" pivotButton="0" quotePrefix="0" xfId="0">
      <alignment horizontal="general" vertical="bottom"/>
    </xf>
    <xf numFmtId="0" fontId="50" fillId="20" borderId="0" applyAlignment="1" pivotButton="0" quotePrefix="0" xfId="0">
      <alignment horizontal="general" vertical="bottom"/>
    </xf>
    <xf numFmtId="0" fontId="70" fillId="13" borderId="0" applyAlignment="1" pivotButton="0" quotePrefix="0" xfId="0">
      <alignment horizontal="general" vertical="bottom"/>
    </xf>
    <xf numFmtId="0" fontId="70" fillId="3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0" fontId="70" fillId="26" borderId="0" applyAlignment="1" pivotButton="0" quotePrefix="0" xfId="0">
      <alignment horizontal="general" vertical="bottom"/>
    </xf>
    <xf numFmtId="0" fontId="70" fillId="39" borderId="0" applyAlignment="1" pivotButton="0" quotePrefix="0" xfId="0">
      <alignment horizontal="general" vertical="bottom"/>
    </xf>
    <xf numFmtId="0" fontId="70" fillId="36" borderId="0" applyAlignment="1" pivotButton="0" quotePrefix="0" xfId="0">
      <alignment horizontal="general" vertical="bottom"/>
    </xf>
    <xf numFmtId="0" fontId="36" fillId="14" borderId="0" applyAlignment="1" pivotButton="0" quotePrefix="0" xfId="0">
      <alignment horizontal="left" vertical="center"/>
    </xf>
    <xf numFmtId="0" fontId="27" fillId="15" borderId="0" applyAlignment="1" pivotButton="0" quotePrefix="0" xfId="0">
      <alignment horizontal="left" vertical="center"/>
    </xf>
    <xf numFmtId="0" fontId="27" fillId="16" borderId="0" applyAlignment="1" pivotButton="0" quotePrefix="0" xfId="0">
      <alignment horizontal="left" vertical="center"/>
    </xf>
    <xf numFmtId="0" fontId="36" fillId="3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left" vertical="center"/>
    </xf>
    <xf numFmtId="0" fontId="32" fillId="15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  <xf numFmtId="0" fontId="33" fillId="29" borderId="0" applyAlignment="1" pivotButton="0" quotePrefix="0" xfId="0">
      <alignment horizontal="general" vertical="bottom"/>
    </xf>
    <xf numFmtId="0" fontId="35" fillId="29" borderId="0" applyAlignment="1" pivotButton="0" quotePrefix="0" xfId="0">
      <alignment horizontal="general" vertical="bottom"/>
    </xf>
    <xf numFmtId="0" fontId="32" fillId="29" borderId="0" applyAlignment="1" pivotButton="0" quotePrefix="0" xfId="0">
      <alignment horizontal="general" vertical="bottom"/>
    </xf>
    <xf numFmtId="0" fontId="50" fillId="15" borderId="0" applyAlignment="1" pivotButton="0" quotePrefix="0" xfId="0">
      <alignment horizontal="left" vertical="center"/>
    </xf>
    <xf numFmtId="0" fontId="45" fillId="14" borderId="0" applyAlignment="1" pivotButton="0" quotePrefix="0" xfId="0">
      <alignment horizontal="center" vertical="center"/>
    </xf>
    <xf numFmtId="0" fontId="71" fillId="17" borderId="0" applyAlignment="1" pivotButton="0" quotePrefix="0" xfId="0">
      <alignment horizontal="center" vertical="center"/>
    </xf>
    <xf numFmtId="0" fontId="72" fillId="17" borderId="0" applyAlignment="1" pivotButton="0" quotePrefix="0" xfId="0">
      <alignment horizontal="left" vertical="center" wrapText="1"/>
    </xf>
    <xf numFmtId="0" fontId="0" fillId="32" borderId="0" applyAlignment="1" pivotButton="0" quotePrefix="0" xfId="0">
      <alignment horizontal="left" vertical="center"/>
    </xf>
    <xf numFmtId="0" fontId="73" fillId="14" borderId="0" applyAlignment="1" pivotButton="0" quotePrefix="0" xfId="0">
      <alignment horizontal="left" vertical="center" wrapText="1"/>
    </xf>
    <xf numFmtId="0" fontId="74" fillId="13" borderId="0" applyAlignment="1" pivotButton="0" quotePrefix="0" xfId="0">
      <alignment horizontal="general" vertical="center" wrapText="1"/>
    </xf>
    <xf numFmtId="0" fontId="75" fillId="0" borderId="0" applyAlignment="1" pivotButton="0" quotePrefix="0" xfId="0">
      <alignment horizontal="general" vertical="bottom"/>
    </xf>
    <xf numFmtId="0" fontId="76" fillId="0" borderId="0" applyAlignment="1" pivotButton="0" quotePrefix="0" xfId="0">
      <alignment horizontal="general" vertical="bottom"/>
    </xf>
    <xf numFmtId="0" fontId="77" fillId="0" borderId="0" applyAlignment="1" pivotButton="0" quotePrefix="0" xfId="0">
      <alignment horizontal="general" vertical="bottom"/>
    </xf>
    <xf numFmtId="0" fontId="74" fillId="26" borderId="0" applyAlignment="1" pivotButton="0" quotePrefix="0" xfId="0">
      <alignment horizontal="general" vertical="center" wrapText="1"/>
    </xf>
    <xf numFmtId="0" fontId="70" fillId="40" borderId="0" applyAlignment="1" pivotButton="0" quotePrefix="0" xfId="0">
      <alignment horizontal="left" vertical="center" wrapText="1"/>
    </xf>
    <xf numFmtId="0" fontId="78" fillId="41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center" wrapText="1"/>
    </xf>
    <xf numFmtId="0" fontId="80" fillId="14" borderId="0" applyAlignment="1" pivotButton="0" quotePrefix="0" xfId="0">
      <alignment horizontal="left" vertical="center" wrapText="1"/>
    </xf>
    <xf numFmtId="0" fontId="74" fillId="14" borderId="0" applyAlignment="1" pivotButton="0" quotePrefix="0" xfId="0">
      <alignment horizontal="left" vertical="center" wrapText="1"/>
    </xf>
    <xf numFmtId="0" fontId="81" fillId="42" borderId="0" applyAlignment="1" pivotButton="0" quotePrefix="0" xfId="0">
      <alignment horizontal="left" vertical="center" wrapText="1"/>
    </xf>
    <xf numFmtId="0" fontId="79" fillId="43" borderId="0" applyAlignment="1" pivotButton="0" quotePrefix="0" xfId="0">
      <alignment horizontal="left" vertical="center" wrapText="1"/>
    </xf>
    <xf numFmtId="0" fontId="81" fillId="14" borderId="0" applyAlignment="1" pivotButton="0" quotePrefix="0" xfId="0">
      <alignment horizontal="left" vertical="center" wrapText="1"/>
    </xf>
    <xf numFmtId="0" fontId="82" fillId="33" borderId="0" applyAlignment="1" pivotButton="0" quotePrefix="0" xfId="0">
      <alignment horizontal="general" vertical="bottom"/>
    </xf>
    <xf numFmtId="0" fontId="83" fillId="0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general" vertical="bottom"/>
    </xf>
    <xf numFmtId="0" fontId="15" fillId="42" borderId="0" applyAlignment="1" pivotButton="0" quotePrefix="0" xfId="0">
      <alignment horizontal="left" vertical="center" wrapText="1"/>
    </xf>
    <xf numFmtId="0" fontId="0" fillId="42" borderId="0" applyAlignment="1" pivotButton="0" quotePrefix="0" xfId="0">
      <alignment horizontal="general" vertical="bottom"/>
    </xf>
    <xf numFmtId="0" fontId="85" fillId="4" borderId="2" applyAlignment="1" pivotButton="0" quotePrefix="0" xfId="0">
      <alignment horizontal="left" vertical="center" wrapText="1"/>
    </xf>
    <xf numFmtId="0" fontId="86" fillId="44" borderId="2" applyAlignment="1" pivotButton="0" quotePrefix="0" xfId="0">
      <alignment horizontal="right" vertical="center"/>
    </xf>
    <xf numFmtId="0" fontId="87" fillId="30" borderId="2" applyAlignment="1" pivotButton="0" quotePrefix="0" xfId="0">
      <alignment horizontal="left" vertical="center" wrapText="1"/>
    </xf>
    <xf numFmtId="0" fontId="88" fillId="4" borderId="2" applyAlignment="1" pivotButton="0" quotePrefix="0" xfId="0">
      <alignment horizontal="center" vertical="center" wrapText="1"/>
    </xf>
    <xf numFmtId="164" fontId="89" fillId="28" borderId="2" applyAlignment="1" pivotButton="0" quotePrefix="0" xfId="0">
      <alignment horizontal="right" vertical="center"/>
    </xf>
    <xf numFmtId="164" fontId="86" fillId="44" borderId="2" applyAlignment="1" pivotButton="0" quotePrefix="0" xfId="0">
      <alignment horizontal="right" vertical="center"/>
    </xf>
    <xf numFmtId="165" fontId="86" fillId="44" borderId="2" applyAlignment="1" pivotButton="0" quotePrefix="0" xfId="0">
      <alignment horizontal="right" vertical="center"/>
    </xf>
    <xf numFmtId="0" fontId="15" fillId="39" borderId="0" applyAlignment="1" pivotButton="0" quotePrefix="0" xfId="0">
      <alignment horizontal="left" vertical="center" wrapText="1"/>
    </xf>
    <xf numFmtId="0" fontId="0" fillId="39" borderId="0" applyAlignment="1" pivotButton="0" quotePrefix="0" xfId="0">
      <alignment horizontal="general" vertical="bottom"/>
    </xf>
    <xf numFmtId="0" fontId="85" fillId="18" borderId="2" applyAlignment="1" pivotButton="0" quotePrefix="0" xfId="0">
      <alignment horizontal="left" vertical="center" wrapText="1"/>
    </xf>
    <xf numFmtId="0" fontId="90" fillId="30" borderId="2" applyAlignment="1" pivotButton="0" quotePrefix="0" xfId="0">
      <alignment horizontal="left" vertical="center" wrapText="1"/>
    </xf>
    <xf numFmtId="0" fontId="84" fillId="30" borderId="2" applyAlignment="1" pivotButton="0" quotePrefix="0" xfId="0">
      <alignment horizontal="left" vertical="center" wrapText="1"/>
    </xf>
    <xf numFmtId="0" fontId="85" fillId="18" borderId="2" applyAlignment="1" pivotButton="0" quotePrefix="0" xfId="0">
      <alignment horizontal="center" vertical="center" wrapText="1"/>
    </xf>
    <xf numFmtId="0" fontId="15" fillId="25" borderId="0" applyAlignment="1" pivotButton="0" quotePrefix="0" xfId="0">
      <alignment horizontal="left" vertical="center" wrapText="1"/>
    </xf>
    <xf numFmtId="0" fontId="0" fillId="25" borderId="0" applyAlignment="1" pivotButton="0" quotePrefix="0" xfId="0">
      <alignment horizontal="general" vertical="bottom"/>
    </xf>
    <xf numFmtId="0" fontId="70" fillId="25" borderId="2" applyAlignment="1" pivotButton="0" quotePrefix="0" xfId="0">
      <alignment horizontal="left" vertical="center" wrapText="1"/>
    </xf>
    <xf numFmtId="0" fontId="85" fillId="45" borderId="2" applyAlignment="1" pivotButton="0" quotePrefix="0" xfId="0">
      <alignment horizontal="left" vertical="center" wrapText="1"/>
    </xf>
    <xf numFmtId="0" fontId="91" fillId="30" borderId="2" applyAlignment="1" pivotButton="0" quotePrefix="0" xfId="0">
      <alignment horizontal="left" vertical="center" wrapText="1"/>
    </xf>
    <xf numFmtId="0" fontId="15" fillId="21" borderId="0" applyAlignment="1" pivotButton="0" quotePrefix="0" xfId="0">
      <alignment horizontal="left" vertical="center" wrapText="1"/>
    </xf>
    <xf numFmtId="0" fontId="0" fillId="21" borderId="0" applyAlignment="1" pivotButton="0" quotePrefix="0" xfId="0">
      <alignment horizontal="general" vertical="bottom"/>
    </xf>
    <xf numFmtId="165" fontId="89" fillId="28" borderId="2" applyAlignment="1" pivotButton="0" quotePrefix="0" xfId="0">
      <alignment horizontal="center" vertical="center" wrapText="1"/>
    </xf>
    <xf numFmtId="1" fontId="89" fillId="28" borderId="2" applyAlignment="1" pivotButton="0" quotePrefix="0" xfId="0">
      <alignment horizontal="center" vertical="center" wrapText="1"/>
    </xf>
    <xf numFmtId="0" fontId="92" fillId="30" borderId="2" applyAlignment="1" pivotButton="0" quotePrefix="0" xfId="0">
      <alignment horizontal="left" vertical="center" wrapText="1"/>
    </xf>
    <xf numFmtId="0" fontId="93" fillId="45" borderId="2" applyAlignment="1" pivotButton="0" quotePrefix="0" xfId="0">
      <alignment horizontal="left" vertical="center" wrapText="1"/>
    </xf>
    <xf numFmtId="164" fontId="93" fillId="45" borderId="2" applyAlignment="1" pivotButton="0" quotePrefix="0" xfId="0">
      <alignment horizontal="right" vertical="center"/>
    </xf>
    <xf numFmtId="166" fontId="93" fillId="45" borderId="2" applyAlignment="1" pivotButton="0" quotePrefix="0" xfId="0">
      <alignment horizontal="right" vertical="center"/>
    </xf>
    <xf numFmtId="0" fontId="15" fillId="46" borderId="0" applyAlignment="1" pivotButton="0" quotePrefix="0" xfId="0">
      <alignment horizontal="left" vertical="center" wrapText="1"/>
    </xf>
    <xf numFmtId="0" fontId="0" fillId="46" borderId="0" applyAlignment="1" pivotButton="0" quotePrefix="0" xfId="0">
      <alignment horizontal="general" vertical="bottom"/>
    </xf>
    <xf numFmtId="0" fontId="70" fillId="42" borderId="2" applyAlignment="1" pivotButton="0" quotePrefix="0" xfId="0">
      <alignment horizontal="left" vertical="center" wrapText="1"/>
    </xf>
    <xf numFmtId="0" fontId="70" fillId="42" borderId="2" applyAlignment="1" pivotButton="0" quotePrefix="0" xfId="0">
      <alignment horizontal="right" vertical="center"/>
    </xf>
    <xf numFmtId="0" fontId="94" fillId="42" borderId="2" applyAlignment="1" pivotButton="0" quotePrefix="0" xfId="0">
      <alignment horizontal="left" vertical="center" wrapText="1"/>
    </xf>
    <xf numFmtId="0" fontId="91" fillId="30" borderId="2" applyAlignment="1" pivotButton="0" quotePrefix="0" xfId="0">
      <alignment horizontal="center" vertical="center" wrapText="1"/>
    </xf>
    <xf numFmtId="164" fontId="95" fillId="28" borderId="2" applyAlignment="1" pivotButton="0" quotePrefix="0" xfId="0">
      <alignment horizontal="right" vertical="center"/>
    </xf>
    <xf numFmtId="0" fontId="86" fillId="44" borderId="2" applyAlignment="1" pivotButton="0" quotePrefix="0" xfId="0">
      <alignment horizontal="left" vertical="center" wrapText="1"/>
    </xf>
    <xf numFmtId="0" fontId="85" fillId="30" borderId="2" applyAlignment="1" pivotButton="0" quotePrefix="0" xfId="0">
      <alignment horizontal="center" vertical="center" wrapText="1"/>
    </xf>
    <xf numFmtId="0" fontId="15" fillId="33" borderId="0" applyAlignment="1" pivotButton="0" quotePrefix="0" xfId="0">
      <alignment horizontal="left" vertical="center" wrapText="1"/>
    </xf>
    <xf numFmtId="0" fontId="0" fillId="33" borderId="0" applyAlignment="1" pivotButton="0" quotePrefix="0" xfId="0">
      <alignment horizontal="general" vertical="bottom"/>
    </xf>
    <xf numFmtId="9" fontId="86" fillId="44" borderId="2" applyAlignment="1" pivotButton="0" quotePrefix="0" xfId="0">
      <alignment horizontal="center" vertical="center" wrapText="1"/>
    </xf>
    <xf numFmtId="0" fontId="85" fillId="44" borderId="2" applyAlignment="1" pivotButton="0" quotePrefix="0" xfId="0">
      <alignment horizontal="left" vertical="center" wrapText="1"/>
    </xf>
    <xf numFmtId="0" fontId="96" fillId="30" borderId="2" applyAlignment="1" pivotButton="0" quotePrefix="0" xfId="0">
      <alignment horizontal="left" vertical="center" wrapText="1"/>
    </xf>
    <xf numFmtId="0" fontId="97" fillId="45" borderId="2" applyAlignment="1" pivotButton="0" quotePrefix="0" xfId="0">
      <alignment horizontal="left" vertical="center" wrapText="1"/>
    </xf>
    <xf numFmtId="0" fontId="98" fillId="44" borderId="2" applyAlignment="1" pivotButton="0" quotePrefix="0" xfId="0">
      <alignment horizontal="left" vertical="center" wrapText="1"/>
    </xf>
    <xf numFmtId="0" fontId="99" fillId="30" borderId="2" applyAlignment="1" pivotButton="0" quotePrefix="0" xfId="0">
      <alignment horizontal="left" vertical="center" wrapText="1"/>
    </xf>
    <xf numFmtId="0" fontId="100" fillId="3" borderId="0" applyAlignment="1" pivotButton="0" quotePrefix="0" xfId="0">
      <alignment horizontal="left" vertical="center"/>
    </xf>
    <xf numFmtId="0" fontId="47" fillId="40" borderId="3" applyAlignment="1" pivotButton="0" quotePrefix="0" xfId="0">
      <alignment horizontal="center" vertical="center" wrapText="1"/>
    </xf>
    <xf numFmtId="0" fontId="47" fillId="40" borderId="4" applyAlignment="1" pivotButton="0" quotePrefix="0" xfId="0">
      <alignment horizontal="center" vertical="center" wrapText="1"/>
    </xf>
    <xf numFmtId="0" fontId="47" fillId="40" borderId="5" applyAlignment="1" pivotButton="0" quotePrefix="0" xfId="0">
      <alignment horizontal="center" vertical="center" wrapText="1"/>
    </xf>
    <xf numFmtId="0" fontId="101" fillId="30" borderId="6" applyAlignment="1" pivotButton="0" quotePrefix="0" xfId="0">
      <alignment horizontal="left" vertical="center" wrapText="1"/>
    </xf>
    <xf numFmtId="0" fontId="101" fillId="30" borderId="7" applyAlignment="1" pivotButton="0" quotePrefix="0" xfId="0">
      <alignment horizontal="left" vertical="center" wrapText="1"/>
    </xf>
    <xf numFmtId="164" fontId="101" fillId="30" borderId="7" applyAlignment="1" pivotButton="0" quotePrefix="0" xfId="0">
      <alignment horizontal="left" vertical="center" wrapText="1"/>
    </xf>
    <xf numFmtId="167" fontId="101" fillId="30" borderId="7" applyAlignment="1" pivotButton="0" quotePrefix="0" xfId="0">
      <alignment horizontal="left" vertical="center" wrapText="1"/>
    </xf>
    <xf numFmtId="168" fontId="101" fillId="30" borderId="7" applyAlignment="1" pivotButton="0" quotePrefix="0" xfId="0">
      <alignment horizontal="left" vertical="center" wrapText="1"/>
    </xf>
    <xf numFmtId="0" fontId="0" fillId="30" borderId="7" applyAlignment="1" pivotButton="0" quotePrefix="0" xfId="0">
      <alignment horizontal="left" vertical="center" wrapText="1"/>
    </xf>
    <xf numFmtId="0" fontId="0" fillId="30" borderId="8" applyAlignment="1" pivotButton="0" quotePrefix="0" xfId="0">
      <alignment horizontal="left" vertical="center" wrapText="1"/>
    </xf>
    <xf numFmtId="0" fontId="101" fillId="8" borderId="6" applyAlignment="1" pivotButton="0" quotePrefix="0" xfId="0">
      <alignment horizontal="left" vertical="center" wrapText="1"/>
    </xf>
    <xf numFmtId="0" fontId="101" fillId="8" borderId="7" applyAlignment="1" pivotButton="0" quotePrefix="0" xfId="0">
      <alignment horizontal="left" vertical="center" wrapText="1"/>
    </xf>
    <xf numFmtId="164" fontId="101" fillId="8" borderId="7" applyAlignment="1" pivotButton="0" quotePrefix="0" xfId="0">
      <alignment horizontal="left" vertical="center" wrapText="1"/>
    </xf>
    <xf numFmtId="167" fontId="101" fillId="8" borderId="7" applyAlignment="1" pivotButton="0" quotePrefix="0" xfId="0">
      <alignment horizontal="left" vertical="center" wrapText="1"/>
    </xf>
    <xf numFmtId="168" fontId="101" fillId="8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8" borderId="8" applyAlignment="1" pivotButton="0" quotePrefix="0" xfId="0">
      <alignment horizontal="left" vertical="center" wrapText="1"/>
    </xf>
    <xf numFmtId="0" fontId="102" fillId="8" borderId="6" applyAlignment="1" pivotButton="0" quotePrefix="0" xfId="0">
      <alignment horizontal="left" vertical="center" wrapText="1"/>
    </xf>
    <xf numFmtId="0" fontId="102" fillId="8" borderId="7" applyAlignment="1" pivotButton="0" quotePrefix="0" xfId="0">
      <alignment horizontal="left" vertical="center" wrapText="1"/>
    </xf>
    <xf numFmtId="164" fontId="102" fillId="8" borderId="7" applyAlignment="1" pivotButton="0" quotePrefix="0" xfId="0">
      <alignment horizontal="left" vertical="center" wrapText="1"/>
    </xf>
    <xf numFmtId="167" fontId="102" fillId="8" borderId="7" applyAlignment="1" pivotButton="0" quotePrefix="0" xfId="0">
      <alignment horizontal="left" vertical="center" wrapText="1"/>
    </xf>
    <xf numFmtId="168" fontId="102" fillId="8" borderId="7" applyAlignment="1" pivotButton="0" quotePrefix="0" xfId="0">
      <alignment horizontal="left" vertical="center" wrapText="1"/>
    </xf>
    <xf numFmtId="0" fontId="102" fillId="30" borderId="6" applyAlignment="1" pivotButton="0" quotePrefix="0" xfId="0">
      <alignment horizontal="left" vertical="center" wrapText="1"/>
    </xf>
    <xf numFmtId="0" fontId="102" fillId="30" borderId="7" applyAlignment="1" pivotButton="0" quotePrefix="0" xfId="0">
      <alignment horizontal="left" vertical="center" wrapText="1"/>
    </xf>
    <xf numFmtId="164" fontId="102" fillId="30" borderId="7" applyAlignment="1" pivotButton="0" quotePrefix="0" xfId="0">
      <alignment horizontal="left" vertical="center" wrapText="1"/>
    </xf>
    <xf numFmtId="167" fontId="102" fillId="30" borderId="7" applyAlignment="1" pivotButton="0" quotePrefix="0" xfId="0">
      <alignment horizontal="left" vertical="center" wrapText="1"/>
    </xf>
    <xf numFmtId="168" fontId="102" fillId="30" borderId="7" applyAlignment="1" pivotButton="0" quotePrefix="0" xfId="0">
      <alignment horizontal="left" vertical="center" wrapText="1"/>
    </xf>
    <xf numFmtId="0" fontId="0" fillId="8" borderId="6" applyAlignment="1" pivotButton="0" quotePrefix="0" xfId="0">
      <alignment horizontal="left" vertical="center" wrapText="1"/>
    </xf>
    <xf numFmtId="164" fontId="0" fillId="8" borderId="7" applyAlignment="1" pivotButton="0" quotePrefix="0" xfId="0">
      <alignment horizontal="left" vertical="center" wrapText="1"/>
    </xf>
    <xf numFmtId="167" fontId="0" fillId="8" borderId="7" applyAlignment="1" pivotButton="0" quotePrefix="0" xfId="0">
      <alignment horizontal="left" vertical="center" wrapText="1"/>
    </xf>
    <xf numFmtId="168" fontId="0" fillId="8" borderId="7" applyAlignment="1" pivotButton="0" quotePrefix="0" xfId="0">
      <alignment horizontal="left" vertical="center" wrapText="1"/>
    </xf>
    <xf numFmtId="0" fontId="103" fillId="8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0" fontId="104" fillId="8" borderId="6" applyAlignment="1" pivotButton="0" quotePrefix="0" xfId="0">
      <alignment horizontal="left" vertical="center" wrapText="1"/>
    </xf>
    <xf numFmtId="0" fontId="31" fillId="8" borderId="7" applyAlignment="1" pivotButton="0" quotePrefix="0" xfId="0">
      <alignment horizontal="left" vertical="center" wrapText="1"/>
    </xf>
    <xf numFmtId="0" fontId="104" fillId="8" borderId="7" applyAlignment="1" pivotButton="0" quotePrefix="0" xfId="0">
      <alignment horizontal="left" vertical="center" wrapText="1"/>
    </xf>
    <xf numFmtId="164" fontId="104" fillId="8" borderId="7" applyAlignment="1" pivotButton="0" quotePrefix="0" xfId="0">
      <alignment horizontal="left" vertical="center" wrapText="1"/>
    </xf>
    <xf numFmtId="167" fontId="104" fillId="8" borderId="7" applyAlignment="1" pivotButton="0" quotePrefix="0" xfId="0">
      <alignment horizontal="left" vertical="center" wrapText="1"/>
    </xf>
    <xf numFmtId="168" fontId="104" fillId="8" borderId="7" applyAlignment="1" pivotButton="0" quotePrefix="0" xfId="0">
      <alignment horizontal="left" vertical="center" wrapText="1"/>
    </xf>
    <xf numFmtId="0" fontId="104" fillId="8" borderId="8" applyAlignment="1" pivotButton="0" quotePrefix="0" xfId="0">
      <alignment horizontal="left" vertical="center" wrapText="1"/>
    </xf>
    <xf numFmtId="0" fontId="104" fillId="30" borderId="6" applyAlignment="1" pivotButton="0" quotePrefix="0" xfId="0">
      <alignment horizontal="left" vertical="center" wrapText="1"/>
    </xf>
    <xf numFmtId="0" fontId="31" fillId="30" borderId="7" applyAlignment="1" pivotButton="0" quotePrefix="0" xfId="0">
      <alignment horizontal="left" vertical="center" wrapText="1"/>
    </xf>
    <xf numFmtId="0" fontId="104" fillId="30" borderId="7" applyAlignment="1" pivotButton="0" quotePrefix="0" xfId="0">
      <alignment horizontal="left" vertical="center" wrapText="1"/>
    </xf>
    <xf numFmtId="164" fontId="104" fillId="30" borderId="7" applyAlignment="1" pivotButton="0" quotePrefix="0" xfId="0">
      <alignment horizontal="left" vertical="center" wrapText="1"/>
    </xf>
    <xf numFmtId="167" fontId="104" fillId="30" borderId="7" applyAlignment="1" pivotButton="0" quotePrefix="0" xfId="0">
      <alignment horizontal="left" vertical="center" wrapText="1"/>
    </xf>
    <xf numFmtId="168" fontId="104" fillId="30" borderId="7" applyAlignment="1" pivotButton="0" quotePrefix="0" xfId="0">
      <alignment horizontal="left" vertical="center" wrapText="1"/>
    </xf>
    <xf numFmtId="0" fontId="104" fillId="30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105" fillId="8" borderId="6" applyAlignment="1" pivotButton="0" quotePrefix="0" xfId="0">
      <alignment horizontal="left" vertical="center" wrapText="1"/>
    </xf>
    <xf numFmtId="0" fontId="105" fillId="8" borderId="7" applyAlignment="1" pivotButton="0" quotePrefix="0" xfId="0">
      <alignment horizontal="left" vertical="center" wrapText="1"/>
    </xf>
    <xf numFmtId="164" fontId="105" fillId="8" borderId="7" applyAlignment="1" pivotButton="0" quotePrefix="0" xfId="0">
      <alignment horizontal="left" vertical="center" wrapText="1"/>
    </xf>
    <xf numFmtId="167" fontId="105" fillId="8" borderId="7" applyAlignment="1" pivotButton="0" quotePrefix="0" xfId="0">
      <alignment horizontal="left" vertical="center" wrapText="1"/>
    </xf>
    <xf numFmtId="168" fontId="105" fillId="8" borderId="7" applyAlignment="1" pivotButton="0" quotePrefix="0" xfId="0">
      <alignment horizontal="left" vertical="center" wrapText="1"/>
    </xf>
    <xf numFmtId="0" fontId="105" fillId="8" borderId="8" applyAlignment="1" pivotButton="0" quotePrefix="0" xfId="0">
      <alignment horizontal="left" vertical="center" wrapText="1"/>
    </xf>
    <xf numFmtId="0" fontId="0" fillId="30" borderId="6" applyAlignment="1" pivotButton="0" quotePrefix="0" xfId="0">
      <alignment horizontal="left" vertical="center" wrapText="1"/>
    </xf>
    <xf numFmtId="164" fontId="0" fillId="30" borderId="7" applyAlignment="1" pivotButton="0" quotePrefix="0" xfId="0">
      <alignment horizontal="left" vertical="center" wrapText="1"/>
    </xf>
    <xf numFmtId="167" fontId="0" fillId="30" borderId="7" applyAlignment="1" pivotButton="0" quotePrefix="0" xfId="0">
      <alignment horizontal="left" vertical="center" wrapText="1"/>
    </xf>
    <xf numFmtId="168" fontId="0" fillId="30" borderId="7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general" vertical="bottom"/>
    </xf>
    <xf numFmtId="0" fontId="18" fillId="8" borderId="6" applyAlignment="1" pivotButton="0" quotePrefix="0" xfId="0">
      <alignment horizontal="left" vertical="center" wrapText="1"/>
    </xf>
    <xf numFmtId="0" fontId="18" fillId="8" borderId="7" applyAlignment="1" pivotButton="0" quotePrefix="0" xfId="0">
      <alignment horizontal="left" vertical="center" wrapText="1"/>
    </xf>
    <xf numFmtId="0" fontId="26" fillId="30" borderId="6" applyAlignment="1" pivotButton="0" quotePrefix="0" xfId="0">
      <alignment horizontal="left" vertical="center" wrapText="1"/>
    </xf>
    <xf numFmtId="0" fontId="26" fillId="30" borderId="7" applyAlignment="1" pivotButton="0" quotePrefix="0" xfId="0">
      <alignment horizontal="left" vertical="center" wrapText="1"/>
    </xf>
    <xf numFmtId="0" fontId="27" fillId="30" borderId="7" applyAlignment="1" pivotButton="0" quotePrefix="0" xfId="0">
      <alignment horizontal="left" vertical="center" wrapText="1"/>
    </xf>
    <xf numFmtId="0" fontId="26" fillId="8" borderId="6" applyAlignment="1" pivotButton="0" quotePrefix="0" xfId="0">
      <alignment horizontal="left" vertical="center" wrapText="1"/>
    </xf>
    <xf numFmtId="0" fontId="26" fillId="8" borderId="7" applyAlignment="1" pivotButton="0" quotePrefix="0" xfId="0">
      <alignment horizontal="left" vertical="center" wrapText="1"/>
    </xf>
    <xf numFmtId="0" fontId="27" fillId="8" borderId="7" applyAlignment="1" pivotButton="0" quotePrefix="0" xfId="0">
      <alignment horizontal="left" vertical="center" wrapText="1"/>
    </xf>
    <xf numFmtId="0" fontId="17" fillId="8" borderId="6" applyAlignment="1" pivotButton="0" quotePrefix="0" xfId="0">
      <alignment horizontal="left" vertical="center" wrapText="1"/>
    </xf>
    <xf numFmtId="0" fontId="32" fillId="30" borderId="6" applyAlignment="1" pivotButton="0" quotePrefix="0" xfId="0">
      <alignment horizontal="left" vertical="center" wrapText="1"/>
    </xf>
    <xf numFmtId="0" fontId="47" fillId="8" borderId="6" applyAlignment="1" pivotButton="0" quotePrefix="0" xfId="0">
      <alignment horizontal="left" vertical="center" wrapText="1"/>
    </xf>
    <xf numFmtId="0" fontId="47" fillId="8" borderId="7" applyAlignment="1" pivotButton="0" quotePrefix="0" xfId="0">
      <alignment horizontal="left" vertical="center" wrapText="1"/>
    </xf>
    <xf numFmtId="164" fontId="47" fillId="8" borderId="7" applyAlignment="1" pivotButton="0" quotePrefix="0" xfId="0">
      <alignment horizontal="left" vertical="center" wrapText="1"/>
    </xf>
    <xf numFmtId="167" fontId="47" fillId="8" borderId="7" applyAlignment="1" pivotButton="0" quotePrefix="0" xfId="0">
      <alignment horizontal="left" vertical="center" wrapText="1"/>
    </xf>
    <xf numFmtId="168" fontId="47" fillId="8" borderId="7" applyAlignment="1" pivotButton="0" quotePrefix="0" xfId="0">
      <alignment horizontal="left" vertical="center" wrapText="1"/>
    </xf>
    <xf numFmtId="0" fontId="33" fillId="30" borderId="6" applyAlignment="1" pivotButton="0" quotePrefix="0" xfId="0">
      <alignment horizontal="left" vertical="center" wrapText="1"/>
    </xf>
    <xf numFmtId="0" fontId="35" fillId="30" borderId="7" applyAlignment="1" pivotButton="0" quotePrefix="0" xfId="0">
      <alignment horizontal="left" vertical="center" wrapText="1"/>
    </xf>
    <xf numFmtId="164" fontId="35" fillId="30" borderId="7" applyAlignment="1" pivotButton="0" quotePrefix="0" xfId="0">
      <alignment horizontal="left" vertical="center" wrapText="1"/>
    </xf>
    <xf numFmtId="167" fontId="106" fillId="30" borderId="7" applyAlignment="1" pivotButton="0" quotePrefix="0" xfId="0">
      <alignment horizontal="left" vertical="center" wrapText="1"/>
    </xf>
    <xf numFmtId="0" fontId="33" fillId="30" borderId="7" applyAlignment="1" pivotButton="0" quotePrefix="0" xfId="0">
      <alignment horizontal="left" vertical="center" wrapText="1"/>
    </xf>
    <xf numFmtId="168" fontId="106" fillId="30" borderId="7" applyAlignment="1" pivotButton="0" quotePrefix="0" xfId="0">
      <alignment horizontal="left" vertical="center" wrapText="1"/>
    </xf>
    <xf numFmtId="0" fontId="33" fillId="8" borderId="6" applyAlignment="1" pivotButton="0" quotePrefix="0" xfId="0">
      <alignment horizontal="left" vertical="center" wrapText="1"/>
    </xf>
    <xf numFmtId="0" fontId="35" fillId="8" borderId="7" applyAlignment="1" pivotButton="0" quotePrefix="0" xfId="0">
      <alignment horizontal="left" vertical="center" wrapText="1"/>
    </xf>
    <xf numFmtId="164" fontId="35" fillId="8" borderId="7" applyAlignment="1" pivotButton="0" quotePrefix="0" xfId="0">
      <alignment horizontal="left" vertical="center" wrapText="1"/>
    </xf>
    <xf numFmtId="167" fontId="106" fillId="8" borderId="7" applyAlignment="1" pivotButton="0" quotePrefix="0" xfId="0">
      <alignment horizontal="left" vertical="center" wrapText="1"/>
    </xf>
    <xf numFmtId="0" fontId="33" fillId="8" borderId="7" applyAlignment="1" pivotButton="0" quotePrefix="0" xfId="0">
      <alignment horizontal="left" vertical="center" wrapText="1"/>
    </xf>
    <xf numFmtId="168" fontId="106" fillId="8" borderId="7" applyAlignment="1" pivotButton="0" quotePrefix="0" xfId="0">
      <alignment horizontal="left" vertical="center" wrapText="1"/>
    </xf>
    <xf numFmtId="0" fontId="106" fillId="30" borderId="7" applyAlignment="1" pivotButton="0" quotePrefix="0" xfId="0">
      <alignment horizontal="left" vertical="center" wrapText="1"/>
    </xf>
    <xf numFmtId="0" fontId="106" fillId="8" borderId="7" applyAlignment="1" pivotButton="0" quotePrefix="0" xfId="0">
      <alignment horizontal="left" vertical="center" wrapText="1"/>
    </xf>
    <xf numFmtId="0" fontId="50" fillId="8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8" borderId="11" applyAlignment="1" pivotButton="0" quotePrefix="0" xfId="0">
      <alignment horizontal="left" vertical="center" wrapText="1"/>
    </xf>
    <xf numFmtId="0" fontId="15" fillId="33" borderId="2" applyAlignment="1" pivotButton="0" quotePrefix="0" xfId="0">
      <alignment horizontal="left" vertical="center" wrapText="1"/>
    </xf>
    <xf numFmtId="0" fontId="0" fillId="33" borderId="2" applyAlignment="1" pivotButton="0" quotePrefix="0" xfId="0">
      <alignment horizontal="general" vertical="bottom"/>
    </xf>
    <xf numFmtId="0" fontId="70" fillId="33" borderId="2" applyAlignment="1" pivotButton="0" quotePrefix="0" xfId="0">
      <alignment horizontal="center" vertical="center" wrapText="1"/>
    </xf>
    <xf numFmtId="0" fontId="85" fillId="28" borderId="2" applyAlignment="1" pivotButton="0" quotePrefix="0" xfId="0">
      <alignment horizontal="center" vertical="center" wrapText="1"/>
    </xf>
    <xf numFmtId="0" fontId="91" fillId="28" borderId="2" applyAlignment="1" pivotButton="0" quotePrefix="0" xfId="0">
      <alignment horizontal="left" vertical="center" wrapText="1"/>
    </xf>
    <xf numFmtId="0" fontId="107" fillId="28" borderId="2" applyAlignment="1" pivotButton="0" quotePrefix="0" xfId="0">
      <alignment horizontal="left" vertical="center" wrapText="1"/>
    </xf>
    <xf numFmtId="0" fontId="85" fillId="44" borderId="2" applyAlignment="1" pivotButton="0" quotePrefix="0" xfId="0">
      <alignment horizontal="center" vertical="center" wrapText="1"/>
    </xf>
    <xf numFmtId="0" fontId="91" fillId="44" borderId="2" applyAlignment="1" pivotButton="0" quotePrefix="0" xfId="0">
      <alignment horizontal="left" vertical="center" wrapText="1"/>
    </xf>
    <xf numFmtId="0" fontId="108" fillId="23" borderId="2" applyAlignment="1" pivotButton="0" quotePrefix="0" xfId="0">
      <alignment horizontal="center" vertical="center" wrapText="1"/>
    </xf>
    <xf numFmtId="0" fontId="15" fillId="42" borderId="2" applyAlignment="1" pivotButton="0" quotePrefix="0" xfId="0">
      <alignment horizontal="left" vertical="center" wrapText="1"/>
    </xf>
    <xf numFmtId="0" fontId="0" fillId="42" borderId="2" applyAlignment="1" pivotButton="0" quotePrefix="0" xfId="0">
      <alignment horizontal="general" vertical="bottom"/>
    </xf>
    <xf numFmtId="0" fontId="70" fillId="42" borderId="2" applyAlignment="1" pivotButton="0" quotePrefix="0" xfId="0">
      <alignment horizontal="center" vertical="center" wrapText="1"/>
    </xf>
    <xf numFmtId="0" fontId="91" fillId="4" borderId="2" applyAlignment="1" pivotButton="0" quotePrefix="0" xfId="0">
      <alignment horizontal="center" vertical="center" wrapText="1"/>
    </xf>
    <xf numFmtId="0" fontId="74" fillId="40" borderId="0" applyAlignment="1" pivotButton="0" quotePrefix="0" xfId="0">
      <alignment horizontal="left" vertical="center" wrapText="1"/>
    </xf>
    <xf numFmtId="0" fontId="6" fillId="40" borderId="0" applyAlignment="1" pivotButton="0" quotePrefix="0" xfId="0">
      <alignment horizontal="left" vertical="center" wrapText="1"/>
    </xf>
    <xf numFmtId="0" fontId="17" fillId="47" borderId="0" applyAlignment="1" pivotButton="0" quotePrefix="0" xfId="0">
      <alignment horizontal="left" vertical="center" wrapText="1"/>
    </xf>
    <xf numFmtId="0" fontId="26" fillId="43" borderId="0" applyAlignment="1" pivotButton="0" quotePrefix="0" xfId="0">
      <alignment horizontal="left" vertical="center" wrapText="1"/>
    </xf>
    <xf numFmtId="0" fontId="27" fillId="43" borderId="0" applyAlignment="1" pivotButton="0" quotePrefix="0" xfId="0">
      <alignment horizontal="left" vertical="center" wrapText="1"/>
    </xf>
    <xf numFmtId="0" fontId="18" fillId="33" borderId="0" applyAlignment="1" pivotButton="0" quotePrefix="0" xfId="0">
      <alignment horizontal="center" vertical="center" wrapText="1"/>
    </xf>
    <xf numFmtId="0" fontId="27" fillId="48" borderId="0" applyAlignment="1" pivotButton="0" quotePrefix="0" xfId="0">
      <alignment horizontal="left" vertical="center" wrapText="1"/>
    </xf>
    <xf numFmtId="0" fontId="26" fillId="48" borderId="0" applyAlignment="1" pivotButton="0" quotePrefix="0" xfId="0">
      <alignment horizontal="left" vertical="center" wrapText="1"/>
    </xf>
    <xf numFmtId="0" fontId="109" fillId="48" borderId="0" applyAlignment="1" pivotButton="0" quotePrefix="0" xfId="0">
      <alignment horizontal="left" vertical="center" wrapText="1"/>
    </xf>
    <xf numFmtId="0" fontId="27" fillId="28" borderId="0" applyAlignment="1" pivotButton="0" quotePrefix="0" xfId="0">
      <alignment horizontal="left" vertical="center" wrapText="1"/>
    </xf>
    <xf numFmtId="0" fontId="27" fillId="19" borderId="0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left" vertical="center" wrapText="1"/>
    </xf>
    <xf numFmtId="0" fontId="109" fillId="23" borderId="0" applyAlignment="1" pivotButton="0" quotePrefix="0" xfId="0">
      <alignment horizontal="left" vertical="center" wrapText="1"/>
    </xf>
    <xf numFmtId="0" fontId="27" fillId="30" borderId="0" applyAlignment="1" pivotButton="0" quotePrefix="0" xfId="0">
      <alignment horizontal="left" vertical="center" wrapText="1"/>
    </xf>
    <xf numFmtId="0" fontId="26" fillId="30" borderId="0" applyAlignment="1" pivotButton="0" quotePrefix="0" xfId="0">
      <alignment horizontal="left" vertical="center" wrapText="1"/>
    </xf>
    <xf numFmtId="0" fontId="109" fillId="30" borderId="0" applyAlignment="1" pivotButton="0" quotePrefix="0" xfId="0">
      <alignment horizontal="left" vertical="center" wrapText="1"/>
    </xf>
    <xf numFmtId="0" fontId="110" fillId="34" borderId="1" applyAlignment="1" pivotButton="0" quotePrefix="0" xfId="0">
      <alignment horizontal="left" vertical="center"/>
    </xf>
    <xf numFmtId="0" fontId="111" fillId="34" borderId="1" applyAlignment="1" pivotButton="0" quotePrefix="0" xfId="0">
      <alignment horizontal="left" vertical="center"/>
    </xf>
    <xf numFmtId="0" fontId="37" fillId="34" borderId="1" applyAlignment="1" pivotButton="0" quotePrefix="0" xfId="0">
      <alignment horizontal="left" vertical="center"/>
    </xf>
    <xf numFmtId="0" fontId="112" fillId="34" borderId="1" applyAlignment="1" pivotButton="0" quotePrefix="0" xfId="0">
      <alignment horizontal="left" vertical="center"/>
    </xf>
    <xf numFmtId="0" fontId="113" fillId="34" borderId="0" applyAlignment="1" pivotButton="0" quotePrefix="0" xfId="0">
      <alignment horizontal="left" vertical="center" wrapText="1"/>
    </xf>
    <xf numFmtId="0" fontId="114" fillId="34" borderId="1" applyAlignment="1" pivotButton="0" quotePrefix="0" xfId="0">
      <alignment horizontal="left" vertical="center"/>
    </xf>
    <xf numFmtId="0" fontId="110" fillId="30" borderId="1" applyAlignment="1" pivotButton="0" quotePrefix="0" xfId="0">
      <alignment horizontal="left" vertical="center"/>
    </xf>
    <xf numFmtId="0" fontId="111" fillId="30" borderId="1" applyAlignment="1" pivotButton="0" quotePrefix="0" xfId="0">
      <alignment horizontal="left" vertical="center"/>
    </xf>
    <xf numFmtId="0" fontId="115" fillId="30" borderId="1" applyAlignment="1" pivotButton="0" quotePrefix="0" xfId="0">
      <alignment horizontal="left" vertical="center"/>
    </xf>
    <xf numFmtId="0" fontId="112" fillId="30" borderId="1" applyAlignment="1" pivotButton="0" quotePrefix="0" xfId="0">
      <alignment horizontal="left" vertical="center"/>
    </xf>
    <xf numFmtId="0" fontId="113" fillId="30" borderId="0" applyAlignment="1" pivotButton="0" quotePrefix="0" xfId="0">
      <alignment horizontal="left" vertical="center" wrapText="1"/>
    </xf>
    <xf numFmtId="0" fontId="114" fillId="30" borderId="1" applyAlignment="1" pivotButton="0" quotePrefix="0" xfId="0">
      <alignment horizontal="left" vertical="center"/>
    </xf>
    <xf numFmtId="0" fontId="40" fillId="34" borderId="1" applyAlignment="1" pivotButton="0" quotePrefix="0" xfId="0">
      <alignment horizontal="left" vertical="center"/>
    </xf>
    <xf numFmtId="0" fontId="54" fillId="49" borderId="0" applyAlignment="1" pivotButton="0" quotePrefix="0" xfId="0">
      <alignment horizontal="left" vertical="center"/>
    </xf>
    <xf numFmtId="0" fontId="116" fillId="50" borderId="0" applyAlignment="1" pivotButton="0" quotePrefix="0" xfId="0">
      <alignment horizontal="left" vertical="center" wrapText="1"/>
    </xf>
    <xf numFmtId="0" fontId="117" fillId="36" borderId="1" applyAlignment="1" pivotButton="0" quotePrefix="0" xfId="0">
      <alignment horizontal="center" vertical="center" wrapText="1"/>
    </xf>
    <xf numFmtId="0" fontId="112" fillId="34" borderId="1" applyAlignment="1" pivotButton="0" quotePrefix="0" xfId="0">
      <alignment horizontal="left" vertical="center" wrapText="1"/>
    </xf>
    <xf numFmtId="0" fontId="118" fillId="34" borderId="1" applyAlignment="1" pivotButton="0" quotePrefix="0" xfId="0">
      <alignment horizontal="left" vertical="center"/>
    </xf>
    <xf numFmtId="0" fontId="40" fillId="30" borderId="1" applyAlignment="1" pivotButton="0" quotePrefix="0" xfId="0">
      <alignment horizontal="left" vertical="center"/>
    </xf>
    <xf numFmtId="0" fontId="112" fillId="30" borderId="1" applyAlignment="1" pivotButton="0" quotePrefix="0" xfId="0">
      <alignment horizontal="left" vertical="center" wrapText="1"/>
    </xf>
    <xf numFmtId="0" fontId="118" fillId="30" borderId="1" applyAlignment="1" pivotButton="0" quotePrefix="0" xfId="0">
      <alignment horizontal="left" vertical="center"/>
    </xf>
    <xf numFmtId="0" fontId="115" fillId="34" borderId="1" applyAlignment="1" pivotButton="0" quotePrefix="0" xfId="0">
      <alignment horizontal="left" vertical="center"/>
    </xf>
    <xf numFmtId="0" fontId="119" fillId="30" borderId="1" applyAlignment="1" pivotButton="0" quotePrefix="0" xfId="0">
      <alignment horizontal="left" vertical="center"/>
    </xf>
    <xf numFmtId="0" fontId="39" fillId="51" borderId="0" applyAlignment="1" pivotButton="0" quotePrefix="0" xfId="0">
      <alignment horizontal="left" vertical="center"/>
    </xf>
    <xf numFmtId="0" fontId="117" fillId="51" borderId="1" applyAlignment="1" pivotButton="0" quotePrefix="0" xfId="0">
      <alignment horizontal="center" vertical="center" wrapText="1"/>
    </xf>
    <xf numFmtId="0" fontId="110" fillId="15" borderId="1" applyAlignment="1" pivotButton="0" quotePrefix="0" xfId="0">
      <alignment horizontal="left" vertical="center"/>
    </xf>
    <xf numFmtId="0" fontId="41" fillId="15" borderId="1" applyAlignment="1" pivotButton="0" quotePrefix="0" xfId="0">
      <alignment horizontal="left" vertical="center"/>
    </xf>
    <xf numFmtId="0" fontId="40" fillId="15" borderId="1" applyAlignment="1" pivotButton="0" quotePrefix="0" xfId="0">
      <alignment horizontal="left" vertical="center"/>
    </xf>
    <xf numFmtId="0" fontId="116" fillId="15" borderId="1" applyAlignment="1" pivotButton="0" quotePrefix="0" xfId="0">
      <alignment horizontal="left" vertical="center" wrapText="1"/>
    </xf>
    <xf numFmtId="0" fontId="112" fillId="15" borderId="1" applyAlignment="1" pivotButton="0" quotePrefix="0" xfId="0">
      <alignment horizontal="left" vertical="center" wrapText="1"/>
    </xf>
    <xf numFmtId="0" fontId="120" fillId="15" borderId="1" applyAlignment="1" pivotButton="0" quotePrefix="0" xfId="0">
      <alignment horizontal="left" vertical="center" wrapText="1"/>
    </xf>
    <xf numFmtId="0" fontId="114" fillId="15" borderId="1" applyAlignment="1" pivotButton="0" quotePrefix="0" xfId="0">
      <alignment horizontal="left" vertical="center"/>
    </xf>
    <xf numFmtId="0" fontId="116" fillId="30" borderId="1" applyAlignment="1" pivotButton="0" quotePrefix="0" xfId="0">
      <alignment horizontal="left" vertical="center" wrapText="1"/>
    </xf>
    <xf numFmtId="0" fontId="120" fillId="30" borderId="1" applyAlignment="1" pivotButton="0" quotePrefix="0" xfId="0">
      <alignment horizontal="left" vertical="center" wrapText="1"/>
    </xf>
    <xf numFmtId="0" fontId="39" fillId="52" borderId="0" applyAlignment="1" pivotButton="0" quotePrefix="0" xfId="0">
      <alignment horizontal="left" vertical="center"/>
    </xf>
    <xf numFmtId="0" fontId="117" fillId="52" borderId="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121" fillId="16" borderId="1" applyAlignment="1" pivotButton="0" quotePrefix="0" xfId="0">
      <alignment horizontal="left" vertical="center"/>
    </xf>
    <xf numFmtId="0" fontId="112" fillId="16" borderId="1" applyAlignment="1" pivotButton="0" quotePrefix="0" xfId="0">
      <alignment horizontal="left" vertical="center" wrapText="1"/>
    </xf>
    <xf numFmtId="0" fontId="40" fillId="16" borderId="0" applyAlignment="1" pivotButton="0" quotePrefix="0" xfId="0">
      <alignment horizontal="left" vertical="center" wrapText="1"/>
    </xf>
    <xf numFmtId="0" fontId="121" fillId="30" borderId="1" applyAlignment="1" pivotButton="0" quotePrefix="0" xfId="0">
      <alignment horizontal="left" vertical="center"/>
    </xf>
    <xf numFmtId="0" fontId="40" fillId="30" borderId="0" applyAlignment="1" pivotButton="0" quotePrefix="0" xfId="0">
      <alignment horizontal="left" vertical="center" wrapText="1"/>
    </xf>
    <xf numFmtId="0" fontId="119" fillId="16" borderId="0" applyAlignment="1" pivotButton="0" quotePrefix="0" xfId="0">
      <alignment horizontal="left" vertical="center" wrapText="1"/>
    </xf>
    <xf numFmtId="0" fontId="39" fillId="53" borderId="0" applyAlignment="1" pivotButton="0" quotePrefix="0" xfId="0">
      <alignment horizontal="left" vertical="center"/>
    </xf>
    <xf numFmtId="0" fontId="117" fillId="53" borderId="1" applyAlignment="1" pivotButton="0" quotePrefix="0" xfId="0">
      <alignment horizontal="center" vertical="center"/>
    </xf>
    <xf numFmtId="0" fontId="115" fillId="54" borderId="1" applyAlignment="1" pivotButton="0" quotePrefix="0" xfId="0">
      <alignment horizontal="left" vertical="center"/>
    </xf>
    <xf numFmtId="0" fontId="111" fillId="54" borderId="1" applyAlignment="1" pivotButton="0" quotePrefix="0" xfId="0">
      <alignment horizontal="left" vertical="center"/>
    </xf>
    <xf numFmtId="0" fontId="122" fillId="54" borderId="0" applyAlignment="1" pivotButton="0" quotePrefix="0" xfId="0">
      <alignment horizontal="left" vertical="center" wrapText="1"/>
    </xf>
    <xf numFmtId="0" fontId="40" fillId="54" borderId="1" applyAlignment="1" pivotButton="0" quotePrefix="0" xfId="0">
      <alignment horizontal="center" vertical="center"/>
    </xf>
    <xf numFmtId="0" fontId="122" fillId="30" borderId="0" applyAlignment="1" pivotButton="0" quotePrefix="0" xfId="0">
      <alignment horizontal="left" vertical="center" wrapText="1"/>
    </xf>
    <xf numFmtId="0" fontId="119" fillId="30" borderId="1" applyAlignment="1" pivotButton="0" quotePrefix="0" xfId="0">
      <alignment horizontal="center" vertical="center"/>
    </xf>
    <xf numFmtId="0" fontId="123" fillId="0" borderId="0" applyAlignment="1" pivotButton="0" quotePrefix="0" xfId="0">
      <alignment horizontal="general" vertical="bottom" wrapText="1"/>
    </xf>
    <xf numFmtId="0" fontId="15" fillId="13" borderId="12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2" pivotButton="0" quotePrefix="0" xfId="0"/>
    <xf numFmtId="0" fontId="124" fillId="3" borderId="12" applyAlignment="1" pivotButton="0" quotePrefix="0" xfId="0">
      <alignment horizontal="left" vertical="center"/>
    </xf>
    <xf numFmtId="0" fontId="124" fillId="36" borderId="12" applyAlignment="1" pivotButton="0" quotePrefix="0" xfId="0">
      <alignment horizontal="left" vertical="center"/>
    </xf>
    <xf numFmtId="0" fontId="124" fillId="39" borderId="12" applyAlignment="1" pivotButton="0" quotePrefix="0" xfId="0">
      <alignment horizontal="left" vertical="center"/>
    </xf>
    <xf numFmtId="0" fontId="124" fillId="26" borderId="12" applyAlignment="1" pivotButton="0" quotePrefix="0" xfId="0">
      <alignment horizontal="left" vertical="center"/>
    </xf>
    <xf numFmtId="0" fontId="125" fillId="55" borderId="12" applyAlignment="1" pivotButton="0" quotePrefix="0" xfId="0">
      <alignment horizontal="left" vertical="center"/>
    </xf>
    <xf numFmtId="0" fontId="126" fillId="56" borderId="12" applyAlignment="1" pivotButton="0" quotePrefix="0" xfId="0">
      <alignment horizontal="left" vertical="center"/>
    </xf>
    <xf numFmtId="0" fontId="127" fillId="57" borderId="12" applyAlignment="1" pivotButton="0" quotePrefix="0" xfId="0">
      <alignment horizontal="left" vertical="center"/>
    </xf>
    <xf numFmtId="0" fontId="128" fillId="48" borderId="12" applyAlignment="1" pivotButton="0" quotePrefix="0" xfId="0">
      <alignment horizontal="left" vertical="center"/>
    </xf>
    <xf numFmtId="0" fontId="124" fillId="3" borderId="12" applyAlignment="1" pivotButton="0" quotePrefix="0" xfId="0">
      <alignment horizontal="center" vertical="center"/>
    </xf>
    <xf numFmtId="0" fontId="129" fillId="55" borderId="12" applyAlignment="1" pivotButton="0" quotePrefix="0" xfId="0">
      <alignment horizontal="left" vertical="center"/>
    </xf>
    <xf numFmtId="0" fontId="79" fillId="55" borderId="12" applyAlignment="1" pivotButton="0" quotePrefix="0" xfId="0">
      <alignment horizontal="left" vertical="center"/>
    </xf>
    <xf numFmtId="0" fontId="14" fillId="55" borderId="12" applyAlignment="1" pivotButton="0" quotePrefix="0" xfId="0">
      <alignment horizontal="center" vertical="center"/>
    </xf>
    <xf numFmtId="0" fontId="130" fillId="55" borderId="12" applyAlignment="1" pivotButton="0" quotePrefix="0" xfId="0">
      <alignment horizontal="center" vertical="center"/>
    </xf>
    <xf numFmtId="0" fontId="131" fillId="55" borderId="12" applyAlignment="1" pivotButton="0" quotePrefix="0" xfId="0">
      <alignment horizontal="center" vertical="center"/>
    </xf>
    <xf numFmtId="169" fontId="14" fillId="55" borderId="12" applyAlignment="1" pivotButton="0" quotePrefix="0" xfId="0">
      <alignment horizontal="right" vertical="center"/>
    </xf>
    <xf numFmtId="4" fontId="14" fillId="55" borderId="12" applyAlignment="1" pivotButton="0" quotePrefix="0" xfId="0">
      <alignment horizontal="right" vertical="center"/>
    </xf>
    <xf numFmtId="0" fontId="132" fillId="55" borderId="12" applyAlignment="1" pivotButton="0" quotePrefix="0" xfId="0">
      <alignment horizontal="center" vertical="center"/>
    </xf>
    <xf numFmtId="3" fontId="133" fillId="55" borderId="12" applyAlignment="1" pivotButton="0" quotePrefix="0" xfId="0">
      <alignment horizontal="right" vertical="center"/>
    </xf>
    <xf numFmtId="3" fontId="14" fillId="55" borderId="12" applyAlignment="1" pivotButton="0" quotePrefix="0" xfId="0">
      <alignment horizontal="right" vertical="center"/>
    </xf>
    <xf numFmtId="170" fontId="130" fillId="55" borderId="12" applyAlignment="1" pivotButton="0" quotePrefix="0" xfId="0">
      <alignment horizontal="right" vertical="center"/>
    </xf>
    <xf numFmtId="171" fontId="130" fillId="55" borderId="12" applyAlignment="1" pivotButton="0" quotePrefix="0" xfId="0">
      <alignment horizontal="right" vertical="center"/>
    </xf>
    <xf numFmtId="165" fontId="14" fillId="55" borderId="12" applyAlignment="1" pivotButton="0" quotePrefix="0" xfId="0">
      <alignment horizontal="right" vertical="center"/>
    </xf>
    <xf numFmtId="10" fontId="14" fillId="55" borderId="12" applyAlignment="1" pivotButton="0" quotePrefix="0" xfId="0">
      <alignment horizontal="right" vertical="center"/>
    </xf>
    <xf numFmtId="0" fontId="134" fillId="57" borderId="12" applyAlignment="1" pivotButton="0" quotePrefix="0" xfId="0">
      <alignment horizontal="left" vertical="center"/>
    </xf>
    <xf numFmtId="0" fontId="79" fillId="57" borderId="12" applyAlignment="1" pivotButton="0" quotePrefix="0" xfId="0">
      <alignment horizontal="left" vertical="center"/>
    </xf>
    <xf numFmtId="0" fontId="14" fillId="57" borderId="12" applyAlignment="1" pivotButton="0" quotePrefix="0" xfId="0">
      <alignment horizontal="center" vertical="center"/>
    </xf>
    <xf numFmtId="0" fontId="135" fillId="57" borderId="12" applyAlignment="1" pivotButton="0" quotePrefix="0" xfId="0">
      <alignment horizontal="center" vertical="center"/>
    </xf>
    <xf numFmtId="0" fontId="131" fillId="57" borderId="12" applyAlignment="1" pivotButton="0" quotePrefix="0" xfId="0">
      <alignment horizontal="center" vertical="center"/>
    </xf>
    <xf numFmtId="169" fontId="14" fillId="57" borderId="12" applyAlignment="1" pivotButton="0" quotePrefix="0" xfId="0">
      <alignment horizontal="right" vertical="center"/>
    </xf>
    <xf numFmtId="4" fontId="14" fillId="57" borderId="12" applyAlignment="1" pivotButton="0" quotePrefix="0" xfId="0">
      <alignment horizontal="right" vertical="center"/>
    </xf>
    <xf numFmtId="0" fontId="132" fillId="57" borderId="12" applyAlignment="1" pivotButton="0" quotePrefix="0" xfId="0">
      <alignment horizontal="center" vertical="center"/>
    </xf>
    <xf numFmtId="3" fontId="133" fillId="57" borderId="12" applyAlignment="1" pivotButton="0" quotePrefix="0" xfId="0">
      <alignment horizontal="right" vertical="center"/>
    </xf>
    <xf numFmtId="3" fontId="14" fillId="57" borderId="12" applyAlignment="1" pivotButton="0" quotePrefix="0" xfId="0">
      <alignment horizontal="right" vertical="center"/>
    </xf>
    <xf numFmtId="170" fontId="130" fillId="57" borderId="12" applyAlignment="1" pivotButton="0" quotePrefix="0" xfId="0">
      <alignment horizontal="right" vertical="center"/>
    </xf>
    <xf numFmtId="171" fontId="130" fillId="57" borderId="12" applyAlignment="1" pivotButton="0" quotePrefix="0" xfId="0">
      <alignment horizontal="right" vertical="center"/>
    </xf>
    <xf numFmtId="165" fontId="14" fillId="57" borderId="12" applyAlignment="1" pivotButton="0" quotePrefix="0" xfId="0">
      <alignment horizontal="right" vertical="center"/>
    </xf>
    <xf numFmtId="10" fontId="14" fillId="57" borderId="12" applyAlignment="1" pivotButton="0" quotePrefix="0" xfId="0">
      <alignment horizontal="right" vertical="center"/>
    </xf>
    <xf numFmtId="0" fontId="130" fillId="55" borderId="12" applyAlignment="1" pivotButton="0" quotePrefix="0" xfId="0">
      <alignment horizontal="left" vertical="center"/>
    </xf>
    <xf numFmtId="0" fontId="136" fillId="55" borderId="12" applyAlignment="1" pivotButton="0" quotePrefix="0" xfId="0">
      <alignment horizontal="center" vertical="center"/>
    </xf>
    <xf numFmtId="170" fontId="137" fillId="55" borderId="12" applyAlignment="1" pivotButton="0" quotePrefix="0" xfId="0">
      <alignment horizontal="right" vertical="center"/>
    </xf>
    <xf numFmtId="171" fontId="137" fillId="55" borderId="12" applyAlignment="1" pivotButton="0" quotePrefix="0" xfId="0">
      <alignment horizontal="right" vertical="center"/>
    </xf>
    <xf numFmtId="0" fontId="135" fillId="55" borderId="12" applyAlignment="1" pivotButton="0" quotePrefix="0" xfId="0">
      <alignment horizontal="center" vertical="center"/>
    </xf>
    <xf numFmtId="0" fontId="130" fillId="57" borderId="12" applyAlignment="1" pivotButton="0" quotePrefix="0" xfId="0">
      <alignment horizontal="center" vertical="center"/>
    </xf>
    <xf numFmtId="0" fontId="138" fillId="48" borderId="12" applyAlignment="1" pivotButton="0" quotePrefix="0" xfId="0">
      <alignment horizontal="left" vertical="center"/>
    </xf>
    <xf numFmtId="0" fontId="79" fillId="48" borderId="12" applyAlignment="1" pivotButton="0" quotePrefix="0" xfId="0">
      <alignment horizontal="left" vertical="center"/>
    </xf>
    <xf numFmtId="0" fontId="14" fillId="48" borderId="12" applyAlignment="1" pivotButton="0" quotePrefix="0" xfId="0">
      <alignment horizontal="center" vertical="center"/>
    </xf>
    <xf numFmtId="0" fontId="139" fillId="48" borderId="12" applyAlignment="1" pivotButton="0" quotePrefix="0" xfId="0">
      <alignment horizontal="center" vertical="center"/>
    </xf>
    <xf numFmtId="0" fontId="131" fillId="48" borderId="12" applyAlignment="1" pivotButton="0" quotePrefix="0" xfId="0">
      <alignment horizontal="center" vertical="center"/>
    </xf>
    <xf numFmtId="169" fontId="14" fillId="48" borderId="12" applyAlignment="1" pivotButton="0" quotePrefix="0" xfId="0">
      <alignment horizontal="right" vertical="center"/>
    </xf>
    <xf numFmtId="4" fontId="14" fillId="48" borderId="12" applyAlignment="1" pivotButton="0" quotePrefix="0" xfId="0">
      <alignment horizontal="right" vertical="center"/>
    </xf>
    <xf numFmtId="0" fontId="132" fillId="48" borderId="12" applyAlignment="1" pivotButton="0" quotePrefix="0" xfId="0">
      <alignment horizontal="center" vertical="center"/>
    </xf>
    <xf numFmtId="3" fontId="133" fillId="48" borderId="12" applyAlignment="1" pivotButton="0" quotePrefix="0" xfId="0">
      <alignment horizontal="right" vertical="center"/>
    </xf>
    <xf numFmtId="3" fontId="14" fillId="48" borderId="12" applyAlignment="1" pivotButton="0" quotePrefix="0" xfId="0">
      <alignment horizontal="right" vertical="center"/>
    </xf>
    <xf numFmtId="170" fontId="130" fillId="48" borderId="12" applyAlignment="1" pivotButton="0" quotePrefix="0" xfId="0">
      <alignment horizontal="right" vertical="center"/>
    </xf>
    <xf numFmtId="171" fontId="130" fillId="48" borderId="12" applyAlignment="1" pivotButton="0" quotePrefix="0" xfId="0">
      <alignment horizontal="right" vertical="center"/>
    </xf>
    <xf numFmtId="165" fontId="14" fillId="48" borderId="12" applyAlignment="1" pivotButton="0" quotePrefix="0" xfId="0">
      <alignment horizontal="right" vertical="center"/>
    </xf>
    <xf numFmtId="10" fontId="14" fillId="48" borderId="12" applyAlignment="1" pivotButton="0" quotePrefix="0" xfId="0">
      <alignment horizontal="right" vertical="center"/>
    </xf>
    <xf numFmtId="0" fontId="140" fillId="56" borderId="12" applyAlignment="1" pivotButton="0" quotePrefix="0" xfId="0">
      <alignment horizontal="left" vertical="center"/>
    </xf>
    <xf numFmtId="0" fontId="79" fillId="56" borderId="12" applyAlignment="1" pivotButton="0" quotePrefix="0" xfId="0">
      <alignment horizontal="left" vertical="center"/>
    </xf>
    <xf numFmtId="0" fontId="14" fillId="56" borderId="12" applyAlignment="1" pivotButton="0" quotePrefix="0" xfId="0">
      <alignment horizontal="center" vertical="center"/>
    </xf>
    <xf numFmtId="0" fontId="140" fillId="56" borderId="12" applyAlignment="1" pivotButton="0" quotePrefix="0" xfId="0">
      <alignment horizontal="center" vertical="center"/>
    </xf>
    <xf numFmtId="0" fontId="130" fillId="56" borderId="12" applyAlignment="1" pivotButton="0" quotePrefix="0" xfId="0">
      <alignment horizontal="center" vertical="center"/>
    </xf>
    <xf numFmtId="169" fontId="14" fillId="56" borderId="12" applyAlignment="1" pivotButton="0" quotePrefix="0" xfId="0">
      <alignment horizontal="right" vertical="center"/>
    </xf>
    <xf numFmtId="4" fontId="14" fillId="56" borderId="12" applyAlignment="1" pivotButton="0" quotePrefix="0" xfId="0">
      <alignment horizontal="right" vertical="center"/>
    </xf>
    <xf numFmtId="0" fontId="136" fillId="56" borderId="12" applyAlignment="1" pivotButton="0" quotePrefix="0" xfId="0">
      <alignment horizontal="center" vertical="center"/>
    </xf>
    <xf numFmtId="3" fontId="133" fillId="56" borderId="12" applyAlignment="1" pivotButton="0" quotePrefix="0" xfId="0">
      <alignment horizontal="right" vertical="center"/>
    </xf>
    <xf numFmtId="3" fontId="14" fillId="56" borderId="12" applyAlignment="1" pivotButton="0" quotePrefix="0" xfId="0">
      <alignment horizontal="right" vertical="center"/>
    </xf>
    <xf numFmtId="170" fontId="130" fillId="56" borderId="12" applyAlignment="1" pivotButton="0" quotePrefix="0" xfId="0">
      <alignment horizontal="right" vertical="center"/>
    </xf>
    <xf numFmtId="171" fontId="130" fillId="56" borderId="12" applyAlignment="1" pivotButton="0" quotePrefix="0" xfId="0">
      <alignment horizontal="right" vertical="center"/>
    </xf>
    <xf numFmtId="165" fontId="14" fillId="56" borderId="12" applyAlignment="1" pivotButton="0" quotePrefix="0" xfId="0">
      <alignment horizontal="right" vertical="center"/>
    </xf>
    <xf numFmtId="10" fontId="14" fillId="56" borderId="12" applyAlignment="1" pivotButton="0" quotePrefix="0" xfId="0">
      <alignment horizontal="right" vertical="center"/>
    </xf>
    <xf numFmtId="0" fontId="130" fillId="48" borderId="12" applyAlignment="1" pivotButton="0" quotePrefix="0" xfId="0">
      <alignment horizontal="center" vertical="center"/>
    </xf>
    <xf numFmtId="0" fontId="131" fillId="56" borderId="12" applyAlignment="1" pivotButton="0" quotePrefix="0" xfId="0">
      <alignment horizontal="center" vertical="center"/>
    </xf>
    <xf numFmtId="0" fontId="141" fillId="56" borderId="12" applyAlignment="1" pivotButton="0" quotePrefix="0" xfId="0">
      <alignment horizontal="left" vertical="center"/>
    </xf>
    <xf numFmtId="0" fontId="132" fillId="56" borderId="12" applyAlignment="1" pivotButton="0" quotePrefix="0" xfId="0">
      <alignment horizontal="center" vertical="center"/>
    </xf>
    <xf numFmtId="0" fontId="135" fillId="57" borderId="12" applyAlignment="1" pivotButton="0" quotePrefix="0" xfId="0">
      <alignment horizontal="left" vertical="center"/>
    </xf>
    <xf numFmtId="0" fontId="136" fillId="57" borderId="12" applyAlignment="1" pivotButton="0" quotePrefix="0" xfId="0">
      <alignment horizontal="center" vertical="center"/>
    </xf>
    <xf numFmtId="170" fontId="137" fillId="57" borderId="12" applyAlignment="1" pivotButton="0" quotePrefix="0" xfId="0">
      <alignment horizontal="right" vertical="center"/>
    </xf>
    <xf numFmtId="171" fontId="137" fillId="57" borderId="12" applyAlignment="1" pivotButton="0" quotePrefix="0" xfId="0">
      <alignment horizontal="right" vertical="center"/>
    </xf>
    <xf numFmtId="170" fontId="137" fillId="56" borderId="12" applyAlignment="1" pivotButton="0" quotePrefix="0" xfId="0">
      <alignment horizontal="right" vertical="center"/>
    </xf>
    <xf numFmtId="171" fontId="137" fillId="56" borderId="12" applyAlignment="1" pivotButton="0" quotePrefix="0" xfId="0">
      <alignment horizontal="right" vertical="center"/>
    </xf>
    <xf numFmtId="170" fontId="137" fillId="48" borderId="12" applyAlignment="1" pivotButton="0" quotePrefix="0" xfId="0">
      <alignment horizontal="right" vertical="center"/>
    </xf>
    <xf numFmtId="171" fontId="137" fillId="48" borderId="12" applyAlignment="1" pivotButton="0" quotePrefix="0" xfId="0">
      <alignment horizontal="right" vertical="center"/>
    </xf>
    <xf numFmtId="0" fontId="135" fillId="56" borderId="12" applyAlignment="1" pivotButton="0" quotePrefix="0" xfId="0">
      <alignment horizontal="center" vertical="center"/>
    </xf>
    <xf numFmtId="0" fontId="74" fillId="13" borderId="12" applyAlignment="1" pivotButton="0" quotePrefix="0" xfId="0">
      <alignment horizontal="left" vertical="center"/>
    </xf>
    <xf numFmtId="0" fontId="142" fillId="13" borderId="12" applyAlignment="1" pivotButton="0" quotePrefix="0" xfId="0">
      <alignment horizontal="center" vertical="center"/>
    </xf>
    <xf numFmtId="3" fontId="74" fillId="13" borderId="12" applyAlignment="1" pivotButton="0" quotePrefix="0" xfId="0">
      <alignment horizontal="right" vertical="center"/>
    </xf>
    <xf numFmtId="170" fontId="74" fillId="13" borderId="12" applyAlignment="1" pivotButton="0" quotePrefix="0" xfId="0">
      <alignment horizontal="right" vertical="center"/>
    </xf>
    <xf numFmtId="171" fontId="74" fillId="13" borderId="12" applyAlignment="1" pivotButton="0" quotePrefix="0" xfId="0">
      <alignment horizontal="right" vertical="center"/>
    </xf>
    <xf numFmtId="165" fontId="74" fillId="13" borderId="12" applyAlignment="1" pivotButton="0" quotePrefix="0" xfId="0">
      <alignment horizontal="right" vertical="center"/>
    </xf>
    <xf numFmtId="4" fontId="74" fillId="13" borderId="12" applyAlignment="1" pivotButton="0" quotePrefix="0" xfId="0">
      <alignment horizontal="right" vertical="center"/>
    </xf>
    <xf numFmtId="0" fontId="70" fillId="13" borderId="12" applyAlignment="1" pivotButton="0" quotePrefix="0" xfId="0">
      <alignment horizontal="left" vertical="center"/>
    </xf>
    <xf numFmtId="0" fontId="74" fillId="3" borderId="12" applyAlignment="1" pivotButton="0" quotePrefix="0" xfId="0">
      <alignment horizontal="center" vertical="center"/>
    </xf>
    <xf numFmtId="0" fontId="74" fillId="3" borderId="12" applyAlignment="1" pivotButton="0" quotePrefix="0" xfId="0">
      <alignment horizontal="left" vertical="center"/>
    </xf>
    <xf numFmtId="1" fontId="14" fillId="55" borderId="12" applyAlignment="1" pivotButton="0" quotePrefix="0" xfId="0">
      <alignment horizontal="center" vertical="center"/>
    </xf>
    <xf numFmtId="3" fontId="133" fillId="55" borderId="12" applyAlignment="1" pivotButton="0" quotePrefix="0" xfId="0">
      <alignment horizontal="center" vertical="center"/>
    </xf>
    <xf numFmtId="165" fontId="14" fillId="55" borderId="12" applyAlignment="1" pivotButton="0" quotePrefix="0" xfId="0">
      <alignment horizontal="center" vertical="center"/>
    </xf>
    <xf numFmtId="170" fontId="130" fillId="55" borderId="12" applyAlignment="1" pivotButton="0" quotePrefix="0" xfId="0">
      <alignment horizontal="center" vertical="center"/>
    </xf>
    <xf numFmtId="171" fontId="130" fillId="55" borderId="12" applyAlignment="1" pivotButton="0" quotePrefix="0" xfId="0">
      <alignment horizontal="center" vertical="center"/>
    </xf>
    <xf numFmtId="4" fontId="14" fillId="55" borderId="12" applyAlignment="1" pivotButton="0" quotePrefix="0" xfId="0">
      <alignment horizontal="center" vertical="center"/>
    </xf>
    <xf numFmtId="0" fontId="143" fillId="55" borderId="12" applyAlignment="1" pivotButton="0" quotePrefix="0" xfId="0">
      <alignment horizontal="left" vertical="center"/>
    </xf>
    <xf numFmtId="1" fontId="14" fillId="56" borderId="12" applyAlignment="1" pivotButton="0" quotePrefix="0" xfId="0">
      <alignment horizontal="center" vertical="center"/>
    </xf>
    <xf numFmtId="3" fontId="133" fillId="56" borderId="12" applyAlignment="1" pivotButton="0" quotePrefix="0" xfId="0">
      <alignment horizontal="center" vertical="center"/>
    </xf>
    <xf numFmtId="165" fontId="14" fillId="56" borderId="12" applyAlignment="1" pivotButton="0" quotePrefix="0" xfId="0">
      <alignment horizontal="center" vertical="center"/>
    </xf>
    <xf numFmtId="170" fontId="130" fillId="56" borderId="12" applyAlignment="1" pivotButton="0" quotePrefix="0" xfId="0">
      <alignment horizontal="center" vertical="center"/>
    </xf>
    <xf numFmtId="171" fontId="130" fillId="56" borderId="12" applyAlignment="1" pivotButton="0" quotePrefix="0" xfId="0">
      <alignment horizontal="center" vertical="center"/>
    </xf>
    <xf numFmtId="4" fontId="14" fillId="56" borderId="12" applyAlignment="1" pivotButton="0" quotePrefix="0" xfId="0">
      <alignment horizontal="center" vertical="center"/>
    </xf>
    <xf numFmtId="0" fontId="144" fillId="56" borderId="12" applyAlignment="1" pivotButton="0" quotePrefix="0" xfId="0">
      <alignment horizontal="left" vertical="center"/>
    </xf>
    <xf numFmtId="1" fontId="14" fillId="57" borderId="12" applyAlignment="1" pivotButton="0" quotePrefix="0" xfId="0">
      <alignment horizontal="center" vertical="center"/>
    </xf>
    <xf numFmtId="3" fontId="133" fillId="57" borderId="12" applyAlignment="1" pivotButton="0" quotePrefix="0" xfId="0">
      <alignment horizontal="center" vertical="center"/>
    </xf>
    <xf numFmtId="165" fontId="14" fillId="57" borderId="12" applyAlignment="1" pivotButton="0" quotePrefix="0" xfId="0">
      <alignment horizontal="center" vertical="center"/>
    </xf>
    <xf numFmtId="170" fontId="130" fillId="57" borderId="12" applyAlignment="1" pivotButton="0" quotePrefix="0" xfId="0">
      <alignment horizontal="center" vertical="center"/>
    </xf>
    <xf numFmtId="171" fontId="130" fillId="57" borderId="12" applyAlignment="1" pivotButton="0" quotePrefix="0" xfId="0">
      <alignment horizontal="center" vertical="center"/>
    </xf>
    <xf numFmtId="4" fontId="14" fillId="57" borderId="12" applyAlignment="1" pivotButton="0" quotePrefix="0" xfId="0">
      <alignment horizontal="center" vertical="center"/>
    </xf>
    <xf numFmtId="0" fontId="145" fillId="57" borderId="12" applyAlignment="1" pivotButton="0" quotePrefix="0" xfId="0">
      <alignment horizontal="left" vertical="center"/>
    </xf>
    <xf numFmtId="1" fontId="14" fillId="48" borderId="12" applyAlignment="1" pivotButton="0" quotePrefix="0" xfId="0">
      <alignment horizontal="center" vertical="center"/>
    </xf>
    <xf numFmtId="3" fontId="133" fillId="48" borderId="12" applyAlignment="1" pivotButton="0" quotePrefix="0" xfId="0">
      <alignment horizontal="center" vertical="center"/>
    </xf>
    <xf numFmtId="165" fontId="14" fillId="48" borderId="12" applyAlignment="1" pivotButton="0" quotePrefix="0" xfId="0">
      <alignment horizontal="center" vertical="center"/>
    </xf>
    <xf numFmtId="170" fontId="130" fillId="48" borderId="12" applyAlignment="1" pivotButton="0" quotePrefix="0" xfId="0">
      <alignment horizontal="center" vertical="center"/>
    </xf>
    <xf numFmtId="171" fontId="130" fillId="48" borderId="12" applyAlignment="1" pivotButton="0" quotePrefix="0" xfId="0">
      <alignment horizontal="center" vertical="center"/>
    </xf>
    <xf numFmtId="4" fontId="14" fillId="48" borderId="12" applyAlignment="1" pivotButton="0" quotePrefix="0" xfId="0">
      <alignment horizontal="center" vertical="center"/>
    </xf>
    <xf numFmtId="0" fontId="77" fillId="48" borderId="12" applyAlignment="1" pivotButton="0" quotePrefix="0" xfId="0">
      <alignment horizontal="left" vertical="center"/>
    </xf>
    <xf numFmtId="0" fontId="54" fillId="51" borderId="0" applyAlignment="1" pivotButton="0" quotePrefix="0" xfId="0">
      <alignment horizontal="left" vertical="center"/>
    </xf>
    <xf numFmtId="0" fontId="146" fillId="13" borderId="0" applyAlignment="1" pivotButton="0" quotePrefix="0" xfId="0">
      <alignment horizontal="left" vertical="center"/>
    </xf>
    <xf numFmtId="0" fontId="147" fillId="51" borderId="0" applyAlignment="1" pivotButton="0" quotePrefix="0" xfId="0">
      <alignment horizontal="left" vertical="center"/>
    </xf>
    <xf numFmtId="0" fontId="148" fillId="13" borderId="13" applyAlignment="1" pivotButton="0" quotePrefix="0" xfId="0">
      <alignment horizontal="center" vertical="center"/>
    </xf>
    <xf numFmtId="0" fontId="149" fillId="30" borderId="13" applyAlignment="1" pivotButton="0" quotePrefix="0" xfId="0">
      <alignment horizontal="left" vertical="center"/>
    </xf>
    <xf numFmtId="0" fontId="150" fillId="30" borderId="13" applyAlignment="1" pivotButton="0" quotePrefix="0" xfId="0">
      <alignment horizontal="left" vertical="center"/>
    </xf>
    <xf numFmtId="0" fontId="149" fillId="4" borderId="13" applyAlignment="1" pivotButton="0" quotePrefix="0" xfId="0">
      <alignment horizontal="left" vertical="center"/>
    </xf>
    <xf numFmtId="0" fontId="150" fillId="4" borderId="13" applyAlignment="1" pivotButton="0" quotePrefix="0" xfId="0">
      <alignment horizontal="left" vertical="center"/>
    </xf>
    <xf numFmtId="169" fontId="150" fillId="30" borderId="13" applyAlignment="1" pivotButton="0" quotePrefix="0" xfId="0">
      <alignment horizontal="left" vertical="center"/>
    </xf>
    <xf numFmtId="0" fontId="151" fillId="30" borderId="13" applyAlignment="1" pivotButton="0" quotePrefix="0" xfId="0">
      <alignment horizontal="left" vertical="center"/>
    </xf>
    <xf numFmtId="172" fontId="151" fillId="30" borderId="13" applyAlignment="1" pivotButton="0" quotePrefix="0" xfId="0">
      <alignment horizontal="right" vertical="center"/>
    </xf>
    <xf numFmtId="172" fontId="150" fillId="30" borderId="13" applyAlignment="1" pivotButton="0" quotePrefix="0" xfId="0">
      <alignment horizontal="right" vertical="center"/>
    </xf>
    <xf numFmtId="173" fontId="150" fillId="30" borderId="13" applyAlignment="1" pivotButton="0" quotePrefix="0" xfId="0">
      <alignment horizontal="right" vertical="center"/>
    </xf>
    <xf numFmtId="0" fontId="151" fillId="4" borderId="13" applyAlignment="1" pivotButton="0" quotePrefix="0" xfId="0">
      <alignment horizontal="left" vertical="center"/>
    </xf>
    <xf numFmtId="172" fontId="151" fillId="4" borderId="13" applyAlignment="1" pivotButton="0" quotePrefix="0" xfId="0">
      <alignment horizontal="right" vertical="center"/>
    </xf>
    <xf numFmtId="172" fontId="150" fillId="4" borderId="13" applyAlignment="1" pivotButton="0" quotePrefix="0" xfId="0">
      <alignment horizontal="right" vertical="center"/>
    </xf>
    <xf numFmtId="173" fontId="150" fillId="4" borderId="13" applyAlignment="1" pivotButton="0" quotePrefix="0" xfId="0">
      <alignment horizontal="right" vertical="center"/>
    </xf>
    <xf numFmtId="0" fontId="147" fillId="51" borderId="13" applyAlignment="1" pivotButton="0" quotePrefix="0" xfId="0">
      <alignment horizontal="left" vertical="center"/>
    </xf>
    <xf numFmtId="172" fontId="147" fillId="51" borderId="13" applyAlignment="1" pivotButton="0" quotePrefix="0" xfId="0">
      <alignment horizontal="right" vertical="center"/>
    </xf>
    <xf numFmtId="173" fontId="147" fillId="51" borderId="13" applyAlignment="1" pivotButton="0" quotePrefix="0" xfId="0">
      <alignment horizontal="right" vertical="center"/>
    </xf>
    <xf numFmtId="0" fontId="149" fillId="6" borderId="13" applyAlignment="1" pivotButton="0" quotePrefix="0" xfId="0">
      <alignment horizontal="left" vertical="center"/>
    </xf>
    <xf numFmtId="0" fontId="152" fillId="6" borderId="13" applyAlignment="1" pivotButton="0" quotePrefix="0" xfId="0">
      <alignment horizontal="left" vertical="center"/>
    </xf>
    <xf numFmtId="0" fontId="0" fillId="0" borderId="35" pivotButton="0" quotePrefix="0" xfId="0"/>
    <xf numFmtId="0" fontId="0" fillId="0" borderId="36" pivotButton="0" quotePrefix="0" xfId="0"/>
    <xf numFmtId="0" fontId="153" fillId="6" borderId="13" applyAlignment="1" pivotButton="0" quotePrefix="0" xfId="0">
      <alignment horizontal="left" vertical="center"/>
    </xf>
    <xf numFmtId="0" fontId="154" fillId="6" borderId="13" applyAlignment="1" pivotButton="0" quotePrefix="0" xfId="0">
      <alignment horizontal="left" vertical="center"/>
    </xf>
    <xf numFmtId="0" fontId="149" fillId="7" borderId="13" applyAlignment="1" pivotButton="0" quotePrefix="0" xfId="0">
      <alignment horizontal="left" vertical="center"/>
    </xf>
    <xf numFmtId="0" fontId="152" fillId="7" borderId="13" applyAlignment="1" pivotButton="0" quotePrefix="0" xfId="0">
      <alignment horizontal="left" vertical="center"/>
    </xf>
    <xf numFmtId="0" fontId="155" fillId="7" borderId="13" applyAlignment="1" pivotButton="0" quotePrefix="0" xfId="0">
      <alignment horizontal="left" vertical="center"/>
    </xf>
    <xf numFmtId="0" fontId="154" fillId="7" borderId="13" applyAlignment="1" pivotButton="0" quotePrefix="0" xfId="0">
      <alignment horizontal="left" vertical="center"/>
    </xf>
    <xf numFmtId="0" fontId="149" fillId="58" borderId="13" applyAlignment="1" pivotButton="0" quotePrefix="0" xfId="0">
      <alignment horizontal="left" vertical="center"/>
    </xf>
    <xf numFmtId="0" fontId="152" fillId="58" borderId="13" applyAlignment="1" pivotButton="0" quotePrefix="0" xfId="0">
      <alignment horizontal="left" vertical="center"/>
    </xf>
    <xf numFmtId="0" fontId="153" fillId="58" borderId="13" applyAlignment="1" pivotButton="0" quotePrefix="0" xfId="0">
      <alignment horizontal="left" vertical="center"/>
    </xf>
    <xf numFmtId="0" fontId="154" fillId="58" borderId="13" applyAlignment="1" pivotButton="0" quotePrefix="0" xfId="0">
      <alignment horizontal="left" vertical="center"/>
    </xf>
    <xf numFmtId="0" fontId="153" fillId="30" borderId="13" applyAlignment="1" pivotButton="0" quotePrefix="0" xfId="0">
      <alignment horizontal="left" vertical="center"/>
    </xf>
    <xf numFmtId="0" fontId="154" fillId="30" borderId="13" applyAlignment="1" pivotButton="0" quotePrefix="0" xfId="0">
      <alignment horizontal="left" vertical="center"/>
    </xf>
    <xf numFmtId="0" fontId="154" fillId="4" borderId="13" applyAlignment="1" pivotButton="0" quotePrefix="0" xfId="0">
      <alignment horizontal="left" vertical="center"/>
    </xf>
    <xf numFmtId="165" fontId="150" fillId="30" borderId="13" applyAlignment="1" pivotButton="0" quotePrefix="0" xfId="0">
      <alignment horizontal="right" vertical="center"/>
    </xf>
    <xf numFmtId="165" fontId="150" fillId="4" borderId="13" applyAlignment="1" pivotButton="0" quotePrefix="0" xfId="0">
      <alignment horizontal="right" vertical="center"/>
    </xf>
    <xf numFmtId="165" fontId="147" fillId="51" borderId="13" applyAlignment="1" pivotButton="0" quotePrefix="0" xfId="0">
      <alignment horizontal="right" vertical="center"/>
    </xf>
    <xf numFmtId="0" fontId="150" fillId="30" borderId="13" applyAlignment="1" pivotButton="0" quotePrefix="0" xfId="0">
      <alignment horizontal="right" vertical="center"/>
    </xf>
    <xf numFmtId="172" fontId="151" fillId="58" borderId="13" applyAlignment="1" pivotButton="0" quotePrefix="0" xfId="0">
      <alignment horizontal="right" vertical="center"/>
    </xf>
    <xf numFmtId="0" fontId="150" fillId="4" borderId="13" applyAlignment="1" pivotButton="0" quotePrefix="0" xfId="0">
      <alignment horizontal="right" vertical="center"/>
    </xf>
    <xf numFmtId="0" fontId="156" fillId="4" borderId="13" applyAlignment="1" pivotButton="0" quotePrefix="0" xfId="0">
      <alignment horizontal="left" vertical="center"/>
    </xf>
    <xf numFmtId="0" fontId="156" fillId="30" borderId="13" applyAlignment="1" pivotButton="0" quotePrefix="0" xfId="0">
      <alignment horizontal="left" vertical="center"/>
    </xf>
    <xf numFmtId="174" fontId="151" fillId="30" borderId="13" applyAlignment="1" pivotButton="0" quotePrefix="0" xfId="0">
      <alignment horizontal="right" vertical="center"/>
    </xf>
    <xf numFmtId="174" fontId="151" fillId="4" borderId="13" applyAlignment="1" pivotButton="0" quotePrefix="0" xfId="0">
      <alignment horizontal="right" vertical="center"/>
    </xf>
    <xf numFmtId="0" fontId="157" fillId="7" borderId="13" applyAlignment="1" pivotButton="0" quotePrefix="0" xfId="0">
      <alignment horizontal="left" vertical="center"/>
    </xf>
    <xf numFmtId="172" fontId="150" fillId="7" borderId="13" applyAlignment="1" pivotButton="0" quotePrefix="0" xfId="0">
      <alignment horizontal="right" vertical="center"/>
    </xf>
    <xf numFmtId="174" fontId="151" fillId="7" borderId="13" applyAlignment="1" pivotButton="0" quotePrefix="0" xfId="0">
      <alignment horizontal="right" vertical="center"/>
    </xf>
    <xf numFmtId="0" fontId="158" fillId="7" borderId="13" applyAlignment="1" pivotButton="0" quotePrefix="0" xfId="0">
      <alignment horizontal="left" vertical="center"/>
    </xf>
    <xf numFmtId="165" fontId="154" fillId="30" borderId="13" applyAlignment="1" pivotButton="0" quotePrefix="0" xfId="0">
      <alignment horizontal="right" vertical="center"/>
    </xf>
    <xf numFmtId="0" fontId="154" fillId="30" borderId="13" applyAlignment="1" pivotButton="0" quotePrefix="0" xfId="0">
      <alignment horizontal="right" vertical="center"/>
    </xf>
    <xf numFmtId="172" fontId="154" fillId="4" borderId="13" applyAlignment="1" pivotButton="0" quotePrefix="0" xfId="0">
      <alignment horizontal="right" vertical="center"/>
    </xf>
    <xf numFmtId="0" fontId="154" fillId="4" borderId="13" applyAlignment="1" pivotButton="0" quotePrefix="0" xfId="0">
      <alignment horizontal="right" vertical="center"/>
    </xf>
    <xf numFmtId="172" fontId="154" fillId="30" borderId="13" applyAlignment="1" pivotButton="0" quotePrefix="0" xfId="0">
      <alignment horizontal="right" vertical="center"/>
    </xf>
    <xf numFmtId="165" fontId="154" fillId="4" borderId="13" applyAlignment="1" pivotButton="0" quotePrefix="0" xfId="0">
      <alignment horizontal="right" vertical="center"/>
    </xf>
    <xf numFmtId="0" fontId="153" fillId="4" borderId="13" applyAlignment="1" pivotButton="0" quotePrefix="0" xfId="0">
      <alignment horizontal="left" vertical="center"/>
    </xf>
    <xf numFmtId="165" fontId="151" fillId="4" borderId="13" applyAlignment="1" pivotButton="0" quotePrefix="0" xfId="0">
      <alignment horizontal="right" vertical="center"/>
    </xf>
    <xf numFmtId="0" fontId="159" fillId="4" borderId="13" applyAlignment="1" pivotButton="0" quotePrefix="0" xfId="0">
      <alignment horizontal="left" vertical="center" wrapText="1"/>
    </xf>
    <xf numFmtId="0" fontId="160" fillId="40" borderId="0" applyAlignment="1" pivotButton="0" quotePrefix="0" xfId="0">
      <alignment horizontal="center" vertical="center"/>
    </xf>
    <xf numFmtId="0" fontId="161" fillId="0" borderId="0" applyAlignment="1" pivotButton="0" quotePrefix="0" xfId="0">
      <alignment horizontal="center" vertical="bottom"/>
    </xf>
    <xf numFmtId="0" fontId="70" fillId="3" borderId="0" applyAlignment="1" pivotButton="0" quotePrefix="0" xfId="0">
      <alignment horizontal="center" vertical="center"/>
    </xf>
    <xf numFmtId="0" fontId="78" fillId="59" borderId="0" applyAlignment="1" pivotButton="0" quotePrefix="0" xfId="0">
      <alignment horizontal="center" vertical="center"/>
    </xf>
    <xf numFmtId="0" fontId="162" fillId="0" borderId="0" applyAlignment="1" pivotButton="0" quotePrefix="0" xfId="0">
      <alignment horizontal="left" vertical="center" wrapText="1"/>
    </xf>
    <xf numFmtId="164" fontId="162" fillId="6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55" borderId="0" applyAlignment="1" pivotButton="0" quotePrefix="0" xfId="0">
      <alignment horizontal="left" vertical="center" wrapText="1"/>
    </xf>
    <xf numFmtId="164" fontId="163" fillId="55" borderId="0" applyAlignment="1" pivotButton="0" quotePrefix="0" xfId="0">
      <alignment horizontal="center" vertical="center" wrapText="1"/>
    </xf>
    <xf numFmtId="0" fontId="163" fillId="55" borderId="0" applyAlignment="1" pivotButton="0" quotePrefix="0" xfId="0">
      <alignment horizontal="center" vertical="center" wrapText="1"/>
    </xf>
    <xf numFmtId="0" fontId="162" fillId="55" borderId="0" applyAlignment="1" pivotButton="0" quotePrefix="0" xfId="0">
      <alignment horizontal="left" vertical="center" wrapText="1"/>
    </xf>
    <xf numFmtId="164" fontId="164" fillId="55" borderId="0" applyAlignment="1" pivotButton="0" quotePrefix="0" xfId="0">
      <alignment horizontal="center" vertical="center" wrapText="1"/>
    </xf>
    <xf numFmtId="0" fontId="162" fillId="55" borderId="0" applyAlignment="1" pivotButton="0" quotePrefix="0" xfId="0">
      <alignment horizontal="center" vertical="center" wrapText="1"/>
    </xf>
    <xf numFmtId="164" fontId="162" fillId="0" borderId="0" applyAlignment="1" pivotButton="0" quotePrefix="0" xfId="0">
      <alignment horizontal="center" vertical="center" wrapText="1"/>
    </xf>
    <xf numFmtId="0" fontId="163" fillId="57" borderId="0" applyAlignment="1" pivotButton="0" quotePrefix="0" xfId="0">
      <alignment horizontal="left" vertical="center" wrapText="1"/>
    </xf>
    <xf numFmtId="164" fontId="163" fillId="57" borderId="0" applyAlignment="1" pivotButton="0" quotePrefix="0" xfId="0">
      <alignment horizontal="center" vertical="center" wrapText="1"/>
    </xf>
    <xf numFmtId="0" fontId="163" fillId="57" borderId="0" applyAlignment="1" pivotButton="0" quotePrefix="0" xfId="0">
      <alignment horizontal="center" vertical="center" wrapText="1"/>
    </xf>
    <xf numFmtId="0" fontId="163" fillId="41" borderId="0" applyAlignment="1" pivotButton="0" quotePrefix="0" xfId="0">
      <alignment horizontal="left" vertical="center" wrapText="1"/>
    </xf>
    <xf numFmtId="0" fontId="163" fillId="41" borderId="0" applyAlignment="1" pivotButton="0" quotePrefix="0" xfId="0">
      <alignment horizontal="center" vertical="center" wrapText="1"/>
    </xf>
    <xf numFmtId="164" fontId="162" fillId="55" borderId="0" applyAlignment="1" pivotButton="0" quotePrefix="0" xfId="0">
      <alignment horizontal="center" vertical="center" wrapText="1"/>
    </xf>
    <xf numFmtId="165" fontId="162" fillId="0" borderId="0" applyAlignment="1" pivotButton="0" quotePrefix="0" xfId="0">
      <alignment horizontal="center" vertical="center" wrapText="1"/>
    </xf>
    <xf numFmtId="0" fontId="162" fillId="60" borderId="0" applyAlignment="1" pivotButton="0" quotePrefix="0" xfId="0">
      <alignment horizontal="left" vertical="center" wrapText="1"/>
    </xf>
    <xf numFmtId="0" fontId="162" fillId="60" borderId="0" applyAlignment="1" pivotButton="0" quotePrefix="0" xfId="0">
      <alignment horizontal="center" vertical="center" wrapText="1"/>
    </xf>
    <xf numFmtId="175" fontId="162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0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bottom"/>
    </xf>
    <xf numFmtId="0" fontId="130" fillId="55" borderId="0" applyAlignment="1" pivotButton="0" quotePrefix="0" xfId="0">
      <alignment horizontal="center" vertical="center"/>
    </xf>
    <xf numFmtId="0" fontId="137" fillId="57" borderId="0" applyAlignment="1" pivotButton="0" quotePrefix="0" xfId="0">
      <alignment horizontal="center" vertical="center"/>
    </xf>
    <xf numFmtId="0" fontId="168" fillId="45" borderId="0" applyAlignment="1" pivotButton="0" quotePrefix="0" xfId="0">
      <alignment horizontal="center" vertical="center"/>
    </xf>
    <xf numFmtId="0" fontId="160" fillId="13" borderId="0" applyAlignment="1" pivotButton="0" quotePrefix="0" xfId="0">
      <alignment horizontal="left" vertical="center" wrapText="1"/>
    </xf>
    <xf numFmtId="0" fontId="74" fillId="3" borderId="0" applyAlignment="1" pivotButton="0" quotePrefix="0" xfId="0">
      <alignment horizontal="left" vertical="center" wrapText="1"/>
    </xf>
    <xf numFmtId="0" fontId="70" fillId="13" borderId="0" applyAlignment="1" pivotButton="0" quotePrefix="0" xfId="0">
      <alignment horizontal="left" vertical="center" wrapText="1"/>
    </xf>
    <xf numFmtId="0" fontId="74" fillId="3" borderId="0" applyAlignment="1" pivotButton="0" quotePrefix="0" xfId="0">
      <alignment horizontal="center" vertical="center" wrapText="1"/>
    </xf>
    <xf numFmtId="0" fontId="75" fillId="56" borderId="0" applyAlignment="1" pivotButton="0" quotePrefix="0" xfId="0">
      <alignment horizontal="left" vertical="center" wrapText="1"/>
    </xf>
    <xf numFmtId="0" fontId="79" fillId="56" borderId="0" applyAlignment="1" pivotButton="0" quotePrefix="0" xfId="0">
      <alignment horizontal="center" vertical="center" wrapText="1"/>
    </xf>
    <xf numFmtId="0" fontId="75" fillId="55" borderId="0" applyAlignment="1" pivotButton="0" quotePrefix="0" xfId="0">
      <alignment horizontal="left" vertical="center" wrapText="1"/>
    </xf>
    <xf numFmtId="0" fontId="79" fillId="55" borderId="0" applyAlignment="1" pivotButton="0" quotePrefix="0" xfId="0">
      <alignment horizontal="center" vertical="center" wrapText="1"/>
    </xf>
    <xf numFmtId="0" fontId="75" fillId="57" borderId="0" applyAlignment="1" pivotButton="0" quotePrefix="0" xfId="0">
      <alignment horizontal="left" vertical="center" wrapText="1"/>
    </xf>
    <xf numFmtId="0" fontId="79" fillId="57" borderId="0" applyAlignment="1" pivotButton="0" quotePrefix="0" xfId="0">
      <alignment horizontal="center" vertical="center" wrapText="1"/>
    </xf>
    <xf numFmtId="0" fontId="70" fillId="26" borderId="0" applyAlignment="1" pivotButton="0" quotePrefix="0" xfId="0">
      <alignment horizontal="left" vertical="center" wrapText="1"/>
    </xf>
    <xf numFmtId="0" fontId="79" fillId="48" borderId="0" applyAlignment="1" pivotButton="0" quotePrefix="0" xfId="0">
      <alignment horizontal="left" vertical="center" wrapText="1"/>
    </xf>
    <xf numFmtId="0" fontId="79" fillId="48" borderId="0" applyAlignment="1" pivotButton="0" quotePrefix="0" xfId="0">
      <alignment horizontal="center" vertical="center" wrapText="1"/>
    </xf>
    <xf numFmtId="0" fontId="79" fillId="57" borderId="0" applyAlignment="1" pivotButton="0" quotePrefix="0" xfId="0">
      <alignment horizontal="left" vertical="center" wrapText="1"/>
    </xf>
    <xf numFmtId="0" fontId="79" fillId="30" borderId="0" applyAlignment="1" pivotButton="0" quotePrefix="0" xfId="0">
      <alignment horizontal="left" vertical="center" wrapText="1"/>
    </xf>
    <xf numFmtId="0" fontId="79" fillId="30" borderId="0" applyAlignment="1" pivotButton="0" quotePrefix="0" xfId="0">
      <alignment horizontal="center" vertical="center" wrapText="1"/>
    </xf>
    <xf numFmtId="0" fontId="70" fillId="39" borderId="0" applyAlignment="1" pivotButton="0" quotePrefix="0" xfId="0">
      <alignment horizontal="left" vertical="center" wrapText="1"/>
    </xf>
    <xf numFmtId="0" fontId="169" fillId="48" borderId="0" applyAlignment="1" pivotButton="0" quotePrefix="0" xfId="0">
      <alignment horizontal="left" vertical="center" wrapText="1"/>
    </xf>
    <xf numFmtId="0" fontId="169" fillId="48" borderId="0" applyAlignment="1" pivotButton="0" quotePrefix="0" xfId="0">
      <alignment horizontal="center" vertical="center" wrapText="1"/>
    </xf>
    <xf numFmtId="0" fontId="79" fillId="55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center" vertical="center" wrapText="1"/>
    </xf>
    <xf numFmtId="0" fontId="70" fillId="36" borderId="0" applyAlignment="1" pivotButton="0" quotePrefix="0" xfId="0">
      <alignment horizontal="left" vertical="center" wrapText="1"/>
    </xf>
    <xf numFmtId="0" fontId="124" fillId="13" borderId="0" applyAlignment="1" pivotButton="0" quotePrefix="0" xfId="0">
      <alignment horizontal="center" vertical="center" wrapText="1"/>
    </xf>
    <xf numFmtId="0" fontId="85" fillId="57" borderId="0" applyAlignment="1" pivotButton="0" quotePrefix="0" xfId="0">
      <alignment horizontal="center" vertical="center" wrapText="1"/>
    </xf>
    <xf numFmtId="0" fontId="169" fillId="57" borderId="0" applyAlignment="1" pivotButton="0" quotePrefix="0" xfId="0">
      <alignment horizontal="center" vertical="center" wrapText="1"/>
    </xf>
    <xf numFmtId="0" fontId="169" fillId="57" borderId="0" applyAlignment="1" pivotButton="0" quotePrefix="0" xfId="0">
      <alignment horizontal="left" vertical="center" wrapText="1"/>
    </xf>
    <xf numFmtId="0" fontId="85" fillId="56" borderId="0" applyAlignment="1" pivotButton="0" quotePrefix="0" xfId="0">
      <alignment horizontal="center" vertical="center" wrapText="1"/>
    </xf>
    <xf numFmtId="0" fontId="169" fillId="56" borderId="0" applyAlignment="1" pivotButton="0" quotePrefix="0" xfId="0">
      <alignment horizontal="center" vertical="center" wrapText="1"/>
    </xf>
    <xf numFmtId="0" fontId="169" fillId="56" borderId="0" applyAlignment="1" pivotButton="0" quotePrefix="0" xfId="0">
      <alignment horizontal="left" vertical="center" wrapText="1"/>
    </xf>
    <xf numFmtId="0" fontId="85" fillId="55" borderId="0" applyAlignment="1" pivotButton="0" quotePrefix="0" xfId="0">
      <alignment horizontal="center" vertical="center" wrapText="1"/>
    </xf>
    <xf numFmtId="0" fontId="169" fillId="55" borderId="0" applyAlignment="1" pivotButton="0" quotePrefix="0" xfId="0">
      <alignment horizontal="center" vertical="center" wrapText="1"/>
    </xf>
    <xf numFmtId="0" fontId="169" fillId="55" borderId="0" applyAlignment="1" pivotButton="0" quotePrefix="0" xfId="0">
      <alignment horizontal="left" vertical="center" wrapText="1"/>
    </xf>
    <xf numFmtId="0" fontId="124" fillId="3" borderId="0" applyAlignment="1" pivotButton="0" quotePrefix="0" xfId="0">
      <alignment horizontal="center" vertical="center" wrapText="1"/>
    </xf>
    <xf numFmtId="0" fontId="79" fillId="56" borderId="0" applyAlignment="1" pivotButton="0" quotePrefix="0" xfId="0">
      <alignment horizontal="left" vertical="center" wrapText="1"/>
    </xf>
    <xf numFmtId="0" fontId="169" fillId="0" borderId="0" applyAlignment="1" pivotButton="0" quotePrefix="0" xfId="0">
      <alignment horizontal="left" vertical="center" wrapText="1"/>
    </xf>
    <xf numFmtId="0" fontId="133" fillId="48" borderId="0" applyAlignment="1" pivotButton="0" quotePrefix="0" xfId="0">
      <alignment horizontal="left" vertical="center" wrapText="1"/>
    </xf>
    <xf numFmtId="0" fontId="133" fillId="55" borderId="0" applyAlignment="1" pivotButton="0" quotePrefix="0" xfId="0">
      <alignment horizontal="center" vertical="center" wrapText="1"/>
    </xf>
    <xf numFmtId="0" fontId="170" fillId="40" borderId="0" applyAlignment="1" pivotButton="0" quotePrefix="0" xfId="0">
      <alignment horizontal="general" vertical="bottom"/>
    </xf>
    <xf numFmtId="0" fontId="100" fillId="40" borderId="0" applyAlignment="1" pivotButton="0" quotePrefix="0" xfId="0">
      <alignment horizontal="left" vertical="center"/>
    </xf>
    <xf numFmtId="0" fontId="170" fillId="30" borderId="0" applyAlignment="1" pivotButton="0" quotePrefix="0" xfId="0">
      <alignment horizontal="general" vertical="bottom"/>
    </xf>
    <xf numFmtId="0" fontId="160" fillId="13" borderId="0" applyAlignment="1" pivotButton="0" quotePrefix="0" xfId="0">
      <alignment horizontal="left" vertical="center"/>
    </xf>
    <xf numFmtId="0" fontId="170" fillId="0" borderId="0" applyAlignment="1" pivotButton="0" quotePrefix="0" xfId="0">
      <alignment horizontal="general" vertical="bottom"/>
    </xf>
    <xf numFmtId="0" fontId="170" fillId="8" borderId="0" applyAlignment="1" pivotButton="0" quotePrefix="0" xfId="0">
      <alignment horizontal="general" vertical="bottom"/>
    </xf>
    <xf numFmtId="0" fontId="171" fillId="8" borderId="0" applyAlignment="1" pivotButton="0" quotePrefix="0" xfId="0">
      <alignment horizontal="left" vertical="center"/>
    </xf>
    <xf numFmtId="0" fontId="170" fillId="20" borderId="0" applyAlignment="1" pivotButton="0" quotePrefix="0" xfId="0">
      <alignment horizontal="general" vertical="bottom"/>
    </xf>
    <xf numFmtId="0" fontId="30" fillId="20" borderId="0" applyAlignment="1" pivotButton="0" quotePrefix="0" xfId="0">
      <alignment horizontal="left" vertical="center"/>
    </xf>
    <xf numFmtId="176" fontId="172" fillId="20" borderId="0" applyAlignment="1" pivotButton="0" quotePrefix="0" xfId="0">
      <alignment horizontal="center" vertical="center"/>
    </xf>
    <xf numFmtId="0" fontId="105" fillId="20" borderId="0" applyAlignment="1" pivotButton="0" quotePrefix="0" xfId="0">
      <alignment horizontal="left" vertical="center"/>
    </xf>
    <xf numFmtId="0" fontId="170" fillId="21" borderId="0" applyAlignment="1" pivotButton="0" quotePrefix="0" xfId="0">
      <alignment horizontal="general" vertical="bottom"/>
    </xf>
    <xf numFmtId="0" fontId="124" fillId="3" borderId="0" applyAlignment="1" pivotButton="0" quotePrefix="0" xfId="0">
      <alignment horizontal="center" vertical="center"/>
    </xf>
    <xf numFmtId="0" fontId="18" fillId="40" borderId="0" applyAlignment="1" pivotButton="0" quotePrefix="0" xfId="0">
      <alignment horizontal="center" vertical="center" wrapText="1"/>
    </xf>
    <xf numFmtId="0" fontId="133" fillId="41" borderId="0" applyAlignment="1" pivotButton="0" quotePrefix="0" xfId="0">
      <alignment horizontal="right" vertical="center"/>
    </xf>
    <xf numFmtId="164" fontId="133" fillId="41" borderId="0" applyAlignment="1" pivotButton="0" quotePrefix="0" xfId="0">
      <alignment horizontal="right" vertical="center"/>
    </xf>
    <xf numFmtId="165" fontId="133" fillId="41" borderId="0" applyAlignment="1" pivotButton="0" quotePrefix="0" xfId="0">
      <alignment horizontal="right" vertical="center"/>
    </xf>
    <xf numFmtId="3" fontId="133" fillId="41" borderId="0" applyAlignment="1" pivotButton="0" quotePrefix="0" xfId="0">
      <alignment horizontal="right" vertical="center"/>
    </xf>
    <xf numFmtId="0" fontId="133" fillId="55" borderId="0" applyAlignment="1" pivotButton="0" quotePrefix="0" xfId="0">
      <alignment horizontal="right" vertical="center"/>
    </xf>
    <xf numFmtId="164" fontId="133" fillId="55" borderId="0" applyAlignment="1" pivotButton="0" quotePrefix="0" xfId="0">
      <alignment horizontal="right" vertical="center"/>
    </xf>
    <xf numFmtId="165" fontId="133" fillId="55" borderId="0" applyAlignment="1" pivotButton="0" quotePrefix="0" xfId="0">
      <alignment horizontal="right" vertical="center"/>
    </xf>
    <xf numFmtId="3" fontId="133" fillId="55" borderId="0" applyAlignment="1" pivotButton="0" quotePrefix="0" xfId="0">
      <alignment horizontal="right" vertical="center"/>
    </xf>
    <xf numFmtId="0" fontId="133" fillId="57" borderId="0" applyAlignment="1" pivotButton="0" quotePrefix="0" xfId="0">
      <alignment horizontal="right" vertical="center"/>
    </xf>
    <xf numFmtId="164" fontId="133" fillId="57" borderId="0" applyAlignment="1" pivotButton="0" quotePrefix="0" xfId="0">
      <alignment horizontal="right" vertical="center"/>
    </xf>
    <xf numFmtId="165" fontId="133" fillId="57" borderId="0" applyAlignment="1" pivotButton="0" quotePrefix="0" xfId="0">
      <alignment horizontal="right" vertical="center"/>
    </xf>
    <xf numFmtId="3" fontId="133" fillId="57" borderId="0" applyAlignment="1" pivotButton="0" quotePrefix="0" xfId="0">
      <alignment horizontal="right" vertical="center"/>
    </xf>
    <xf numFmtId="0" fontId="74" fillId="13" borderId="0" applyAlignment="1" pivotButton="0" quotePrefix="0" xfId="0">
      <alignment horizontal="right" vertical="center"/>
    </xf>
    <xf numFmtId="164" fontId="74" fillId="13" borderId="0" applyAlignment="1" pivotButton="0" quotePrefix="0" xfId="0">
      <alignment horizontal="right" vertical="center"/>
    </xf>
    <xf numFmtId="165" fontId="74" fillId="13" borderId="0" applyAlignment="1" pivotButton="0" quotePrefix="0" xfId="0">
      <alignment horizontal="right" vertical="center"/>
    </xf>
    <xf numFmtId="3" fontId="74" fillId="13" borderId="0" applyAlignment="1" pivotButton="0" quotePrefix="0" xfId="0">
      <alignment horizontal="right" vertical="center"/>
    </xf>
    <xf numFmtId="0" fontId="47" fillId="14" borderId="0" applyAlignment="1" pivotButton="0" quotePrefix="0" xfId="0">
      <alignment horizontal="center" vertical="center"/>
    </xf>
    <xf numFmtId="0" fontId="124" fillId="13" borderId="0" applyAlignment="1" pivotButton="0" quotePrefix="0" xfId="0">
      <alignment horizontal="center" vertical="center"/>
    </xf>
    <xf numFmtId="0" fontId="47" fillId="14" borderId="0" applyAlignment="1" pivotButton="0" quotePrefix="0" xfId="0">
      <alignment horizontal="center" vertical="center" wrapText="1"/>
    </xf>
    <xf numFmtId="0" fontId="170" fillId="36" borderId="0" applyAlignment="1" pivotButton="0" quotePrefix="0" xfId="0">
      <alignment horizontal="general" vertical="bottom"/>
    </xf>
    <xf numFmtId="0" fontId="74" fillId="3" borderId="0" applyAlignment="1" pivotButton="0" quotePrefix="0" xfId="0">
      <alignment horizontal="left" vertical="center"/>
    </xf>
    <xf numFmtId="0" fontId="79" fillId="32" borderId="0" applyAlignment="1" pivotButton="0" quotePrefix="0" xfId="0">
      <alignment horizontal="left" vertical="center"/>
    </xf>
    <xf numFmtId="0" fontId="79" fillId="46" borderId="0" applyAlignment="1" pivotButton="0" quotePrefix="0" xfId="0">
      <alignment horizontal="left" vertical="center"/>
    </xf>
    <xf numFmtId="0" fontId="79" fillId="32" borderId="0" applyAlignment="1" pivotButton="0" quotePrefix="0" xfId="0">
      <alignment horizontal="center" vertical="center"/>
    </xf>
    <xf numFmtId="169" fontId="79" fillId="32" borderId="0" applyAlignment="1" pivotButton="0" quotePrefix="0" xfId="0">
      <alignment horizontal="center" vertical="center"/>
    </xf>
    <xf numFmtId="177" fontId="79" fillId="32" borderId="0" applyAlignment="1" pivotButton="0" quotePrefix="0" xfId="0">
      <alignment horizontal="center" vertical="center"/>
    </xf>
    <xf numFmtId="167" fontId="79" fillId="32" borderId="0" applyAlignment="1" pivotButton="0" quotePrefix="0" xfId="0">
      <alignment horizontal="center" vertical="center"/>
    </xf>
    <xf numFmtId="164" fontId="79" fillId="32" borderId="0" applyAlignment="1" pivotButton="0" quotePrefix="0" xfId="0">
      <alignment horizontal="center" vertical="center"/>
    </xf>
    <xf numFmtId="178" fontId="79" fillId="32" borderId="0" applyAlignment="1" pivotButton="0" quotePrefix="0" xfId="0">
      <alignment horizontal="center" vertical="center"/>
    </xf>
    <xf numFmtId="179" fontId="79" fillId="32" borderId="0" applyAlignment="1" pivotButton="0" quotePrefix="0" xfId="0">
      <alignment horizontal="center" vertical="center"/>
    </xf>
    <xf numFmtId="165" fontId="79" fillId="32" borderId="0" applyAlignment="1" pivotButton="0" quotePrefix="0" xfId="0">
      <alignment horizontal="center" vertical="center"/>
    </xf>
    <xf numFmtId="0" fontId="101" fillId="32" borderId="0" applyAlignment="1" pivotButton="0" quotePrefix="0" xfId="0">
      <alignment horizontal="left" vertical="center"/>
    </xf>
    <xf numFmtId="0" fontId="170" fillId="32" borderId="0" applyAlignment="1" pivotButton="0" quotePrefix="0" xfId="0">
      <alignment horizontal="general" vertical="bottom"/>
    </xf>
    <xf numFmtId="0" fontId="79" fillId="43" borderId="0" applyAlignment="1" pivotButton="0" quotePrefix="0" xfId="0">
      <alignment horizontal="left" vertical="center"/>
    </xf>
    <xf numFmtId="0" fontId="79" fillId="3" borderId="0" applyAlignment="1" pivotButton="0" quotePrefix="0" xfId="0">
      <alignment horizontal="left" vertical="center"/>
    </xf>
    <xf numFmtId="0" fontId="79" fillId="43" borderId="0" applyAlignment="1" pivotButton="0" quotePrefix="0" xfId="0">
      <alignment horizontal="center" vertical="center"/>
    </xf>
    <xf numFmtId="169" fontId="79" fillId="43" borderId="0" applyAlignment="1" pivotButton="0" quotePrefix="0" xfId="0">
      <alignment horizontal="center" vertical="center"/>
    </xf>
    <xf numFmtId="177" fontId="79" fillId="43" borderId="0" applyAlignment="1" pivotButton="0" quotePrefix="0" xfId="0">
      <alignment horizontal="center" vertical="center"/>
    </xf>
    <xf numFmtId="167" fontId="79" fillId="43" borderId="0" applyAlignment="1" pivotButton="0" quotePrefix="0" xfId="0">
      <alignment horizontal="center" vertical="center"/>
    </xf>
    <xf numFmtId="164" fontId="79" fillId="43" borderId="0" applyAlignment="1" pivotButton="0" quotePrefix="0" xfId="0">
      <alignment horizontal="center" vertical="center"/>
    </xf>
    <xf numFmtId="178" fontId="79" fillId="43" borderId="0" applyAlignment="1" pivotButton="0" quotePrefix="0" xfId="0">
      <alignment horizontal="center" vertical="center"/>
    </xf>
    <xf numFmtId="179" fontId="79" fillId="43" borderId="0" applyAlignment="1" pivotButton="0" quotePrefix="0" xfId="0">
      <alignment horizontal="center" vertical="center"/>
    </xf>
    <xf numFmtId="165" fontId="79" fillId="43" borderId="0" applyAlignment="1" pivotButton="0" quotePrefix="0" xfId="0">
      <alignment horizontal="center" vertical="center"/>
    </xf>
    <xf numFmtId="0" fontId="173" fillId="43" borderId="0" applyAlignment="1" pivotButton="0" quotePrefix="0" xfId="0">
      <alignment horizontal="left" vertical="center"/>
    </xf>
    <xf numFmtId="0" fontId="170" fillId="43" borderId="0" applyAlignment="1" pivotButton="0" quotePrefix="0" xfId="0">
      <alignment horizontal="general" vertical="bottom"/>
    </xf>
    <xf numFmtId="0" fontId="79" fillId="61" borderId="0" applyAlignment="1" pivotButton="0" quotePrefix="0" xfId="0">
      <alignment horizontal="left" vertical="center"/>
    </xf>
    <xf numFmtId="0" fontId="79" fillId="26" borderId="0" applyAlignment="1" pivotButton="0" quotePrefix="0" xfId="0">
      <alignment horizontal="left" vertical="center"/>
    </xf>
    <xf numFmtId="0" fontId="79" fillId="61" borderId="0" applyAlignment="1" pivotButton="0" quotePrefix="0" xfId="0">
      <alignment horizontal="center" vertical="center"/>
    </xf>
    <xf numFmtId="169" fontId="79" fillId="61" borderId="0" applyAlignment="1" pivotButton="0" quotePrefix="0" xfId="0">
      <alignment horizontal="center" vertical="center"/>
    </xf>
    <xf numFmtId="177" fontId="79" fillId="61" borderId="0" applyAlignment="1" pivotButton="0" quotePrefix="0" xfId="0">
      <alignment horizontal="center" vertical="center"/>
    </xf>
    <xf numFmtId="167" fontId="79" fillId="61" borderId="0" applyAlignment="1" pivotButton="0" quotePrefix="0" xfId="0">
      <alignment horizontal="center" vertical="center"/>
    </xf>
    <xf numFmtId="164" fontId="79" fillId="61" borderId="0" applyAlignment="1" pivotButton="0" quotePrefix="0" xfId="0">
      <alignment horizontal="center" vertical="center"/>
    </xf>
    <xf numFmtId="178" fontId="79" fillId="61" borderId="0" applyAlignment="1" pivotButton="0" quotePrefix="0" xfId="0">
      <alignment horizontal="center" vertical="center"/>
    </xf>
    <xf numFmtId="179" fontId="79" fillId="61" borderId="0" applyAlignment="1" pivotButton="0" quotePrefix="0" xfId="0">
      <alignment horizontal="center" vertical="center"/>
    </xf>
    <xf numFmtId="165" fontId="79" fillId="61" borderId="0" applyAlignment="1" pivotButton="0" quotePrefix="0" xfId="0">
      <alignment horizontal="center" vertical="center"/>
    </xf>
    <xf numFmtId="0" fontId="174" fillId="61" borderId="0" applyAlignment="1" pivotButton="0" quotePrefix="0" xfId="0">
      <alignment horizontal="left" vertical="center"/>
    </xf>
    <xf numFmtId="0" fontId="170" fillId="61" borderId="0" applyAlignment="1" pivotButton="0" quotePrefix="0" xfId="0">
      <alignment horizontal="general" vertical="bottom"/>
    </xf>
    <xf numFmtId="0" fontId="79" fillId="62" borderId="0" applyAlignment="1" pivotButton="0" quotePrefix="0" xfId="0">
      <alignment horizontal="left" vertical="center"/>
    </xf>
    <xf numFmtId="0" fontId="79" fillId="48" borderId="0" applyAlignment="1" pivotButton="0" quotePrefix="0" xfId="0">
      <alignment horizontal="left" vertical="center"/>
    </xf>
    <xf numFmtId="0" fontId="79" fillId="62" borderId="0" applyAlignment="1" pivotButton="0" quotePrefix="0" xfId="0">
      <alignment horizontal="center" vertical="center"/>
    </xf>
    <xf numFmtId="169" fontId="79" fillId="62" borderId="0" applyAlignment="1" pivotButton="0" quotePrefix="0" xfId="0">
      <alignment horizontal="center" vertical="center"/>
    </xf>
    <xf numFmtId="177" fontId="79" fillId="62" borderId="0" applyAlignment="1" pivotButton="0" quotePrefix="0" xfId="0">
      <alignment horizontal="center" vertical="center"/>
    </xf>
    <xf numFmtId="167" fontId="79" fillId="62" borderId="0" applyAlignment="1" pivotButton="0" quotePrefix="0" xfId="0">
      <alignment horizontal="center" vertical="center"/>
    </xf>
    <xf numFmtId="164" fontId="79" fillId="62" borderId="0" applyAlignment="1" pivotButton="0" quotePrefix="0" xfId="0">
      <alignment horizontal="center" vertical="center"/>
    </xf>
    <xf numFmtId="178" fontId="79" fillId="62" borderId="0" applyAlignment="1" pivotButton="0" quotePrefix="0" xfId="0">
      <alignment horizontal="center" vertical="center"/>
    </xf>
    <xf numFmtId="179" fontId="79" fillId="62" borderId="0" applyAlignment="1" pivotButton="0" quotePrefix="0" xfId="0">
      <alignment horizontal="center" vertical="center"/>
    </xf>
    <xf numFmtId="165" fontId="79" fillId="62" borderId="0" applyAlignment="1" pivotButton="0" quotePrefix="0" xfId="0">
      <alignment horizontal="center" vertical="center"/>
    </xf>
    <xf numFmtId="0" fontId="175" fillId="62" borderId="0" applyAlignment="1" pivotButton="0" quotePrefix="0" xfId="0">
      <alignment horizontal="left" vertical="center"/>
    </xf>
    <xf numFmtId="0" fontId="170" fillId="62" borderId="0" applyAlignment="1" pivotButton="0" quotePrefix="0" xfId="0">
      <alignment horizontal="general" vertical="bottom"/>
    </xf>
    <xf numFmtId="0" fontId="77" fillId="41" borderId="0" applyAlignment="1" pivotButton="0" quotePrefix="0" xfId="0">
      <alignment horizontal="left" vertical="center"/>
    </xf>
    <xf numFmtId="0" fontId="79" fillId="30" borderId="0" applyAlignment="1" pivotButton="0" quotePrefix="0" xfId="0">
      <alignment horizontal="center" vertical="center"/>
    </xf>
    <xf numFmtId="0" fontId="169" fillId="41" borderId="0" applyAlignment="1" pivotButton="0" quotePrefix="0" xfId="0">
      <alignment horizontal="right" vertical="center"/>
    </xf>
    <xf numFmtId="164" fontId="169" fillId="41" borderId="0" applyAlignment="1" pivotButton="0" quotePrefix="0" xfId="0">
      <alignment horizontal="right" vertical="center"/>
    </xf>
    <xf numFmtId="165" fontId="169" fillId="41" borderId="0" applyAlignment="1" pivotButton="0" quotePrefix="0" xfId="0">
      <alignment horizontal="right" vertical="center"/>
    </xf>
    <xf numFmtId="0" fontId="74" fillId="36" borderId="0" applyAlignment="1" pivotButton="0" quotePrefix="0" xfId="0">
      <alignment horizontal="left" vertical="center"/>
    </xf>
    <xf numFmtId="0" fontId="79" fillId="48" borderId="0" applyAlignment="1" pivotButton="0" quotePrefix="0" xfId="0">
      <alignment horizontal="center" vertical="center"/>
    </xf>
    <xf numFmtId="167" fontId="79" fillId="48" borderId="0" applyAlignment="1" pivotButton="0" quotePrefix="0" xfId="0">
      <alignment horizontal="center" vertical="center"/>
    </xf>
    <xf numFmtId="178" fontId="169" fillId="41" borderId="0" applyAlignment="1" pivotButton="0" quotePrefix="0" xfId="0">
      <alignment horizontal="right" vertical="center"/>
    </xf>
    <xf numFmtId="0" fontId="74" fillId="26" borderId="0" applyAlignment="1" pivotButton="0" quotePrefix="0" xfId="0">
      <alignment horizontal="left" vertical="center"/>
    </xf>
    <xf numFmtId="0" fontId="79" fillId="30" borderId="0" applyAlignment="1" pivotButton="0" quotePrefix="0" xfId="0">
      <alignment horizontal="left" vertical="center"/>
    </xf>
    <xf numFmtId="0" fontId="176" fillId="30" borderId="0" applyAlignment="1" pivotButton="0" quotePrefix="0" xfId="0">
      <alignment horizontal="left" vertical="center"/>
    </xf>
    <xf numFmtId="0" fontId="177" fillId="30" borderId="0" applyAlignment="1" pivotButton="0" quotePrefix="0" xfId="0">
      <alignment horizontal="center" vertical="center"/>
    </xf>
    <xf numFmtId="164" fontId="177" fillId="30" borderId="0" applyAlignment="1" pivotButton="0" quotePrefix="0" xfId="0">
      <alignment horizontal="center" vertical="center"/>
    </xf>
    <xf numFmtId="0" fontId="176" fillId="63" borderId="0" applyAlignment="1" pivotButton="0" quotePrefix="0" xfId="0">
      <alignment horizontal="left" vertical="center"/>
    </xf>
    <xf numFmtId="0" fontId="177" fillId="63" borderId="0" applyAlignment="1" pivotButton="0" quotePrefix="0" xfId="0">
      <alignment horizontal="center" vertical="center"/>
    </xf>
    <xf numFmtId="164" fontId="177" fillId="63" borderId="0" applyAlignment="1" pivotButton="0" quotePrefix="0" xfId="0">
      <alignment horizontal="center" vertical="center"/>
    </xf>
    <xf numFmtId="0" fontId="100" fillId="39" borderId="0" applyAlignment="1" pivotButton="0" quotePrefix="0" xfId="0">
      <alignment horizontal="left" vertical="center"/>
    </xf>
    <xf numFmtId="0" fontId="4" fillId="30" borderId="0" applyAlignment="1" pivotButton="0" quotePrefix="0" xfId="0">
      <alignment horizontal="left" vertical="center"/>
    </xf>
    <xf numFmtId="0" fontId="178" fillId="30" borderId="0" applyAlignment="1" pivotButton="0" quotePrefix="0" xfId="0">
      <alignment horizontal="center" vertical="center"/>
    </xf>
    <xf numFmtId="0" fontId="45" fillId="8" borderId="0" applyAlignment="1" pivotButton="0" quotePrefix="0" xfId="0">
      <alignment horizontal="left" vertical="center"/>
    </xf>
    <xf numFmtId="164" fontId="177" fillId="43" borderId="0" applyAlignment="1" pivotButton="0" quotePrefix="0" xfId="0">
      <alignment horizontal="center" vertical="center"/>
    </xf>
    <xf numFmtId="165" fontId="177" fillId="43" borderId="0" applyAlignment="1" pivotButton="0" quotePrefix="0" xfId="0">
      <alignment horizontal="center" vertical="center"/>
    </xf>
    <xf numFmtId="2" fontId="179" fillId="43" borderId="0" applyAlignment="1" pivotButton="0" quotePrefix="0" xfId="0">
      <alignment horizontal="center" vertical="center"/>
    </xf>
    <xf numFmtId="1" fontId="180" fillId="43" borderId="0" applyAlignment="1" pivotButton="0" quotePrefix="0" xfId="0">
      <alignment horizontal="center" vertical="center"/>
    </xf>
    <xf numFmtId="0" fontId="177" fillId="43" borderId="0" applyAlignment="1" pivotButton="0" quotePrefix="0" xfId="0">
      <alignment horizontal="center" vertical="center"/>
    </xf>
    <xf numFmtId="0" fontId="181" fillId="21" borderId="0" applyAlignment="1" pivotButton="0" quotePrefix="0" xfId="0">
      <alignment horizontal="center" vertical="center"/>
    </xf>
    <xf numFmtId="0" fontId="17" fillId="21" borderId="0" applyAlignment="1" pivotButton="0" quotePrefix="0" xfId="0">
      <alignment horizontal="center" vertical="center" wrapText="1"/>
    </xf>
    <xf numFmtId="0" fontId="18" fillId="21" borderId="0" applyAlignment="1" pivotButton="0" quotePrefix="0" xfId="0">
      <alignment horizontal="center" vertical="center" wrapText="1"/>
    </xf>
    <xf numFmtId="0" fontId="182" fillId="32" borderId="0" applyAlignment="1" pivotButton="0" quotePrefix="0" xfId="0">
      <alignment horizontal="left" vertical="center"/>
    </xf>
    <xf numFmtId="0" fontId="101" fillId="32" borderId="0" applyAlignment="1" pivotButton="0" quotePrefix="0" xfId="0">
      <alignment horizontal="center" vertical="center"/>
    </xf>
    <xf numFmtId="0" fontId="18" fillId="46" borderId="0" applyAlignment="1" pivotButton="0" quotePrefix="0" xfId="0">
      <alignment horizontal="center" vertical="center"/>
    </xf>
    <xf numFmtId="180" fontId="101" fillId="32" borderId="0" applyAlignment="1" pivotButton="0" quotePrefix="0" xfId="0">
      <alignment horizontal="center" vertical="center"/>
    </xf>
    <xf numFmtId="167" fontId="101" fillId="32" borderId="0" applyAlignment="1" pivotButton="0" quotePrefix="0" xfId="0">
      <alignment horizontal="center" vertical="center"/>
    </xf>
    <xf numFmtId="164" fontId="101" fillId="32" borderId="0" applyAlignment="1" pivotButton="0" quotePrefix="0" xfId="0">
      <alignment horizontal="center" vertical="center"/>
    </xf>
    <xf numFmtId="178" fontId="101" fillId="32" borderId="0" applyAlignment="1" pivotButton="0" quotePrefix="0" xfId="0">
      <alignment horizontal="center" vertical="center"/>
    </xf>
    <xf numFmtId="179" fontId="101" fillId="32" borderId="0" applyAlignment="1" pivotButton="0" quotePrefix="0" xfId="0">
      <alignment horizontal="center" vertical="center"/>
    </xf>
    <xf numFmtId="165" fontId="101" fillId="32" borderId="0" applyAlignment="1" pivotButton="0" quotePrefix="0" xfId="0">
      <alignment horizontal="center" vertical="center"/>
    </xf>
    <xf numFmtId="10" fontId="101" fillId="32" borderId="0" applyAlignment="1" pivotButton="0" quotePrefix="0" xfId="0">
      <alignment horizontal="center" vertical="center"/>
    </xf>
    <xf numFmtId="2" fontId="101" fillId="32" borderId="0" applyAlignment="1" pivotButton="0" quotePrefix="0" xfId="0">
      <alignment horizontal="center" vertical="center"/>
    </xf>
    <xf numFmtId="9" fontId="101" fillId="32" borderId="0" applyAlignment="1" pivotButton="0" quotePrefix="0" xfId="0">
      <alignment horizontal="center" vertical="center"/>
    </xf>
    <xf numFmtId="164" fontId="183" fillId="32" borderId="0" applyAlignment="1" pivotButton="0" quotePrefix="0" xfId="0">
      <alignment horizontal="center" vertical="center"/>
    </xf>
    <xf numFmtId="0" fontId="43" fillId="32" borderId="0" applyAlignment="1" pivotButton="0" quotePrefix="0" xfId="0">
      <alignment horizontal="center" vertical="center"/>
    </xf>
    <xf numFmtId="0" fontId="184" fillId="32" borderId="0" applyAlignment="1" pivotButton="0" quotePrefix="0" xfId="0">
      <alignment horizontal="left" vertical="center" wrapText="1"/>
    </xf>
    <xf numFmtId="0" fontId="185" fillId="32" borderId="0" applyAlignment="1" pivotButton="0" quotePrefix="0" xfId="0">
      <alignment horizontal="center" vertical="center"/>
    </xf>
    <xf numFmtId="0" fontId="186" fillId="32" borderId="0" applyAlignment="1" pivotButton="0" quotePrefix="0" xfId="0">
      <alignment horizontal="center" vertical="center"/>
    </xf>
    <xf numFmtId="0" fontId="185" fillId="29" borderId="0" applyAlignment="1" pivotButton="0" quotePrefix="0" xfId="0">
      <alignment horizontal="center" vertical="center"/>
    </xf>
    <xf numFmtId="0" fontId="187" fillId="23" borderId="0" applyAlignment="1" pivotButton="0" quotePrefix="0" xfId="0">
      <alignment horizontal="center" vertical="center"/>
    </xf>
    <xf numFmtId="9" fontId="188" fillId="0" borderId="0" applyAlignment="1" pivotButton="0" quotePrefix="0" xfId="0">
      <alignment horizontal="center" vertical="center"/>
    </xf>
    <xf numFmtId="0" fontId="189" fillId="20" borderId="0" applyAlignment="1" pivotButton="0" quotePrefix="0" xfId="0">
      <alignment horizontal="center" vertical="bottom"/>
    </xf>
    <xf numFmtId="165" fontId="26" fillId="63" borderId="0" applyAlignment="1" pivotButton="0" quotePrefix="0" xfId="0">
      <alignment horizontal="general" vertical="bottom"/>
    </xf>
    <xf numFmtId="1" fontId="182" fillId="32" borderId="0" applyAlignment="1" pivotButton="0" quotePrefix="0" xfId="0">
      <alignment horizontal="left" vertical="center"/>
    </xf>
    <xf numFmtId="0" fontId="190" fillId="32" borderId="0" applyAlignment="1" pivotButton="0" quotePrefix="0" xfId="0">
      <alignment horizontal="center" vertical="center"/>
    </xf>
    <xf numFmtId="9" fontId="191" fillId="0" borderId="0" applyAlignment="1" pivotButton="0" quotePrefix="0" xfId="0">
      <alignment horizontal="center" vertical="center"/>
    </xf>
    <xf numFmtId="165" fontId="26" fillId="30" borderId="0" applyAlignment="1" pivotButton="0" quotePrefix="0" xfId="0">
      <alignment horizontal="general" vertical="bottom"/>
    </xf>
    <xf numFmtId="0" fontId="192" fillId="32" borderId="0" applyAlignment="1" pivotButton="0" quotePrefix="0" xfId="0">
      <alignment horizontal="center" vertical="center"/>
    </xf>
    <xf numFmtId="9" fontId="193" fillId="0" borderId="0" applyAlignment="1" pivotButton="0" quotePrefix="0" xfId="0">
      <alignment horizontal="center" vertical="center"/>
    </xf>
    <xf numFmtId="0" fontId="194" fillId="32" borderId="0" applyAlignment="1" pivotButton="0" quotePrefix="0" xfId="0">
      <alignment horizontal="center" vertical="center"/>
    </xf>
    <xf numFmtId="1" fontId="22" fillId="43" borderId="0" applyAlignment="1" pivotButton="0" quotePrefix="0" xfId="0">
      <alignment horizontal="left" vertical="center"/>
    </xf>
    <xf numFmtId="0" fontId="173" fillId="43" borderId="0" applyAlignment="1" pivotButton="0" quotePrefix="0" xfId="0">
      <alignment horizontal="center" vertical="center"/>
    </xf>
    <xf numFmtId="180" fontId="173" fillId="43" borderId="0" applyAlignment="1" pivotButton="0" quotePrefix="0" xfId="0">
      <alignment horizontal="center" vertical="center"/>
    </xf>
    <xf numFmtId="167" fontId="173" fillId="43" borderId="0" applyAlignment="1" pivotButton="0" quotePrefix="0" xfId="0">
      <alignment horizontal="center" vertical="center"/>
    </xf>
    <xf numFmtId="164" fontId="173" fillId="43" borderId="0" applyAlignment="1" pivotButton="0" quotePrefix="0" xfId="0">
      <alignment horizontal="center" vertical="center"/>
    </xf>
    <xf numFmtId="178" fontId="173" fillId="43" borderId="0" applyAlignment="1" pivotButton="0" quotePrefix="0" xfId="0">
      <alignment horizontal="center" vertical="center"/>
    </xf>
    <xf numFmtId="179" fontId="173" fillId="43" borderId="0" applyAlignment="1" pivotButton="0" quotePrefix="0" xfId="0">
      <alignment horizontal="center" vertical="center"/>
    </xf>
    <xf numFmtId="165" fontId="173" fillId="43" borderId="0" applyAlignment="1" pivotButton="0" quotePrefix="0" xfId="0">
      <alignment horizontal="center" vertical="center"/>
    </xf>
    <xf numFmtId="10" fontId="173" fillId="43" borderId="0" applyAlignment="1" pivotButton="0" quotePrefix="0" xfId="0">
      <alignment horizontal="center" vertical="center"/>
    </xf>
    <xf numFmtId="2" fontId="173" fillId="43" borderId="0" applyAlignment="1" pivotButton="0" quotePrefix="0" xfId="0">
      <alignment horizontal="center" vertical="center"/>
    </xf>
    <xf numFmtId="9" fontId="173" fillId="43" borderId="0" applyAlignment="1" pivotButton="0" quotePrefix="0" xfId="0">
      <alignment horizontal="center" vertical="center"/>
    </xf>
    <xf numFmtId="164" fontId="183" fillId="43" borderId="0" applyAlignment="1" pivotButton="0" quotePrefix="0" xfId="0">
      <alignment horizontal="center" vertical="center"/>
    </xf>
    <xf numFmtId="0" fontId="43" fillId="43" borderId="0" applyAlignment="1" pivotButton="0" quotePrefix="0" xfId="0">
      <alignment horizontal="center" vertical="center"/>
    </xf>
    <xf numFmtId="0" fontId="195" fillId="43" borderId="0" applyAlignment="1" pivotButton="0" quotePrefix="0" xfId="0">
      <alignment horizontal="left" vertical="center" wrapText="1"/>
    </xf>
    <xf numFmtId="0" fontId="190" fillId="43" borderId="0" applyAlignment="1" pivotButton="0" quotePrefix="0" xfId="0">
      <alignment horizontal="center" vertical="center"/>
    </xf>
    <xf numFmtId="0" fontId="186" fillId="43" borderId="0" applyAlignment="1" pivotButton="0" quotePrefix="0" xfId="0">
      <alignment horizontal="center" vertical="center"/>
    </xf>
    <xf numFmtId="0" fontId="196" fillId="43" borderId="0" applyAlignment="1" pivotButton="0" quotePrefix="0" xfId="0">
      <alignment horizontal="center" vertical="center"/>
    </xf>
    <xf numFmtId="0" fontId="192" fillId="20" borderId="0" applyAlignment="1" pivotButton="0" quotePrefix="0" xfId="0">
      <alignment horizontal="center" vertical="center"/>
    </xf>
    <xf numFmtId="0" fontId="185" fillId="43" borderId="0" applyAlignment="1" pivotButton="0" quotePrefix="0" xfId="0">
      <alignment horizontal="center" vertical="center"/>
    </xf>
    <xf numFmtId="1" fontId="197" fillId="61" borderId="0" applyAlignment="1" pivotButton="0" quotePrefix="0" xfId="0">
      <alignment horizontal="left" vertical="center"/>
    </xf>
    <xf numFmtId="0" fontId="174" fillId="61" borderId="0" applyAlignment="1" pivotButton="0" quotePrefix="0" xfId="0">
      <alignment horizontal="center" vertical="center"/>
    </xf>
    <xf numFmtId="0" fontId="18" fillId="26" borderId="0" applyAlignment="1" pivotButton="0" quotePrefix="0" xfId="0">
      <alignment horizontal="center" vertical="center"/>
    </xf>
    <xf numFmtId="180" fontId="174" fillId="61" borderId="0" applyAlignment="1" pivotButton="0" quotePrefix="0" xfId="0">
      <alignment horizontal="center" vertical="center"/>
    </xf>
    <xf numFmtId="167" fontId="174" fillId="61" borderId="0" applyAlignment="1" pivotButton="0" quotePrefix="0" xfId="0">
      <alignment horizontal="center" vertical="center"/>
    </xf>
    <xf numFmtId="164" fontId="174" fillId="61" borderId="0" applyAlignment="1" pivotButton="0" quotePrefix="0" xfId="0">
      <alignment horizontal="center" vertical="center"/>
    </xf>
    <xf numFmtId="178" fontId="174" fillId="61" borderId="0" applyAlignment="1" pivotButton="0" quotePrefix="0" xfId="0">
      <alignment horizontal="center" vertical="center"/>
    </xf>
    <xf numFmtId="179" fontId="174" fillId="61" borderId="0" applyAlignment="1" pivotButton="0" quotePrefix="0" xfId="0">
      <alignment horizontal="center" vertical="center"/>
    </xf>
    <xf numFmtId="165" fontId="174" fillId="61" borderId="0" applyAlignment="1" pivotButton="0" quotePrefix="0" xfId="0">
      <alignment horizontal="center" vertical="center"/>
    </xf>
    <xf numFmtId="10" fontId="174" fillId="61" borderId="0" applyAlignment="1" pivotButton="0" quotePrefix="0" xfId="0">
      <alignment horizontal="center" vertical="center"/>
    </xf>
    <xf numFmtId="2" fontId="174" fillId="61" borderId="0" applyAlignment="1" pivotButton="0" quotePrefix="0" xfId="0">
      <alignment horizontal="center" vertical="center"/>
    </xf>
    <xf numFmtId="9" fontId="174" fillId="61" borderId="0" applyAlignment="1" pivotButton="0" quotePrefix="0" xfId="0">
      <alignment horizontal="center" vertical="center"/>
    </xf>
    <xf numFmtId="164" fontId="183" fillId="61" borderId="0" applyAlignment="1" pivotButton="0" quotePrefix="0" xfId="0">
      <alignment horizontal="center" vertical="center"/>
    </xf>
    <xf numFmtId="0" fontId="43" fillId="61" borderId="0" applyAlignment="1" pivotButton="0" quotePrefix="0" xfId="0">
      <alignment horizontal="center" vertical="center"/>
    </xf>
    <xf numFmtId="0" fontId="198" fillId="61" borderId="0" applyAlignment="1" pivotButton="0" quotePrefix="0" xfId="0">
      <alignment horizontal="left" vertical="center" wrapText="1"/>
    </xf>
    <xf numFmtId="0" fontId="199" fillId="61" borderId="0" applyAlignment="1" pivotButton="0" quotePrefix="0" xfId="0">
      <alignment horizontal="center" vertical="center"/>
    </xf>
    <xf numFmtId="0" fontId="186" fillId="61" borderId="0" applyAlignment="1" pivotButton="0" quotePrefix="0" xfId="0">
      <alignment horizontal="center" vertical="center"/>
    </xf>
    <xf numFmtId="0" fontId="199" fillId="0" borderId="0" applyAlignment="1" pivotButton="0" quotePrefix="0" xfId="0">
      <alignment horizontal="center" vertical="center"/>
    </xf>
    <xf numFmtId="0" fontId="196" fillId="61" borderId="0" applyAlignment="1" pivotButton="0" quotePrefix="0" xfId="0">
      <alignment horizontal="center" vertical="center"/>
    </xf>
    <xf numFmtId="0" fontId="200" fillId="61" borderId="0" applyAlignment="1" pivotButton="0" quotePrefix="0" xfId="0">
      <alignment horizontal="center" vertical="center"/>
    </xf>
    <xf numFmtId="1" fontId="23" fillId="62" borderId="0" applyAlignment="1" pivotButton="0" quotePrefix="0" xfId="0">
      <alignment horizontal="left" vertical="center"/>
    </xf>
    <xf numFmtId="0" fontId="175" fillId="6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180" fontId="175" fillId="62" borderId="0" applyAlignment="1" pivotButton="0" quotePrefix="0" xfId="0">
      <alignment horizontal="center" vertical="center"/>
    </xf>
    <xf numFmtId="167" fontId="175" fillId="62" borderId="0" applyAlignment="1" pivotButton="0" quotePrefix="0" xfId="0">
      <alignment horizontal="center" vertical="center"/>
    </xf>
    <xf numFmtId="164" fontId="175" fillId="62" borderId="0" applyAlignment="1" pivotButton="0" quotePrefix="0" xfId="0">
      <alignment horizontal="center" vertical="center"/>
    </xf>
    <xf numFmtId="178" fontId="175" fillId="62" borderId="0" applyAlignment="1" pivotButton="0" quotePrefix="0" xfId="0">
      <alignment horizontal="center" vertical="center"/>
    </xf>
    <xf numFmtId="179" fontId="175" fillId="62" borderId="0" applyAlignment="1" pivotButton="0" quotePrefix="0" xfId="0">
      <alignment horizontal="center" vertical="center"/>
    </xf>
    <xf numFmtId="165" fontId="175" fillId="62" borderId="0" applyAlignment="1" pivotButton="0" quotePrefix="0" xfId="0">
      <alignment horizontal="center" vertical="center"/>
    </xf>
    <xf numFmtId="10" fontId="175" fillId="62" borderId="0" applyAlignment="1" pivotButton="0" quotePrefix="0" xfId="0">
      <alignment horizontal="center" vertical="center"/>
    </xf>
    <xf numFmtId="2" fontId="175" fillId="62" borderId="0" applyAlignment="1" pivotButton="0" quotePrefix="0" xfId="0">
      <alignment horizontal="center" vertical="center"/>
    </xf>
    <xf numFmtId="9" fontId="175" fillId="62" borderId="0" applyAlignment="1" pivotButton="0" quotePrefix="0" xfId="0">
      <alignment horizontal="center" vertical="center"/>
    </xf>
    <xf numFmtId="164" fontId="183" fillId="62" borderId="0" applyAlignment="1" pivotButton="0" quotePrefix="0" xfId="0">
      <alignment horizontal="center" vertical="center"/>
    </xf>
    <xf numFmtId="0" fontId="43" fillId="62" borderId="0" applyAlignment="1" pivotButton="0" quotePrefix="0" xfId="0">
      <alignment horizontal="center" vertical="center"/>
    </xf>
    <xf numFmtId="0" fontId="201" fillId="62" borderId="0" applyAlignment="1" pivotButton="0" quotePrefix="0" xfId="0">
      <alignment horizontal="left" vertical="center" wrapText="1"/>
    </xf>
    <xf numFmtId="0" fontId="194" fillId="62" borderId="0" applyAlignment="1" pivotButton="0" quotePrefix="0" xfId="0">
      <alignment horizontal="center" vertical="center"/>
    </xf>
    <xf numFmtId="0" fontId="186" fillId="62" borderId="0" applyAlignment="1" pivotButton="0" quotePrefix="0" xfId="0">
      <alignment horizontal="center" vertical="center"/>
    </xf>
    <xf numFmtId="0" fontId="199" fillId="62" borderId="0" applyAlignment="1" pivotButton="0" quotePrefix="0" xfId="0">
      <alignment horizontal="center" vertical="center"/>
    </xf>
    <xf numFmtId="0" fontId="202" fillId="62" borderId="0" applyAlignment="1" pivotButton="0" quotePrefix="0" xfId="0">
      <alignment horizontal="center" vertical="center"/>
    </xf>
    <xf numFmtId="0" fontId="203" fillId="32" borderId="0" applyAlignment="1" pivotButton="0" quotePrefix="0" xfId="0">
      <alignment horizontal="center" vertical="center"/>
    </xf>
    <xf numFmtId="0" fontId="203" fillId="43" borderId="0" applyAlignment="1" pivotButton="0" quotePrefix="0" xfId="0">
      <alignment horizontal="center" vertical="center"/>
    </xf>
    <xf numFmtId="1" fontId="204" fillId="30" borderId="0" applyAlignment="1" pivotButton="0" quotePrefix="0" xfId="0">
      <alignment horizontal="center" vertical="center"/>
    </xf>
    <xf numFmtId="0" fontId="179" fillId="30" borderId="0" applyAlignment="1" pivotButton="0" quotePrefix="0" xfId="0">
      <alignment horizontal="center" vertical="center"/>
    </xf>
    <xf numFmtId="0" fontId="205" fillId="30" borderId="0" applyAlignment="1" pivotButton="0" quotePrefix="0" xfId="0">
      <alignment horizontal="left" vertical="center"/>
    </xf>
    <xf numFmtId="0" fontId="206" fillId="30" borderId="0" applyAlignment="1" pivotButton="0" quotePrefix="0" xfId="0">
      <alignment horizontal="center" vertical="center"/>
    </xf>
    <xf numFmtId="0" fontId="207" fillId="30" borderId="0" applyAlignment="1" pivotButton="0" quotePrefix="0" xfId="0">
      <alignment horizontal="center" vertical="center"/>
    </xf>
    <xf numFmtId="0" fontId="208" fillId="30" borderId="0" applyAlignment="1" pivotButton="0" quotePrefix="0" xfId="0">
      <alignment horizontal="center" vertical="center"/>
    </xf>
    <xf numFmtId="180" fontId="209" fillId="30" borderId="0" applyAlignment="1" pivotButton="0" quotePrefix="0" xfId="0">
      <alignment horizontal="center" vertical="center"/>
    </xf>
    <xf numFmtId="167" fontId="210" fillId="30" borderId="0" applyAlignment="1" pivotButton="0" quotePrefix="0" xfId="0">
      <alignment horizontal="center" vertical="center"/>
    </xf>
    <xf numFmtId="167" fontId="211" fillId="30" borderId="0" applyAlignment="1" pivotButton="0" quotePrefix="0" xfId="0">
      <alignment horizontal="center" vertical="center"/>
    </xf>
    <xf numFmtId="167" fontId="208" fillId="30" borderId="0" applyAlignment="1" pivotButton="0" quotePrefix="0" xfId="0">
      <alignment horizontal="center" vertical="center"/>
    </xf>
    <xf numFmtId="164" fontId="211" fillId="30" borderId="0" applyAlignment="1" pivotButton="0" quotePrefix="0" xfId="0">
      <alignment horizontal="center" vertical="center"/>
    </xf>
    <xf numFmtId="164" fontId="208" fillId="30" borderId="0" applyAlignment="1" pivotButton="0" quotePrefix="0" xfId="0">
      <alignment horizontal="center" vertical="center"/>
    </xf>
    <xf numFmtId="164" fontId="209" fillId="30" borderId="0" applyAlignment="1" pivotButton="0" quotePrefix="0" xfId="0">
      <alignment horizontal="center" vertical="center"/>
    </xf>
    <xf numFmtId="165" fontId="207" fillId="30" borderId="0" applyAlignment="1" pivotButton="0" quotePrefix="0" xfId="0">
      <alignment horizontal="center" vertical="center"/>
    </xf>
    <xf numFmtId="10" fontId="209" fillId="30" borderId="0" applyAlignment="1" pivotButton="0" quotePrefix="0" xfId="0">
      <alignment horizontal="center" vertical="center"/>
    </xf>
    <xf numFmtId="167" fontId="212" fillId="30" borderId="0" applyAlignment="1" pivotButton="0" quotePrefix="0" xfId="0">
      <alignment horizontal="center" vertical="center"/>
    </xf>
    <xf numFmtId="164" fontId="213" fillId="30" borderId="0" applyAlignment="1" pivotButton="0" quotePrefix="0" xfId="0">
      <alignment horizontal="center" vertical="center"/>
    </xf>
    <xf numFmtId="0" fontId="214" fillId="30" borderId="0" applyAlignment="1" pivotButton="0" quotePrefix="0" xfId="0">
      <alignment horizontal="center" vertical="center"/>
    </xf>
    <xf numFmtId="0" fontId="203" fillId="30" borderId="0" applyAlignment="1" pivotButton="0" quotePrefix="0" xfId="0">
      <alignment horizontal="center" vertical="center"/>
    </xf>
    <xf numFmtId="0" fontId="74" fillId="13" borderId="0" applyAlignment="1" pivotButton="0" quotePrefix="0" xfId="0">
      <alignment horizontal="general" vertical="bottom"/>
    </xf>
    <xf numFmtId="0" fontId="74" fillId="13" borderId="0" applyAlignment="1" pivotButton="0" quotePrefix="0" xfId="0">
      <alignment horizontal="left" vertical="center"/>
    </xf>
    <xf numFmtId="0" fontId="74" fillId="13" borderId="0" applyAlignment="1" pivotButton="0" quotePrefix="0" xfId="0">
      <alignment horizontal="center" vertical="center"/>
    </xf>
    <xf numFmtId="167" fontId="74" fillId="13" borderId="0" applyAlignment="1" pivotButton="0" quotePrefix="0" xfId="0">
      <alignment horizontal="center" vertical="center"/>
    </xf>
    <xf numFmtId="164" fontId="74" fillId="13" borderId="0" applyAlignment="1" pivotButton="0" quotePrefix="0" xfId="0">
      <alignment horizontal="center" vertical="center"/>
    </xf>
    <xf numFmtId="178" fontId="74" fillId="13" borderId="0" applyAlignment="1" pivotButton="0" quotePrefix="0" xfId="0">
      <alignment horizontal="center" vertical="center"/>
    </xf>
    <xf numFmtId="179" fontId="74" fillId="13" borderId="0" applyAlignment="1" pivotButton="0" quotePrefix="0" xfId="0">
      <alignment horizontal="center" vertical="center"/>
    </xf>
    <xf numFmtId="165" fontId="74" fillId="13" borderId="0" applyAlignment="1" pivotButton="0" quotePrefix="0" xfId="0">
      <alignment horizontal="center" vertical="center"/>
    </xf>
    <xf numFmtId="10" fontId="74" fillId="13" borderId="0" applyAlignment="1" pivotButton="0" quotePrefix="0" xfId="0">
      <alignment horizontal="center" vertical="center"/>
    </xf>
    <xf numFmtId="9" fontId="74" fillId="13" borderId="0" applyAlignment="1" pivotButton="0" quotePrefix="0" xfId="0">
      <alignment horizontal="center" vertical="center"/>
    </xf>
    <xf numFmtId="0" fontId="170" fillId="14" borderId="0" applyAlignment="1" pivotButton="0" quotePrefix="0" xfId="0">
      <alignment horizontal="general" vertical="bottom"/>
    </xf>
    <xf numFmtId="0" fontId="17" fillId="30" borderId="0" applyAlignment="1" pivotButton="0" quotePrefix="0" xfId="0">
      <alignment horizontal="center" vertical="center"/>
    </xf>
    <xf numFmtId="0" fontId="72" fillId="30" borderId="0" applyAlignment="1" pivotButton="0" quotePrefix="0" xfId="0">
      <alignment horizontal="center" vertical="center"/>
    </xf>
    <xf numFmtId="181" fontId="215" fillId="30" borderId="0" applyAlignment="1" pivotButton="0" quotePrefix="0" xfId="0">
      <alignment horizontal="center" vertical="center"/>
    </xf>
    <xf numFmtId="164" fontId="215" fillId="30" borderId="0" applyAlignment="1" pivotButton="0" quotePrefix="0" xfId="0">
      <alignment horizontal="center" vertical="center"/>
    </xf>
    <xf numFmtId="165" fontId="215" fillId="30" borderId="0" applyAlignment="1" pivotButton="0" quotePrefix="0" xfId="0">
      <alignment horizontal="center" vertical="center"/>
    </xf>
    <xf numFmtId="0" fontId="215" fillId="30" borderId="0" applyAlignment="1" pivotButton="0" quotePrefix="0" xfId="0">
      <alignment horizontal="center" vertical="center"/>
    </xf>
    <xf numFmtId="0" fontId="177" fillId="30" borderId="0" applyAlignment="1" pivotButton="0" quotePrefix="0" xfId="0">
      <alignment horizontal="left" vertical="center"/>
    </xf>
    <xf numFmtId="167" fontId="177" fillId="30" borderId="0" applyAlignment="1" pivotButton="0" quotePrefix="0" xfId="0">
      <alignment horizontal="center" vertical="center"/>
    </xf>
    <xf numFmtId="178" fontId="177" fillId="30" borderId="0" applyAlignment="1" pivotButton="0" quotePrefix="0" xfId="0">
      <alignment horizontal="center" vertical="center"/>
    </xf>
    <xf numFmtId="179" fontId="177" fillId="30" borderId="0" applyAlignment="1" pivotButton="0" quotePrefix="0" xfId="0">
      <alignment horizontal="center" vertical="center"/>
    </xf>
    <xf numFmtId="165" fontId="177" fillId="30" borderId="0" applyAlignment="1" pivotButton="0" quotePrefix="0" xfId="0">
      <alignment horizontal="center" vertical="center"/>
    </xf>
    <xf numFmtId="10" fontId="177" fillId="30" borderId="0" applyAlignment="1" pivotButton="0" quotePrefix="0" xfId="0">
      <alignment horizontal="center" vertical="center"/>
    </xf>
    <xf numFmtId="9" fontId="177" fillId="30" borderId="0" applyAlignment="1" pivotButton="0" quotePrefix="0" xfId="0">
      <alignment horizontal="center" vertical="center"/>
    </xf>
    <xf numFmtId="0" fontId="177" fillId="63" borderId="0" applyAlignment="1" pivotButton="0" quotePrefix="0" xfId="0">
      <alignment horizontal="left" vertical="center"/>
    </xf>
    <xf numFmtId="167" fontId="177" fillId="63" borderId="0" applyAlignment="1" pivotButton="0" quotePrefix="0" xfId="0">
      <alignment horizontal="center" vertical="center"/>
    </xf>
    <xf numFmtId="178" fontId="177" fillId="63" borderId="0" applyAlignment="1" pivotButton="0" quotePrefix="0" xfId="0">
      <alignment horizontal="center" vertical="center"/>
    </xf>
    <xf numFmtId="179" fontId="177" fillId="63" borderId="0" applyAlignment="1" pivotButton="0" quotePrefix="0" xfId="0">
      <alignment horizontal="center" vertical="center"/>
    </xf>
    <xf numFmtId="165" fontId="177" fillId="63" borderId="0" applyAlignment="1" pivotButton="0" quotePrefix="0" xfId="0">
      <alignment horizontal="center" vertical="center"/>
    </xf>
    <xf numFmtId="10" fontId="177" fillId="63" borderId="0" applyAlignment="1" pivotButton="0" quotePrefix="0" xfId="0">
      <alignment horizontal="center" vertical="center"/>
    </xf>
    <xf numFmtId="2" fontId="177" fillId="63" borderId="0" applyAlignment="1" pivotButton="0" quotePrefix="0" xfId="0">
      <alignment horizontal="center" vertical="center"/>
    </xf>
    <xf numFmtId="9" fontId="177" fillId="63" borderId="0" applyAlignment="1" pivotButton="0" quotePrefix="0" xfId="0">
      <alignment horizontal="center" vertical="center"/>
    </xf>
    <xf numFmtId="164" fontId="177" fillId="63" borderId="0" applyAlignment="1" pivotButton="0" quotePrefix="0" xfId="0">
      <alignment horizontal="left" vertical="center"/>
    </xf>
    <xf numFmtId="1" fontId="177" fillId="63" borderId="0" applyAlignment="1" pivotButton="0" quotePrefix="0" xfId="0">
      <alignment horizontal="center" vertical="center"/>
    </xf>
    <xf numFmtId="164" fontId="177" fillId="30" borderId="0" applyAlignment="1" pivotButton="0" quotePrefix="0" xfId="0">
      <alignment horizontal="left" vertical="center"/>
    </xf>
    <xf numFmtId="1" fontId="177" fillId="30" borderId="0" applyAlignment="1" pivotButton="0" quotePrefix="0" xfId="0">
      <alignment horizontal="center" vertical="center"/>
    </xf>
    <xf numFmtId="10" fontId="177" fillId="30" borderId="0" applyAlignment="1" pivotButton="0" quotePrefix="0" xfId="0">
      <alignment horizontal="left" vertical="center"/>
    </xf>
    <xf numFmtId="3" fontId="177" fillId="30" borderId="0" applyAlignment="1" pivotButton="0" quotePrefix="0" xfId="0">
      <alignment horizontal="left" vertical="center"/>
    </xf>
    <xf numFmtId="3" fontId="177" fillId="63" borderId="0" applyAlignment="1" pivotButton="0" quotePrefix="0" xfId="0">
      <alignment horizontal="left" vertical="center"/>
    </xf>
    <xf numFmtId="165" fontId="177" fillId="30" borderId="0" applyAlignment="1" pivotButton="0" quotePrefix="0" xfId="0">
      <alignment horizontal="left" vertical="center"/>
    </xf>
    <xf numFmtId="165" fontId="177" fillId="63" borderId="0" applyAlignment="1" pivotButton="0" quotePrefix="0" xfId="0">
      <alignment horizontal="left" vertical="center"/>
    </xf>
    <xf numFmtId="49" fontId="177" fillId="30" borderId="0" applyAlignment="1" pivotButton="0" quotePrefix="0" xfId="0">
      <alignment horizontal="left" vertical="center"/>
    </xf>
    <xf numFmtId="3" fontId="177" fillId="30" borderId="0" applyAlignment="1" pivotButton="0" quotePrefix="0" xfId="0">
      <alignment horizontal="center" vertical="center"/>
    </xf>
    <xf numFmtId="167" fontId="177" fillId="30" borderId="0" applyAlignment="1" pivotButton="0" quotePrefix="0" xfId="0">
      <alignment horizontal="center" vertical="center" wrapText="1"/>
    </xf>
    <xf numFmtId="0" fontId="216" fillId="38" borderId="0" applyAlignment="1" pivotButton="0" quotePrefix="0" xfId="0">
      <alignment horizontal="left" vertical="center" wrapText="1"/>
    </xf>
    <xf numFmtId="0" fontId="217" fillId="14" borderId="0" applyAlignment="1" pivotButton="0" quotePrefix="0" xfId="0">
      <alignment horizontal="left" vertical="center" wrapText="1"/>
    </xf>
    <xf numFmtId="0" fontId="17" fillId="33" borderId="0" applyAlignment="1" pivotButton="0" quotePrefix="0" xfId="0">
      <alignment horizontal="center" vertical="center" wrapText="1"/>
    </xf>
    <xf numFmtId="0" fontId="17" fillId="13" borderId="0" applyAlignment="1" pivotButton="0" quotePrefix="0" xfId="0">
      <alignment horizontal="center" vertical="center" wrapText="1"/>
    </xf>
    <xf numFmtId="0" fontId="17" fillId="64" borderId="0" applyAlignment="1" pivotButton="0" quotePrefix="0" xfId="0">
      <alignment horizontal="center" vertical="center" wrapText="1"/>
    </xf>
    <xf numFmtId="0" fontId="27" fillId="55" borderId="0" applyAlignment="1" pivotButton="0" quotePrefix="0" xfId="0">
      <alignment horizontal="left" vertical="center" wrapText="1"/>
    </xf>
    <xf numFmtId="0" fontId="27" fillId="56" borderId="0" applyAlignment="1" pivotButton="0" quotePrefix="0" xfId="0">
      <alignment horizontal="left" vertical="center" wrapText="1"/>
    </xf>
    <xf numFmtId="0" fontId="27" fillId="57" borderId="0" applyAlignment="1" pivotButton="0" quotePrefix="0" xfId="0">
      <alignment horizontal="left" vertical="center" wrapText="1"/>
    </xf>
    <xf numFmtId="0" fontId="27" fillId="65" borderId="0" applyAlignment="1" pivotButton="0" quotePrefix="0" xfId="0">
      <alignment horizontal="left" vertical="center" wrapText="1"/>
    </xf>
    <xf numFmtId="0" fontId="18" fillId="33" borderId="0" applyAlignment="1" pivotButton="0" quotePrefix="0" xfId="0">
      <alignment horizontal="left" vertical="center" wrapText="1"/>
    </xf>
    <xf numFmtId="0" fontId="218" fillId="48" borderId="0" applyAlignment="1" pivotButton="0" quotePrefix="0" xfId="0">
      <alignment horizontal="center" vertical="center" wrapText="1"/>
    </xf>
    <xf numFmtId="9" fontId="27" fillId="43" borderId="0" applyAlignment="1" pivotButton="0" quotePrefix="0" xfId="0">
      <alignment horizontal="center" vertical="center" wrapText="1"/>
    </xf>
    <xf numFmtId="0" fontId="27" fillId="28" borderId="0" applyAlignment="1" pivotButton="0" quotePrefix="0" xfId="0">
      <alignment horizontal="center" vertical="center" wrapText="1"/>
    </xf>
    <xf numFmtId="0" fontId="27" fillId="19" borderId="0" applyAlignment="1" pivotButton="0" quotePrefix="0" xfId="0">
      <alignment horizontal="center" vertical="center" wrapText="1"/>
    </xf>
    <xf numFmtId="0" fontId="218" fillId="30" borderId="0" applyAlignment="1" pivotButton="0" quotePrefix="0" xfId="0">
      <alignment horizontal="center" vertical="center" wrapText="1"/>
    </xf>
    <xf numFmtId="0" fontId="17" fillId="40" borderId="0" applyAlignment="1" pivotButton="0" quotePrefix="0" xfId="0">
      <alignment horizontal="left" vertical="center" wrapText="1"/>
    </xf>
    <xf numFmtId="0" fontId="17" fillId="40" borderId="0" applyAlignment="1" pivotButton="0" quotePrefix="0" xfId="0">
      <alignment horizontal="center" vertical="center" wrapText="1"/>
    </xf>
    <xf numFmtId="0" fontId="219" fillId="40" borderId="0" applyAlignment="1" pivotButton="0" quotePrefix="0" xfId="0">
      <alignment horizontal="center" vertical="center" wrapText="1"/>
    </xf>
    <xf numFmtId="0" fontId="17" fillId="38" borderId="0" applyAlignment="1" pivotButton="0" quotePrefix="0" xfId="0">
      <alignment horizontal="left" vertical="center" wrapText="1"/>
    </xf>
    <xf numFmtId="0" fontId="220" fillId="20" borderId="0" applyAlignment="1" pivotButton="0" quotePrefix="0" xfId="0">
      <alignment horizontal="left" vertical="center" wrapText="1"/>
    </xf>
    <xf numFmtId="0" fontId="37" fillId="34" borderId="1" applyAlignment="1" pivotButton="0" quotePrefix="0" xfId="0">
      <alignment horizontal="center" vertical="center"/>
    </xf>
    <xf numFmtId="0" fontId="150" fillId="34" borderId="1" applyAlignment="1" pivotButton="0" quotePrefix="0" xfId="0">
      <alignment horizontal="left" vertical="center" wrapText="1"/>
    </xf>
    <xf numFmtId="0" fontId="221" fillId="34" borderId="1" applyAlignment="1" pivotButton="0" quotePrefix="0" xfId="0">
      <alignment horizontal="center" vertical="center"/>
    </xf>
    <xf numFmtId="0" fontId="222" fillId="34" borderId="0" applyAlignment="1" pivotButton="0" quotePrefix="0" xfId="0">
      <alignment horizontal="left" vertical="center" wrapText="1"/>
    </xf>
    <xf numFmtId="0" fontId="37" fillId="30" borderId="1" applyAlignment="1" pivotButton="0" quotePrefix="0" xfId="0">
      <alignment horizontal="center" vertical="center"/>
    </xf>
    <xf numFmtId="0" fontId="150" fillId="30" borderId="1" applyAlignment="1" pivotButton="0" quotePrefix="0" xfId="0">
      <alignment horizontal="left" vertical="center" wrapText="1"/>
    </xf>
    <xf numFmtId="0" fontId="221" fillId="30" borderId="1" applyAlignment="1" pivotButton="0" quotePrefix="0" xfId="0">
      <alignment horizontal="center" vertical="center"/>
    </xf>
    <xf numFmtId="0" fontId="222" fillId="30" borderId="0" applyAlignment="1" pivotButton="0" quotePrefix="0" xfId="0">
      <alignment horizontal="left" vertical="center" wrapText="1"/>
    </xf>
    <xf numFmtId="0" fontId="115" fillId="34" borderId="1" applyAlignment="1" pivotButton="0" quotePrefix="0" xfId="0">
      <alignment horizontal="center" vertical="center"/>
    </xf>
    <xf numFmtId="0" fontId="223" fillId="34" borderId="1" applyAlignment="1" pivotButton="0" quotePrefix="0" xfId="0">
      <alignment horizontal="center" vertical="center"/>
    </xf>
    <xf numFmtId="0" fontId="223" fillId="30" borderId="1" applyAlignment="1" pivotButton="0" quotePrefix="0" xfId="0">
      <alignment horizontal="center" vertical="center"/>
    </xf>
    <xf numFmtId="0" fontId="26" fillId="56" borderId="0" applyAlignment="1" pivotButton="0" quotePrefix="0" xfId="0">
      <alignment horizontal="left" vertical="center" wrapText="1"/>
    </xf>
    <xf numFmtId="0" fontId="26" fillId="56" borderId="0" applyAlignment="1" pivotButton="0" quotePrefix="0" xfId="0">
      <alignment horizontal="center" vertical="center" wrapText="1"/>
    </xf>
    <xf numFmtId="0" fontId="109" fillId="28" borderId="0" applyAlignment="1" pivotButton="0" quotePrefix="0" xfId="0">
      <alignment horizontal="left" vertical="center" wrapText="1"/>
    </xf>
    <xf numFmtId="0" fontId="27" fillId="23" borderId="0" applyAlignment="1" pivotButton="0" quotePrefix="0" xfId="0">
      <alignment horizontal="center" vertical="center" wrapText="1"/>
    </xf>
    <xf numFmtId="0" fontId="27" fillId="43" borderId="0" applyAlignment="1" pivotButton="0" quotePrefix="0" xfId="0">
      <alignment horizontal="center" vertical="center" wrapText="1"/>
    </xf>
    <xf numFmtId="0" fontId="26" fillId="57" borderId="0" applyAlignment="1" pivotButton="0" quotePrefix="0" xfId="0">
      <alignment horizontal="left" vertical="center" wrapText="1"/>
    </xf>
    <xf numFmtId="0" fontId="26" fillId="57" borderId="0" applyAlignment="1" pivotButton="0" quotePrefix="0" xfId="0">
      <alignment horizontal="center" vertical="center" wrapText="1"/>
    </xf>
    <xf numFmtId="0" fontId="26" fillId="65" borderId="0" applyAlignment="1" pivotButton="0" quotePrefix="0" xfId="0">
      <alignment horizontal="left" vertical="center" wrapText="1"/>
    </xf>
    <xf numFmtId="0" fontId="26" fillId="65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left" vertical="center"/>
    </xf>
    <xf numFmtId="0" fontId="6" fillId="42" borderId="0" applyAlignment="1" pivotButton="0" quotePrefix="0" xfId="0">
      <alignment horizontal="left" vertical="center"/>
    </xf>
    <xf numFmtId="0" fontId="72" fillId="15" borderId="0" applyAlignment="1" pivotButton="0" quotePrefix="0" xfId="0">
      <alignment horizontal="left" vertical="center"/>
    </xf>
    <xf numFmtId="0" fontId="71" fillId="28" borderId="0" applyAlignment="1" pivotButton="0" quotePrefix="0" xfId="0">
      <alignment horizontal="left" vertical="center"/>
    </xf>
    <xf numFmtId="0" fontId="0" fillId="17" borderId="0" applyAlignment="1" pivotButton="0" quotePrefix="0" xfId="0">
      <alignment horizontal="general" vertical="bottom"/>
    </xf>
    <xf numFmtId="164" fontId="0" fillId="17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164" fontId="0" fillId="16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64" fontId="0" fillId="15" borderId="0" applyAlignment="1" pivotButton="0" quotePrefix="0" xfId="0">
      <alignment horizontal="general" vertical="bottom"/>
    </xf>
    <xf numFmtId="0" fontId="71" fillId="19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 wrapText="1"/>
    </xf>
    <xf numFmtId="0" fontId="6" fillId="25" borderId="0" applyAlignment="1" pivotButton="0" quotePrefix="0" xfId="0">
      <alignment horizontal="left" vertical="center"/>
    </xf>
    <xf numFmtId="0" fontId="182" fillId="32" borderId="0" applyAlignment="1" pivotButton="0" quotePrefix="0" xfId="0">
      <alignment horizontal="general" vertical="bottom"/>
    </xf>
    <xf numFmtId="0" fontId="101" fillId="32" borderId="0" applyAlignment="1" pivotButton="0" quotePrefix="0" xfId="0">
      <alignment horizontal="general" vertical="bottom"/>
    </xf>
    <xf numFmtId="0" fontId="225" fillId="2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left" vertical="center"/>
    </xf>
    <xf numFmtId="0" fontId="72" fillId="15" borderId="0" applyAlignment="1" pivotButton="0" quotePrefix="0" xfId="0">
      <alignment horizontal="left" vertical="center" wrapText="1"/>
    </xf>
    <xf numFmtId="0" fontId="72" fillId="16" borderId="0" applyAlignment="1" pivotButton="0" quotePrefix="0" xfId="0">
      <alignment horizontal="left" vertical="center" wrapText="1"/>
    </xf>
    <xf numFmtId="0" fontId="226" fillId="42" borderId="0" applyAlignment="1" pivotButton="0" quotePrefix="0" xfId="0">
      <alignment horizontal="left" vertical="center"/>
    </xf>
    <xf numFmtId="0" fontId="18" fillId="42" borderId="0" applyAlignment="1" pivotButton="0" quotePrefix="0" xfId="0">
      <alignment horizontal="center" vertical="center"/>
    </xf>
    <xf numFmtId="0" fontId="0" fillId="45" borderId="0" applyAlignment="1" pivotButton="0" quotePrefix="0" xfId="0">
      <alignment horizontal="general" vertical="bottom"/>
    </xf>
    <xf numFmtId="0" fontId="100" fillId="25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167" fontId="0" fillId="16" borderId="0" applyAlignment="1" pivotButton="0" quotePrefix="0" xfId="0">
      <alignment horizontal="general" vertical="bottom"/>
    </xf>
    <xf numFmtId="167" fontId="0" fillId="45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17" fillId="14" borderId="0" applyAlignment="1" pivotButton="0" quotePrefix="0" xfId="0">
      <alignment horizontal="general" vertical="bottom"/>
    </xf>
    <xf numFmtId="0" fontId="31" fillId="20" borderId="0" applyAlignment="1" pivotButton="0" quotePrefix="0" xfId="0">
      <alignment horizontal="center" vertical="center"/>
    </xf>
    <xf numFmtId="0" fontId="104" fillId="20" borderId="0" applyAlignment="1" pivotButton="0" quotePrefix="0" xfId="0">
      <alignment horizontal="center" vertical="center"/>
    </xf>
    <xf numFmtId="0" fontId="105" fillId="8" borderId="0" applyAlignment="1" pivotButton="0" quotePrefix="0" xfId="0">
      <alignment horizontal="general" vertical="bottom"/>
    </xf>
    <xf numFmtId="0" fontId="227" fillId="46" borderId="0" applyAlignment="1" pivotButton="0" quotePrefix="0" xfId="0">
      <alignment horizontal="left" vertical="center"/>
    </xf>
    <xf numFmtId="0" fontId="0" fillId="66" borderId="0" applyAlignment="1" pivotButton="0" quotePrefix="0" xfId="0">
      <alignment horizontal="general" vertical="bottom"/>
    </xf>
    <xf numFmtId="0" fontId="72" fillId="66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general" vertical="bottom"/>
    </xf>
    <xf numFmtId="0" fontId="6" fillId="46" borderId="0" applyAlignment="1" pivotButton="0" quotePrefix="0" xfId="0">
      <alignment horizontal="left" vertical="center"/>
    </xf>
    <xf numFmtId="0" fontId="0" fillId="29" borderId="0" applyAlignment="1" pivotButton="0" quotePrefix="0" xfId="0">
      <alignment horizontal="general" vertical="bottom"/>
    </xf>
    <xf numFmtId="176" fontId="0" fillId="29" borderId="0" applyAlignment="1" pivotButton="0" quotePrefix="0" xfId="0">
      <alignment horizontal="general" vertical="bottom"/>
    </xf>
    <xf numFmtId="0" fontId="72" fillId="29" borderId="0" applyAlignment="1" pivotButton="0" quotePrefix="0" xfId="0">
      <alignment horizontal="left" vertical="center" wrapText="1"/>
    </xf>
    <xf numFmtId="176" fontId="0" fillId="19" borderId="0" applyAlignment="1" pivotButton="0" quotePrefix="0" xfId="0">
      <alignment horizontal="general" vertical="bottom"/>
    </xf>
    <xf numFmtId="165" fontId="0" fillId="29" borderId="0" applyAlignment="1" pivotButton="0" quotePrefix="0" xfId="0">
      <alignment horizontal="general" vertical="bottom"/>
    </xf>
    <xf numFmtId="0" fontId="51" fillId="15" borderId="0" applyAlignment="1" pivotButton="0" quotePrefix="0" xfId="0">
      <alignment horizontal="left" vertical="center" wrapText="1"/>
    </xf>
    <xf numFmtId="0" fontId="26" fillId="28" borderId="0" applyAlignment="1" pivotButton="0" quotePrefix="0" xfId="0">
      <alignment horizontal="left" vertical="center" wrapText="1"/>
    </xf>
    <xf numFmtId="0" fontId="228" fillId="28" borderId="0" applyAlignment="1" pivotButton="0" quotePrefix="0" xfId="0">
      <alignment horizontal="left" vertical="center" wrapText="1"/>
    </xf>
    <xf numFmtId="0" fontId="229" fillId="28" borderId="0" applyAlignment="1" pivotButton="0" quotePrefix="0" xfId="0">
      <alignment horizontal="left" vertical="center" wrapText="1"/>
    </xf>
    <xf numFmtId="0" fontId="26" fillId="55" borderId="0" applyAlignment="1" pivotButton="0" quotePrefix="0" xfId="0">
      <alignment horizontal="left" vertical="center" wrapText="1"/>
    </xf>
    <xf numFmtId="0" fontId="230" fillId="55" borderId="0" applyAlignment="1" pivotButton="0" quotePrefix="0" xfId="0">
      <alignment horizontal="left" vertical="center" wrapText="1"/>
    </xf>
    <xf numFmtId="0" fontId="229" fillId="55" borderId="0" applyAlignment="1" pivotButton="0" quotePrefix="0" xfId="0">
      <alignment horizontal="left" vertical="center" wrapText="1"/>
    </xf>
    <xf numFmtId="0" fontId="100" fillId="21" borderId="0" applyAlignment="1" pivotButton="0" quotePrefix="0" xfId="0">
      <alignment horizontal="left" vertical="center"/>
    </xf>
    <xf numFmtId="0" fontId="71" fillId="19" borderId="0" applyAlignment="1" pivotButton="0" quotePrefix="0" xfId="0">
      <alignment horizontal="left" vertical="center"/>
    </xf>
    <xf numFmtId="10" fontId="0" fillId="15" borderId="0" applyAlignment="1" pivotButton="0" quotePrefix="0" xfId="0">
      <alignment horizontal="general" vertical="bottom"/>
    </xf>
    <xf numFmtId="10" fontId="0" fillId="16" borderId="0" applyAlignment="1" pivotButton="0" quotePrefix="0" xfId="0">
      <alignment horizontal="general" vertical="bottom"/>
    </xf>
    <xf numFmtId="0" fontId="72" fillId="16" borderId="0" applyAlignment="1" pivotButton="0" quotePrefix="0" xfId="0">
      <alignment horizontal="left" vertical="center"/>
    </xf>
    <xf numFmtId="164" fontId="0" fillId="42" borderId="0" applyAlignment="1" pivotButton="0" quotePrefix="0" xfId="0">
      <alignment horizontal="general" vertical="bottom"/>
    </xf>
    <xf numFmtId="164" fontId="0" fillId="19" borderId="0" applyAlignment="1" pivotButton="0" quotePrefix="0" xfId="0">
      <alignment horizontal="general" vertical="bottom"/>
    </xf>
    <xf numFmtId="0" fontId="31" fillId="0" borderId="0" applyAlignment="1" pivotButton="0" quotePrefix="0" xfId="0">
      <alignment horizontal="general" vertical="bottom"/>
    </xf>
    <xf numFmtId="0" fontId="102" fillId="17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general" vertical="bottom"/>
    </xf>
    <xf numFmtId="0" fontId="100" fillId="46" borderId="0" applyAlignment="1" pivotButton="0" quotePrefix="0" xfId="0">
      <alignment horizontal="left" vertical="center"/>
    </xf>
    <xf numFmtId="0" fontId="231" fillId="0" borderId="0" applyAlignment="1" pivotButton="0" quotePrefix="0" xfId="0">
      <alignment horizontal="left" vertical="center" wrapText="1"/>
    </xf>
    <xf numFmtId="0" fontId="31" fillId="15" borderId="0" applyAlignment="1" pivotButton="0" quotePrefix="0" xfId="0">
      <alignment horizontal="center" vertical="center"/>
    </xf>
    <xf numFmtId="0" fontId="104" fillId="15" borderId="0" applyAlignment="1" pivotButton="0" quotePrefix="0" xfId="0">
      <alignment horizontal="center" vertical="center"/>
    </xf>
    <xf numFmtId="0" fontId="31" fillId="16" borderId="0" applyAlignment="1" pivotButton="0" quotePrefix="0" xfId="0">
      <alignment horizontal="center" vertical="center"/>
    </xf>
    <xf numFmtId="0" fontId="104" fillId="16" borderId="0" applyAlignment="1" pivotButton="0" quotePrefix="0" xfId="0">
      <alignment horizontal="center" vertical="center"/>
    </xf>
    <xf numFmtId="49" fontId="89" fillId="28" borderId="2" applyAlignment="1" pivotButton="0" quotePrefix="0" xfId="0">
      <alignment horizontal="right" vertical="center"/>
    </xf>
    <xf numFmtId="0" fontId="15" fillId="21" borderId="2" applyAlignment="1" pivotButton="0" quotePrefix="0" xfId="0">
      <alignment horizontal="left" vertical="center" wrapText="1"/>
    </xf>
    <xf numFmtId="0" fontId="0" fillId="21" borderId="2" applyAlignment="1" pivotButton="0" quotePrefix="0" xfId="0">
      <alignment horizontal="general" vertical="bottom"/>
    </xf>
    <xf numFmtId="0" fontId="70" fillId="21" borderId="2" applyAlignment="1" pivotButton="0" quotePrefix="0" xfId="0">
      <alignment horizontal="center" vertical="center" wrapText="1"/>
    </xf>
    <xf numFmtId="0" fontId="85" fillId="67" borderId="2" applyAlignment="1" pivotButton="0" quotePrefix="0" xfId="0">
      <alignment horizontal="left" vertical="center" wrapText="1"/>
    </xf>
    <xf numFmtId="0" fontId="91" fillId="67" borderId="2" applyAlignment="1" pivotButton="0" quotePrefix="0" xfId="0">
      <alignment horizontal="center" vertical="center" wrapText="1"/>
    </xf>
    <xf numFmtId="164" fontId="95" fillId="44" borderId="2" applyAlignment="1" pivotButton="0" quotePrefix="0" xfId="0">
      <alignment horizontal="right" vertical="center"/>
    </xf>
    <xf numFmtId="0" fontId="91" fillId="42" borderId="2" applyAlignment="1" pivotButton="0" quotePrefix="0" xfId="0">
      <alignment horizontal="center" vertical="center" wrapText="1"/>
    </xf>
    <xf numFmtId="164" fontId="70" fillId="42" borderId="2" applyAlignment="1" pivotButton="0" quotePrefix="0" xfId="0">
      <alignment horizontal="right" vertical="center"/>
    </xf>
    <xf numFmtId="0" fontId="232" fillId="44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233" fillId="30" borderId="0" applyAlignment="1" pivotButton="0" quotePrefix="0" xfId="0">
      <alignment horizontal="left" vertical="center"/>
    </xf>
    <xf numFmtId="0" fontId="234" fillId="0" borderId="0" applyAlignment="1" pivotButton="0" quotePrefix="0" xfId="0">
      <alignment horizontal="left" vertical="center"/>
    </xf>
    <xf numFmtId="0" fontId="170" fillId="46" borderId="0" applyAlignment="1" pivotButton="0" quotePrefix="0" xfId="0">
      <alignment horizontal="general" vertical="bottom"/>
    </xf>
    <xf numFmtId="0" fontId="47" fillId="46" borderId="0" applyAlignment="1" pivotButton="0" quotePrefix="0" xfId="0">
      <alignment horizontal="center" vertical="center" wrapText="1"/>
    </xf>
    <xf numFmtId="0" fontId="177" fillId="30" borderId="0" applyAlignment="1" pivotButton="0" quotePrefix="0" xfId="0">
      <alignment horizontal="left" vertical="center" wrapText="1"/>
    </xf>
    <xf numFmtId="0" fontId="177" fillId="63" borderId="0" applyAlignment="1" pivotButton="0" quotePrefix="0" xfId="0">
      <alignment horizontal="left" vertical="center" wrapText="1"/>
    </xf>
    <xf numFmtId="0" fontId="18" fillId="46" borderId="0" applyAlignment="1" pivotButton="0" quotePrefix="0" xfId="0">
      <alignment horizontal="left" vertical="center"/>
    </xf>
    <xf numFmtId="164" fontId="18" fillId="46" borderId="0" applyAlignment="1" pivotButton="0" quotePrefix="0" xfId="0">
      <alignment horizontal="center" vertical="center"/>
    </xf>
    <xf numFmtId="165" fontId="18" fillId="46" borderId="0" applyAlignment="1" pivotButton="0" quotePrefix="0" xfId="0">
      <alignment horizontal="center" vertical="center"/>
    </xf>
    <xf numFmtId="0" fontId="234" fillId="14" borderId="0" applyAlignment="1" pivotButton="0" quotePrefix="0" xfId="0">
      <alignment horizontal="left" vertical="center"/>
    </xf>
    <xf numFmtId="0" fontId="177" fillId="63" borderId="0" applyAlignment="1" pivotButton="0" quotePrefix="0" xfId="0">
      <alignment horizontal="center" vertical="center" wrapText="1"/>
    </xf>
    <xf numFmtId="0" fontId="31" fillId="15" borderId="0" applyAlignment="1" pivotButton="0" quotePrefix="0" xfId="0">
      <alignment horizontal="general" vertical="bottom"/>
    </xf>
    <xf numFmtId="0" fontId="104" fillId="15" borderId="0" applyAlignment="1" pivotButton="0" quotePrefix="0" xfId="0">
      <alignment horizontal="general" vertical="bottom"/>
    </xf>
    <xf numFmtId="0" fontId="235" fillId="15" borderId="0" applyAlignment="1" pivotButton="0" quotePrefix="0" xfId="0">
      <alignment horizontal="general" vertical="bottom"/>
    </xf>
    <xf numFmtId="0" fontId="31" fillId="32" borderId="0" applyAlignment="1" pivotButton="0" quotePrefix="0" xfId="0">
      <alignment horizontal="general" vertical="bottom"/>
    </xf>
    <xf numFmtId="0" fontId="104" fillId="32" borderId="0" applyAlignment="1" pivotButton="0" quotePrefix="0" xfId="0">
      <alignment horizontal="general" vertical="bottom"/>
    </xf>
    <xf numFmtId="0" fontId="182" fillId="32" borderId="0" applyAlignment="1" pivotButton="0" quotePrefix="0" xfId="0">
      <alignment horizontal="center" vertical="center"/>
    </xf>
    <xf numFmtId="0" fontId="235" fillId="32" borderId="0" applyAlignment="1" pivotButton="0" quotePrefix="0" xfId="0">
      <alignment horizontal="general" vertical="bottom"/>
    </xf>
    <xf numFmtId="0" fontId="100" fillId="42" borderId="0" applyAlignment="1" pivotButton="0" quotePrefix="0" xfId="0">
      <alignment horizontal="left" vertical="center"/>
    </xf>
    <xf numFmtId="0" fontId="236" fillId="18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47" fillId="40" borderId="0" applyAlignment="1" pivotButton="0" quotePrefix="0" xfId="0">
      <alignment horizontal="center" vertical="center"/>
    </xf>
    <xf numFmtId="0" fontId="237" fillId="30" borderId="0" applyAlignment="1" pivotButton="0" quotePrefix="0" xfId="0">
      <alignment horizontal="left" vertical="center"/>
    </xf>
    <xf numFmtId="0" fontId="238" fillId="30" borderId="0" applyAlignment="1" pivotButton="0" quotePrefix="0" xfId="0">
      <alignment horizontal="right" vertical="center"/>
    </xf>
    <xf numFmtId="0" fontId="239" fillId="30" borderId="0" applyAlignment="1" pivotButton="0" quotePrefix="0" xfId="0">
      <alignment horizontal="right" vertical="center"/>
    </xf>
    <xf numFmtId="0" fontId="240" fillId="30" borderId="0" applyAlignment="1" pivotButton="0" quotePrefix="0" xfId="0">
      <alignment horizontal="right" vertical="center"/>
    </xf>
    <xf numFmtId="0" fontId="237" fillId="24" borderId="0" applyAlignment="1" pivotButton="0" quotePrefix="0" xfId="0">
      <alignment horizontal="left" vertical="center"/>
    </xf>
    <xf numFmtId="164" fontId="238" fillId="24" borderId="0" applyAlignment="1" pivotButton="0" quotePrefix="0" xfId="0">
      <alignment horizontal="right" vertical="center"/>
    </xf>
    <xf numFmtId="0" fontId="239" fillId="24" borderId="0" applyAlignment="1" pivotButton="0" quotePrefix="0" xfId="0">
      <alignment horizontal="right" vertical="center"/>
    </xf>
    <xf numFmtId="0" fontId="240" fillId="24" borderId="0" applyAlignment="1" pivotButton="0" quotePrefix="0" xfId="0">
      <alignment horizontal="right" vertical="center"/>
    </xf>
    <xf numFmtId="164" fontId="238" fillId="30" borderId="0" applyAlignment="1" pivotButton="0" quotePrefix="0" xfId="0">
      <alignment horizontal="right" vertical="center"/>
    </xf>
    <xf numFmtId="165" fontId="238" fillId="24" borderId="0" applyAlignment="1" pivotButton="0" quotePrefix="0" xfId="0">
      <alignment horizontal="right" vertical="center"/>
    </xf>
    <xf numFmtId="165" fontId="238" fillId="30" borderId="0" applyAlignment="1" pivotButton="0" quotePrefix="0" xfId="0">
      <alignment horizontal="right" vertical="center"/>
    </xf>
    <xf numFmtId="0" fontId="238" fillId="24" borderId="0" applyAlignment="1" pivotButton="0" quotePrefix="0" xfId="0">
      <alignment horizontal="right" vertical="center"/>
    </xf>
    <xf numFmtId="164" fontId="239" fillId="30" borderId="0" applyAlignment="1" pivotButton="0" quotePrefix="0" xfId="0">
      <alignment horizontal="right" vertical="center"/>
    </xf>
    <xf numFmtId="0" fontId="6" fillId="30" borderId="0" applyAlignment="1" pivotButton="0" quotePrefix="0" xfId="0">
      <alignment horizontal="left" vertical="center"/>
    </xf>
    <xf numFmtId="0" fontId="17" fillId="24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right" vertical="center"/>
    </xf>
    <xf numFmtId="164" fontId="20" fillId="30" borderId="0" applyAlignment="1" pivotButton="0" quotePrefix="0" xfId="0">
      <alignment horizontal="right" vertical="center"/>
    </xf>
    <xf numFmtId="0" fontId="20" fillId="24" borderId="0" applyAlignment="1" pivotButton="0" quotePrefix="0" xfId="0">
      <alignment horizontal="left" vertical="center"/>
    </xf>
    <xf numFmtId="0" fontId="20" fillId="24" borderId="0" applyAlignment="1" pivotButton="0" quotePrefix="0" xfId="0">
      <alignment horizontal="right" vertical="center"/>
    </xf>
    <xf numFmtId="164" fontId="20" fillId="24" borderId="0" applyAlignment="1" pivotButton="0" quotePrefix="0" xfId="0">
      <alignment horizontal="right" vertical="center"/>
    </xf>
    <xf numFmtId="0" fontId="237" fillId="30" borderId="0" applyAlignment="1" pivotButton="0" quotePrefix="0" xfId="0">
      <alignment horizontal="right" vertical="center"/>
    </xf>
    <xf numFmtId="164" fontId="237" fillId="30" borderId="0" applyAlignment="1" pivotButton="0" quotePrefix="0" xfId="0">
      <alignment horizontal="right" vertical="center"/>
    </xf>
    <xf numFmtId="164" fontId="241" fillId="30" borderId="0" applyAlignment="1" pivotButton="0" quotePrefix="0" xfId="0">
      <alignment horizontal="right" vertical="center"/>
    </xf>
    <xf numFmtId="0" fontId="20" fillId="39" borderId="0" applyAlignment="1" pivotButton="0" quotePrefix="0" xfId="0">
      <alignment horizontal="general" vertical="bottom"/>
    </xf>
    <xf numFmtId="0" fontId="170" fillId="39" borderId="0" applyAlignment="1" pivotButton="0" quotePrefix="0" xfId="0">
      <alignment horizontal="general" vertical="bottom"/>
    </xf>
    <xf numFmtId="0" fontId="233" fillId="24" borderId="0" applyAlignment="1" pivotButton="0" quotePrefix="0" xfId="0">
      <alignment horizontal="left" vertical="center"/>
    </xf>
    <xf numFmtId="0" fontId="20" fillId="30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left" vertical="center"/>
    </xf>
    <xf numFmtId="0" fontId="242" fillId="44" borderId="0" applyAlignment="1" pivotButton="0" quotePrefix="0" xfId="0">
      <alignment horizontal="left" vertical="center"/>
    </xf>
    <xf numFmtId="0" fontId="242" fillId="44" borderId="0" applyAlignment="1" pivotButton="0" quotePrefix="0" xfId="0">
      <alignment horizontal="general" vertical="bottom"/>
    </xf>
    <xf numFmtId="0" fontId="176" fillId="30" borderId="0" applyAlignment="1" pivotButton="0" quotePrefix="0" xfId="0">
      <alignment horizontal="right" vertical="center"/>
    </xf>
    <xf numFmtId="0" fontId="177" fillId="30" borderId="0" applyAlignment="1" pivotButton="0" quotePrefix="0" xfId="0">
      <alignment horizontal="right" vertical="center"/>
    </xf>
    <xf numFmtId="0" fontId="176" fillId="24" borderId="0" applyAlignment="1" pivotButton="0" quotePrefix="0" xfId="0">
      <alignment horizontal="right" vertical="center"/>
    </xf>
    <xf numFmtId="164" fontId="177" fillId="24" borderId="0" applyAlignment="1" pivotButton="0" quotePrefix="0" xfId="0">
      <alignment horizontal="right" vertical="center"/>
    </xf>
    <xf numFmtId="164" fontId="177" fillId="30" borderId="0" applyAlignment="1" pivotButton="0" quotePrefix="0" xfId="0">
      <alignment horizontal="right" vertical="center"/>
    </xf>
    <xf numFmtId="165" fontId="177" fillId="24" borderId="0" applyAlignment="1" pivotButton="0" quotePrefix="0" xfId="0">
      <alignment horizontal="right" vertical="center"/>
    </xf>
    <xf numFmtId="165" fontId="177" fillId="30" borderId="0" applyAlignment="1" pivotButton="0" quotePrefix="0" xfId="0">
      <alignment horizontal="right" vertical="center"/>
    </xf>
    <xf numFmtId="0" fontId="20" fillId="30" borderId="0" applyAlignment="1" pivotButton="0" quotePrefix="0" xfId="0">
      <alignment horizontal="center" vertical="center"/>
    </xf>
    <xf numFmtId="0" fontId="20" fillId="30" borderId="0" applyAlignment="1" pivotButton="0" quotePrefix="0" xfId="0">
      <alignment horizontal="left" vertical="center" wrapText="1"/>
    </xf>
    <xf numFmtId="164" fontId="20" fillId="30" borderId="0" applyAlignment="1" pivotButton="0" quotePrefix="0" xfId="0">
      <alignment horizontal="center" vertical="center"/>
    </xf>
    <xf numFmtId="164" fontId="20" fillId="30" borderId="0" applyAlignment="1" pivotButton="0" quotePrefix="0" xfId="0">
      <alignment horizontal="left" vertical="center" wrapText="1"/>
    </xf>
    <xf numFmtId="0" fontId="234" fillId="30" borderId="0" applyAlignment="1" pivotButton="0" quotePrefix="0" xfId="0">
      <alignment horizontal="left" vertical="center"/>
    </xf>
    <xf numFmtId="0" fontId="177" fillId="24" borderId="0" applyAlignment="1" pivotButton="0" quotePrefix="0" xfId="0">
      <alignment horizontal="right" vertical="center"/>
    </xf>
    <xf numFmtId="164" fontId="177" fillId="24" borderId="0" applyAlignment="1" pivotButton="0" quotePrefix="0" xfId="0">
      <alignment horizontal="right" vertical="center" wrapText="1"/>
    </xf>
    <xf numFmtId="0" fontId="177" fillId="24" borderId="0" applyAlignment="1" pivotButton="0" quotePrefix="0" xfId="0">
      <alignment horizontal="right" vertical="center" wrapText="1"/>
    </xf>
    <xf numFmtId="164" fontId="18" fillId="24" borderId="0" applyAlignment="1" pivotButton="0" quotePrefix="0" xfId="0">
      <alignment horizontal="right" vertical="center"/>
    </xf>
    <xf numFmtId="0" fontId="18" fillId="24" borderId="0" applyAlignment="1" pivotButton="0" quotePrefix="0" xfId="0">
      <alignment horizontal="right" vertical="center"/>
    </xf>
    <xf numFmtId="0" fontId="18" fillId="24" borderId="0" applyAlignment="1" pivotButton="0" quotePrefix="0" xfId="0">
      <alignment horizontal="right" vertical="center" wrapText="1"/>
    </xf>
    <xf numFmtId="164" fontId="72" fillId="30" borderId="0" applyAlignment="1" pivotButton="0" quotePrefix="0" xfId="0">
      <alignment horizontal="right" vertical="center"/>
    </xf>
    <xf numFmtId="0" fontId="28" fillId="30" borderId="0" applyAlignment="1" pivotButton="0" quotePrefix="0" xfId="0">
      <alignment horizontal="right" vertical="center"/>
    </xf>
    <xf numFmtId="0" fontId="234" fillId="24" borderId="0" applyAlignment="1" pivotButton="0" quotePrefix="0" xfId="0">
      <alignment horizontal="left" vertical="center"/>
    </xf>
    <xf numFmtId="0" fontId="211" fillId="30" borderId="0" applyAlignment="1" pivotButton="0" quotePrefix="0" xfId="0">
      <alignment horizontal="right" vertical="center"/>
    </xf>
    <xf numFmtId="164" fontId="177" fillId="40" borderId="0" applyAlignment="1" pivotButton="0" quotePrefix="0" xfId="0">
      <alignment horizontal="center" vertical="center"/>
    </xf>
    <xf numFmtId="0" fontId="182" fillId="24" borderId="0" applyAlignment="1" pivotButton="0" quotePrefix="0" xfId="0">
      <alignment horizontal="right" vertical="center"/>
    </xf>
    <xf numFmtId="164" fontId="48" fillId="24" borderId="0" applyAlignment="1" pivotButton="0" quotePrefix="0" xfId="0">
      <alignment horizontal="right" vertical="center"/>
    </xf>
    <xf numFmtId="164" fontId="243" fillId="24" borderId="0" applyAlignment="1" pivotButton="0" quotePrefix="0" xfId="0">
      <alignment horizontal="right" vertical="center"/>
    </xf>
    <xf numFmtId="164" fontId="101" fillId="24" borderId="0" applyAlignment="1" pivotButton="0" quotePrefix="0" xfId="0">
      <alignment horizontal="right" vertical="center"/>
    </xf>
    <xf numFmtId="164" fontId="184" fillId="24" borderId="0" applyAlignment="1" pivotButton="0" quotePrefix="0" xfId="0">
      <alignment horizontal="right" vertical="center"/>
    </xf>
    <xf numFmtId="164" fontId="177" fillId="32" borderId="0" applyAlignment="1" pivotButton="0" quotePrefix="0" xfId="0">
      <alignment horizontal="center" vertical="center"/>
    </xf>
    <xf numFmtId="0" fontId="244" fillId="30" borderId="0" applyAlignment="1" pivotButton="0" quotePrefix="0" xfId="0">
      <alignment horizontal="right" vertical="center"/>
    </xf>
    <xf numFmtId="164" fontId="245" fillId="30" borderId="0" applyAlignment="1" pivotButton="0" quotePrefix="0" xfId="0">
      <alignment horizontal="right" vertical="center"/>
    </xf>
    <xf numFmtId="164" fontId="243" fillId="30" borderId="0" applyAlignment="1" pivotButton="0" quotePrefix="0" xfId="0">
      <alignment horizontal="right" vertical="center"/>
    </xf>
    <xf numFmtId="164" fontId="183" fillId="30" borderId="0" applyAlignment="1" pivotButton="0" quotePrefix="0" xfId="0">
      <alignment horizontal="right" vertical="center"/>
    </xf>
    <xf numFmtId="164" fontId="246" fillId="30" borderId="0" applyAlignment="1" pivotButton="0" quotePrefix="0" xfId="0">
      <alignment horizontal="right" vertical="center"/>
    </xf>
    <xf numFmtId="0" fontId="197" fillId="24" borderId="0" applyAlignment="1" pivotButton="0" quotePrefix="0" xfId="0">
      <alignment horizontal="right" vertical="center"/>
    </xf>
    <xf numFmtId="164" fontId="247" fillId="24" borderId="0" applyAlignment="1" pivotButton="0" quotePrefix="0" xfId="0">
      <alignment horizontal="right" vertical="center"/>
    </xf>
    <xf numFmtId="164" fontId="174" fillId="24" borderId="0" applyAlignment="1" pivotButton="0" quotePrefix="0" xfId="0">
      <alignment horizontal="right" vertical="center"/>
    </xf>
    <xf numFmtId="164" fontId="198" fillId="24" borderId="0" applyAlignment="1" pivotButton="0" quotePrefix="0" xfId="0">
      <alignment horizontal="right" vertical="center"/>
    </xf>
    <xf numFmtId="164" fontId="177" fillId="61" borderId="0" applyAlignment="1" pivotButton="0" quotePrefix="0" xfId="0">
      <alignment horizontal="center" vertical="center"/>
    </xf>
    <xf numFmtId="0" fontId="160" fillId="14" borderId="0" applyAlignment="1" pivotButton="0" quotePrefix="0" xfId="0">
      <alignment horizontal="left" vertical="center" wrapText="1"/>
    </xf>
    <xf numFmtId="164" fontId="177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general" vertical="bottom"/>
    </xf>
    <xf numFmtId="0" fontId="99" fillId="40" borderId="0" applyAlignment="1" pivotButton="0" quotePrefix="0" xfId="0">
      <alignment horizontal="left" vertical="center" wrapText="1"/>
    </xf>
    <xf numFmtId="164" fontId="6" fillId="40" borderId="0" applyAlignment="1" pivotButton="0" quotePrefix="0" xfId="0">
      <alignment horizontal="center" vertical="center"/>
    </xf>
    <xf numFmtId="0" fontId="248" fillId="0" borderId="0" applyAlignment="1" pivotButton="0" quotePrefix="0" xfId="0">
      <alignment horizontal="left" vertical="center"/>
    </xf>
    <xf numFmtId="164" fontId="249" fillId="0" borderId="0" applyAlignment="1" pivotButton="0" quotePrefix="0" xfId="0">
      <alignment horizontal="center" vertical="center"/>
    </xf>
    <xf numFmtId="164" fontId="100" fillId="0" borderId="0" applyAlignment="1" pivotButton="0" quotePrefix="0" xfId="0">
      <alignment horizontal="center" vertical="center"/>
    </xf>
    <xf numFmtId="0" fontId="250" fillId="0" borderId="0" applyAlignment="1" pivotButton="0" quotePrefix="0" xfId="0">
      <alignment horizontal="left" vertical="center"/>
    </xf>
    <xf numFmtId="0" fontId="99" fillId="3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70" fillId="42" borderId="0" applyAlignment="1" pivotButton="0" quotePrefix="0" xfId="0">
      <alignment horizontal="left" vertical="center" wrapText="1"/>
    </xf>
    <xf numFmtId="0" fontId="47" fillId="42" borderId="12" applyAlignment="1" pivotButton="0" quotePrefix="0" xfId="0">
      <alignment horizontal="center" vertical="center" wrapText="1"/>
    </xf>
    <xf numFmtId="0" fontId="20" fillId="42" borderId="12" applyAlignment="1" pivotButton="0" quotePrefix="0" xfId="0">
      <alignment horizontal="general" vertical="bottom"/>
    </xf>
    <xf numFmtId="0" fontId="84" fillId="33" borderId="0" applyAlignment="1" pivotButton="0" quotePrefix="0" xfId="0">
      <alignment horizontal="left" vertical="center" wrapText="1"/>
    </xf>
    <xf numFmtId="164" fontId="86" fillId="33" borderId="0" applyAlignment="1" pivotButton="0" quotePrefix="0" xfId="0">
      <alignment horizontal="center" vertical="center" wrapText="1"/>
    </xf>
    <xf numFmtId="0" fontId="87" fillId="33" borderId="0" applyAlignment="1" pivotButton="0" quotePrefix="0" xfId="0">
      <alignment horizontal="left" vertical="center" wrapText="1"/>
    </xf>
    <xf numFmtId="0" fontId="20" fillId="33" borderId="0" applyAlignment="1" pivotButton="0" quotePrefix="0" xfId="0">
      <alignment horizontal="general" vertical="bottom"/>
    </xf>
    <xf numFmtId="0" fontId="84" fillId="0" borderId="0" applyAlignment="1" pivotButton="0" quotePrefix="0" xfId="0">
      <alignment horizontal="left" vertical="center" wrapText="1"/>
    </xf>
    <xf numFmtId="164" fontId="89" fillId="28" borderId="0" applyAlignment="1" pivotButton="0" quotePrefix="0" xfId="0">
      <alignment horizontal="center" vertical="center" wrapText="1"/>
    </xf>
    <xf numFmtId="0" fontId="87" fillId="30" borderId="0" applyAlignment="1" pivotButton="0" quotePrefix="0" xfId="0">
      <alignment horizontal="left" vertical="center" wrapText="1"/>
    </xf>
    <xf numFmtId="0" fontId="85" fillId="0" borderId="0" applyAlignment="1" pivotButton="0" quotePrefix="0" xfId="0">
      <alignment horizontal="left" vertical="center" wrapText="1"/>
    </xf>
    <xf numFmtId="0" fontId="251" fillId="0" borderId="0" applyAlignment="1" pivotButton="0" quotePrefix="0" xfId="0">
      <alignment horizontal="center" vertical="center" wrapText="1"/>
    </xf>
    <xf numFmtId="164" fontId="70" fillId="46" borderId="2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general" vertical="bottom"/>
    </xf>
    <xf numFmtId="0" fontId="84" fillId="44" borderId="2" applyAlignment="1" pivotButton="0" quotePrefix="0" xfId="0">
      <alignment horizontal="center" vertical="center" wrapText="1"/>
    </xf>
    <xf numFmtId="165" fontId="89" fillId="44" borderId="2" applyAlignment="1" pivotButton="0" quotePrefix="0" xfId="0">
      <alignment horizontal="center" vertical="center" wrapText="1"/>
    </xf>
    <xf numFmtId="165" fontId="86" fillId="30" borderId="2" applyAlignment="1" pivotButton="0" quotePrefix="0" xfId="0">
      <alignment horizontal="center" vertical="center" wrapText="1"/>
    </xf>
    <xf numFmtId="165" fontId="86" fillId="44" borderId="2" applyAlignment="1" pivotButton="0" quotePrefix="0" xfId="0">
      <alignment horizontal="center" vertical="center" wrapText="1"/>
    </xf>
    <xf numFmtId="0" fontId="87" fillId="3" borderId="0" applyAlignment="1" pivotButton="0" quotePrefix="0" xfId="0">
      <alignment horizontal="left" vertical="center" wrapText="1"/>
    </xf>
    <xf numFmtId="10" fontId="85" fillId="4" borderId="2" applyAlignment="1" pivotButton="0" quotePrefix="0" xfId="0">
      <alignment horizontal="left" vertical="center" wrapText="1"/>
    </xf>
    <xf numFmtId="164" fontId="87" fillId="8" borderId="0" applyAlignment="1" pivotButton="0" quotePrefix="0" xfId="0">
      <alignment horizontal="left" vertical="center" wrapText="1"/>
    </xf>
    <xf numFmtId="1" fontId="89" fillId="44" borderId="2" applyAlignment="1" pivotButton="0" quotePrefix="0" xfId="0">
      <alignment horizontal="center" vertical="center" wrapText="1"/>
    </xf>
    <xf numFmtId="164" fontId="86" fillId="44" borderId="2" applyAlignment="1" pivotButton="0" quotePrefix="0" xfId="0">
      <alignment horizontal="center" vertical="center" wrapText="1"/>
    </xf>
    <xf numFmtId="164" fontId="89" fillId="44" borderId="2" applyAlignment="1" pivotButton="0" quotePrefix="0" xfId="0">
      <alignment horizontal="center" vertical="center" wrapText="1"/>
    </xf>
    <xf numFmtId="164" fontId="87" fillId="43" borderId="0" applyAlignment="1" pivotButton="0" quotePrefix="0" xfId="0">
      <alignment horizontal="left" vertical="center" wrapText="1"/>
    </xf>
    <xf numFmtId="164" fontId="86" fillId="30" borderId="2" applyAlignment="1" pivotButton="0" quotePrefix="0" xfId="0">
      <alignment horizontal="center" vertical="center" wrapText="1"/>
    </xf>
    <xf numFmtId="0" fontId="85" fillId="30" borderId="0" applyAlignment="1" pivotButton="0" quotePrefix="0" xfId="0">
      <alignment horizontal="left" vertical="center" wrapText="1"/>
    </xf>
    <xf numFmtId="0" fontId="84" fillId="30" borderId="0" applyAlignment="1" pivotButton="0" quotePrefix="0" xfId="0">
      <alignment horizontal="left" vertical="center" wrapText="1"/>
    </xf>
    <xf numFmtId="0" fontId="252" fillId="44" borderId="0" applyAlignment="1" pivotButton="0" quotePrefix="0" xfId="0">
      <alignment horizontal="left" vertical="center" wrapText="1"/>
    </xf>
    <xf numFmtId="0" fontId="70" fillId="36" borderId="0" applyAlignment="1" pivotButton="0" quotePrefix="0" xfId="0">
      <alignment horizontal="center" vertical="center" wrapText="1"/>
    </xf>
    <xf numFmtId="0" fontId="20" fillId="36" borderId="0" applyAlignment="1" pivotButton="0" quotePrefix="0" xfId="0">
      <alignment horizontal="general" vertical="bottom"/>
    </xf>
    <xf numFmtId="0" fontId="70" fillId="40" borderId="0" applyAlignment="1" pivotButton="0" quotePrefix="0" xfId="0">
      <alignment horizontal="center" vertical="center" wrapText="1"/>
    </xf>
    <xf numFmtId="0" fontId="20" fillId="40" borderId="0" applyAlignment="1" pivotButton="0" quotePrefix="0" xfId="0">
      <alignment horizontal="general" vertical="bottom"/>
    </xf>
    <xf numFmtId="0" fontId="70" fillId="14" borderId="0" applyAlignment="1" pivotButton="0" quotePrefix="0" xfId="0">
      <alignment horizontal="center" vertical="center" wrapText="1"/>
    </xf>
    <xf numFmtId="0" fontId="70" fillId="42" borderId="12" applyAlignment="1" pivotButton="0" quotePrefix="0" xfId="0">
      <alignment horizontal="center" vertical="center" wrapText="1"/>
    </xf>
    <xf numFmtId="164" fontId="85" fillId="4" borderId="12" applyAlignment="1" pivotButton="0" quotePrefix="0" xfId="0">
      <alignment horizontal="center" vertical="center" wrapText="1"/>
    </xf>
    <xf numFmtId="1" fontId="91" fillId="4" borderId="12" applyAlignment="1" pivotButton="0" quotePrefix="0" xfId="0">
      <alignment horizontal="center" vertical="center" wrapText="1"/>
    </xf>
    <xf numFmtId="164" fontId="253" fillId="30" borderId="12" applyAlignment="1" pivotButton="0" quotePrefix="0" xfId="0">
      <alignment horizontal="right" vertical="center"/>
    </xf>
    <xf numFmtId="164" fontId="90" fillId="30" borderId="12" applyAlignment="1" pivotButton="0" quotePrefix="0" xfId="0">
      <alignment horizontal="right" vertical="center"/>
    </xf>
    <xf numFmtId="49" fontId="254" fillId="4" borderId="12" applyAlignment="1" pivotButton="0" quotePrefix="0" xfId="0">
      <alignment horizontal="center" vertical="center" wrapText="1"/>
    </xf>
    <xf numFmtId="164" fontId="255" fillId="30" borderId="12" applyAlignment="1" pivotButton="0" quotePrefix="0" xfId="0">
      <alignment horizontal="right" vertical="center"/>
    </xf>
    <xf numFmtId="164" fontId="256" fillId="30" borderId="12" applyAlignment="1" pivotButton="0" quotePrefix="0" xfId="0">
      <alignment horizontal="right" vertical="center"/>
    </xf>
    <xf numFmtId="182" fontId="85" fillId="30" borderId="12" applyAlignment="1" pivotButton="0" quotePrefix="0" xfId="0">
      <alignment horizontal="right" vertical="center"/>
    </xf>
    <xf numFmtId="49" fontId="91" fillId="30" borderId="12" applyAlignment="1" pivotButton="0" quotePrefix="0" xfId="0">
      <alignment horizontal="center" vertical="center" wrapText="1"/>
    </xf>
    <xf numFmtId="164" fontId="90" fillId="65" borderId="12" applyAlignment="1" pivotButton="0" quotePrefix="0" xfId="0">
      <alignment horizontal="center" vertical="center" wrapText="1"/>
    </xf>
    <xf numFmtId="164" fontId="253" fillId="65" borderId="12" applyAlignment="1" pivotButton="0" quotePrefix="0" xfId="0">
      <alignment horizontal="right" vertical="center"/>
    </xf>
    <xf numFmtId="164" fontId="90" fillId="65" borderId="12" applyAlignment="1" pivotButton="0" quotePrefix="0" xfId="0">
      <alignment horizontal="right" vertical="center"/>
    </xf>
    <xf numFmtId="164" fontId="255" fillId="65" borderId="12" applyAlignment="1" pivotButton="0" quotePrefix="0" xfId="0">
      <alignment horizontal="right" vertical="center"/>
    </xf>
    <xf numFmtId="164" fontId="256" fillId="65" borderId="12" applyAlignment="1" pivotButton="0" quotePrefix="0" xfId="0">
      <alignment horizontal="right" vertical="center"/>
    </xf>
    <xf numFmtId="182" fontId="85" fillId="65" borderId="12" applyAlignment="1" pivotButton="0" quotePrefix="0" xfId="0">
      <alignment horizontal="right" vertical="center"/>
    </xf>
    <xf numFmtId="49" fontId="91" fillId="65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72" fillId="4" borderId="0" applyAlignment="1" pivotButton="0" quotePrefix="0" xfId="0">
      <alignment horizontal="left" vertical="center" wrapText="1"/>
    </xf>
    <xf numFmtId="0" fontId="72" fillId="30" borderId="0" applyAlignment="1" pivotButton="0" quotePrefix="0" xfId="0">
      <alignment horizontal="left" vertical="center" wrapText="1"/>
    </xf>
    <xf numFmtId="164" fontId="253" fillId="44" borderId="12" applyAlignment="1" pivotButton="0" quotePrefix="0" xfId="0">
      <alignment horizontal="right" vertical="center"/>
    </xf>
    <xf numFmtId="164" fontId="90" fillId="44" borderId="12" applyAlignment="1" pivotButton="0" quotePrefix="0" xfId="0">
      <alignment horizontal="right" vertical="center"/>
    </xf>
    <xf numFmtId="164" fontId="255" fillId="44" borderId="12" applyAlignment="1" pivotButton="0" quotePrefix="0" xfId="0">
      <alignment horizontal="right" vertical="center"/>
    </xf>
    <xf numFmtId="164" fontId="256" fillId="44" borderId="12" applyAlignment="1" pivotButton="0" quotePrefix="0" xfId="0">
      <alignment horizontal="right" vertical="center"/>
    </xf>
    <xf numFmtId="182" fontId="85" fillId="44" borderId="12" applyAlignment="1" pivotButton="0" quotePrefix="0" xfId="0">
      <alignment horizontal="right" vertical="center"/>
    </xf>
    <xf numFmtId="49" fontId="91" fillId="44" borderId="12" applyAlignment="1" pivotButton="0" quotePrefix="0" xfId="0">
      <alignment horizontal="center" vertical="center" wrapText="1"/>
    </xf>
    <xf numFmtId="0" fontId="0" fillId="42" borderId="12" applyAlignment="1" pivotButton="0" quotePrefix="0" xfId="0">
      <alignment horizontal="general" vertical="bottom"/>
    </xf>
    <xf numFmtId="164" fontId="257" fillId="44" borderId="0" applyAlignment="1" pivotButton="0" quotePrefix="0" xfId="0">
      <alignment horizontal="right" vertical="center"/>
    </xf>
    <xf numFmtId="182" fontId="257" fillId="44" borderId="0" applyAlignment="1" pivotButton="0" quotePrefix="0" xfId="0">
      <alignment horizontal="right" vertical="center"/>
    </xf>
    <xf numFmtId="49" fontId="257" fillId="44" borderId="0" applyAlignment="1" pivotButton="0" quotePrefix="0" xfId="0">
      <alignment horizontal="right" vertical="center"/>
    </xf>
    <xf numFmtId="0" fontId="70" fillId="42" borderId="0" applyAlignment="1" pivotButton="0" quotePrefix="0" xfId="0">
      <alignment horizontal="general" vertical="bottom"/>
    </xf>
    <xf numFmtId="0" fontId="90" fillId="18" borderId="0" applyAlignment="1" pivotButton="0" quotePrefix="0" xfId="0">
      <alignment horizontal="center" vertical="bottom"/>
    </xf>
    <xf numFmtId="0" fontId="256" fillId="16" borderId="0" applyAlignment="1" pivotButton="0" quotePrefix="0" xfId="0">
      <alignment horizontal="center" vertical="bottom"/>
    </xf>
    <xf numFmtId="0" fontId="93" fillId="18" borderId="0" applyAlignment="1" pivotButton="0" quotePrefix="0" xfId="0">
      <alignment horizontal="center" vertical="bottom"/>
    </xf>
    <xf numFmtId="0" fontId="15" fillId="42" borderId="14" applyAlignment="1" pivotButton="0" quotePrefix="0" xfId="0">
      <alignment horizontal="left" vertical="center" wrapText="1"/>
    </xf>
    <xf numFmtId="0" fontId="0" fillId="42" borderId="14" applyAlignment="1" pivotButton="0" quotePrefix="0" xfId="0">
      <alignment horizontal="general" vertical="bottom"/>
    </xf>
    <xf numFmtId="0" fontId="85" fillId="4" borderId="14" applyAlignment="1" pivotButton="0" quotePrefix="0" xfId="0">
      <alignment horizontal="left" vertical="center" wrapText="1"/>
    </xf>
    <xf numFmtId="164" fontId="89" fillId="28" borderId="14" applyAlignment="1" pivotButton="0" quotePrefix="0" xfId="0">
      <alignment horizontal="right" vertical="center"/>
    </xf>
    <xf numFmtId="0" fontId="87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general" vertical="bottom"/>
    </xf>
    <xf numFmtId="165" fontId="86" fillId="44" borderId="14" applyAlignment="1" pivotButton="0" quotePrefix="0" xfId="0">
      <alignment horizontal="right" vertical="center"/>
    </xf>
    <xf numFmtId="164" fontId="86" fillId="44" borderId="14" applyAlignment="1" pivotButton="0" quotePrefix="0" xfId="0">
      <alignment horizontal="right" vertical="center"/>
    </xf>
    <xf numFmtId="49" fontId="89" fillId="28" borderId="14" applyAlignment="1" pivotButton="0" quotePrefix="0" xfId="0">
      <alignment horizontal="right" vertical="center"/>
    </xf>
    <xf numFmtId="0" fontId="100" fillId="36" borderId="0" applyAlignment="1" pivotButton="0" quotePrefix="0" xfId="0">
      <alignment horizontal="left" vertical="center"/>
    </xf>
    <xf numFmtId="0" fontId="47" fillId="36" borderId="3" applyAlignment="1" pivotButton="0" quotePrefix="0" xfId="0">
      <alignment horizontal="center" vertical="center"/>
    </xf>
    <xf numFmtId="0" fontId="47" fillId="36" borderId="4" applyAlignment="1" pivotButton="0" quotePrefix="0" xfId="0">
      <alignment horizontal="center" vertical="center"/>
    </xf>
    <xf numFmtId="0" fontId="18" fillId="14" borderId="4" applyAlignment="1" pivotButton="0" quotePrefix="0" xfId="0">
      <alignment horizontal="center" vertical="center"/>
    </xf>
    <xf numFmtId="0" fontId="18" fillId="14" borderId="5" applyAlignment="1" pivotButton="0" quotePrefix="0" xfId="0">
      <alignment horizontal="center" vertical="center"/>
    </xf>
    <xf numFmtId="0" fontId="224" fillId="4" borderId="6" applyAlignment="1" pivotButton="0" quotePrefix="0" xfId="0">
      <alignment horizontal="left" vertical="center"/>
    </xf>
    <xf numFmtId="0" fontId="0" fillId="4" borderId="0" applyAlignment="1" pivotButton="0" quotePrefix="0" xfId="0">
      <alignment horizontal="right" vertical="center"/>
    </xf>
    <xf numFmtId="0" fontId="104" fillId="30" borderId="6" applyAlignment="1" pivotButton="0" quotePrefix="0" xfId="0">
      <alignment horizontal="left" vertical="center"/>
    </xf>
    <xf numFmtId="0" fontId="31" fillId="30" borderId="7" applyAlignment="1" pivotButton="0" quotePrefix="0" xfId="0">
      <alignment horizontal="left" vertical="center"/>
    </xf>
    <xf numFmtId="0" fontId="104" fillId="30" borderId="7" applyAlignment="1" pivotButton="0" quotePrefix="0" xfId="0">
      <alignment horizontal="left" vertical="center"/>
    </xf>
    <xf numFmtId="0" fontId="104" fillId="30" borderId="7" applyAlignment="1" pivotButton="0" quotePrefix="0" xfId="0">
      <alignment horizontal="right" vertical="center"/>
    </xf>
    <xf numFmtId="0" fontId="104" fillId="30" borderId="8" applyAlignment="1" pivotButton="0" quotePrefix="0" xfId="0">
      <alignment horizontal="right" vertical="center"/>
    </xf>
    <xf numFmtId="0" fontId="0" fillId="30" borderId="0" applyAlignment="1" pivotButton="0" quotePrefix="0" xfId="0">
      <alignment horizontal="right" vertical="center"/>
    </xf>
    <xf numFmtId="0" fontId="104" fillId="4" borderId="6" applyAlignment="1" pivotButton="0" quotePrefix="0" xfId="0">
      <alignment horizontal="left" vertical="center"/>
    </xf>
    <xf numFmtId="0" fontId="31" fillId="4" borderId="7" applyAlignment="1" pivotButton="0" quotePrefix="0" xfId="0">
      <alignment horizontal="left" vertical="center"/>
    </xf>
    <xf numFmtId="0" fontId="104" fillId="4" borderId="7" applyAlignment="1" pivotButton="0" quotePrefix="0" xfId="0">
      <alignment horizontal="left" vertical="center"/>
    </xf>
    <xf numFmtId="0" fontId="104" fillId="4" borderId="7" applyAlignment="1" pivotButton="0" quotePrefix="0" xfId="0">
      <alignment horizontal="right" vertical="center"/>
    </xf>
    <xf numFmtId="0" fontId="104" fillId="4" borderId="8" applyAlignment="1" pivotButton="0" quotePrefix="0" xfId="0">
      <alignment horizontal="right" vertical="center"/>
    </xf>
    <xf numFmtId="0" fontId="224" fillId="30" borderId="6" applyAlignment="1" pivotButton="0" quotePrefix="0" xfId="0">
      <alignment horizontal="left" vertical="center"/>
    </xf>
    <xf numFmtId="0" fontId="104" fillId="30" borderId="10" applyAlignment="1" pivotButton="0" quotePrefix="0" xfId="0">
      <alignment horizontal="left" vertical="center"/>
    </xf>
    <xf numFmtId="0" fontId="31" fillId="30" borderId="15" applyAlignment="1" pivotButton="0" quotePrefix="0" xfId="0">
      <alignment horizontal="left" vertical="center"/>
    </xf>
    <xf numFmtId="0" fontId="104" fillId="30" borderId="15" applyAlignment="1" pivotButton="0" quotePrefix="0" xfId="0">
      <alignment horizontal="left" vertical="center"/>
    </xf>
    <xf numFmtId="0" fontId="104" fillId="30" borderId="15" applyAlignment="1" pivotButton="0" quotePrefix="0" xfId="0">
      <alignment horizontal="right" vertical="center"/>
    </xf>
    <xf numFmtId="0" fontId="104" fillId="30" borderId="11" applyAlignment="1" pivotButton="0" quotePrefix="0" xfId="0">
      <alignment horizontal="right" vertical="center"/>
    </xf>
    <xf numFmtId="0" fontId="224" fillId="4" borderId="0" applyAlignment="1" pivotButton="0" quotePrefix="0" xfId="0">
      <alignment horizontal="left" vertical="center"/>
    </xf>
    <xf numFmtId="0" fontId="104" fillId="30" borderId="0" applyAlignment="1" pivotButton="0" quotePrefix="0" xfId="0">
      <alignment horizontal="left" vertical="center"/>
    </xf>
    <xf numFmtId="0" fontId="31" fillId="30" borderId="0" applyAlignment="1" pivotButton="0" quotePrefix="0" xfId="0">
      <alignment horizontal="left" vertical="center"/>
    </xf>
    <xf numFmtId="0" fontId="104" fillId="30" borderId="0" applyAlignment="1" pivotButton="0" quotePrefix="0" xfId="0">
      <alignment horizontal="right" vertical="center"/>
    </xf>
    <xf numFmtId="0" fontId="104" fillId="4" borderId="0" applyAlignment="1" pivotButton="0" quotePrefix="0" xfId="0">
      <alignment horizontal="left" vertical="center"/>
    </xf>
    <xf numFmtId="0" fontId="31" fillId="4" borderId="0" applyAlignment="1" pivotButton="0" quotePrefix="0" xfId="0">
      <alignment horizontal="left" vertical="center"/>
    </xf>
    <xf numFmtId="0" fontId="104" fillId="4" borderId="0" applyAlignment="1" pivotButton="0" quotePrefix="0" xfId="0">
      <alignment horizontal="right" vertical="center"/>
    </xf>
    <xf numFmtId="0" fontId="224" fillId="30" borderId="0" applyAlignment="1" pivotButton="0" quotePrefix="0" xfId="0">
      <alignment horizontal="left" vertical="center"/>
    </xf>
    <xf numFmtId="0" fontId="0" fillId="3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17" fillId="3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47" fillId="30" borderId="0" applyAlignment="1" pivotButton="0" quotePrefix="0" xfId="0">
      <alignment horizontal="left" vertical="center"/>
    </xf>
    <xf numFmtId="0" fontId="47" fillId="30" borderId="0" applyAlignment="1" pivotButton="0" quotePrefix="0" xfId="0">
      <alignment horizontal="right" vertical="center"/>
    </xf>
    <xf numFmtId="0" fontId="33" fillId="4" borderId="0" applyAlignment="1" pivotButton="0" quotePrefix="0" xfId="0">
      <alignment horizontal="left" vertical="center"/>
    </xf>
    <xf numFmtId="164" fontId="33" fillId="4" borderId="0" applyAlignment="1" pivotButton="0" quotePrefix="0" xfId="0">
      <alignment horizontal="left" vertical="center"/>
    </xf>
    <xf numFmtId="0" fontId="43" fillId="4" borderId="0" applyAlignment="1" pivotButton="0" quotePrefix="0" xfId="0">
      <alignment horizontal="left" vertical="center"/>
    </xf>
    <xf numFmtId="0" fontId="43" fillId="4" borderId="0" applyAlignment="1" pivotButton="0" quotePrefix="0" xfId="0">
      <alignment horizontal="right" vertical="center"/>
    </xf>
    <xf numFmtId="0" fontId="46" fillId="4" borderId="0" applyAlignment="1" pivotButton="0" quotePrefix="0" xfId="0">
      <alignment horizontal="right" vertical="center"/>
    </xf>
    <xf numFmtId="10" fontId="23" fillId="30" borderId="0" applyAlignment="1" pivotButton="0" quotePrefix="0" xfId="0">
      <alignment horizontal="left" vertical="center"/>
    </xf>
    <xf numFmtId="0" fontId="43" fillId="30" borderId="0" applyAlignment="1" pivotButton="0" quotePrefix="0" xfId="0">
      <alignment horizontal="right" vertical="center"/>
    </xf>
    <xf numFmtId="0" fontId="46" fillId="30" borderId="0" applyAlignment="1" pivotButton="0" quotePrefix="0" xfId="0">
      <alignment horizontal="right" vertical="center"/>
    </xf>
    <xf numFmtId="0" fontId="32" fillId="4" borderId="0" applyAlignment="1" pivotButton="0" quotePrefix="0" xfId="0">
      <alignment horizontal="left" vertical="center"/>
    </xf>
    <xf numFmtId="167" fontId="33" fillId="4" borderId="0" applyAlignment="1" pivotButton="0" quotePrefix="0" xfId="0">
      <alignment horizontal="left" vertical="center"/>
    </xf>
    <xf numFmtId="173" fontId="182" fillId="4" borderId="0" applyAlignment="1" pivotButton="0" quotePrefix="0" xfId="0">
      <alignment horizontal="right" vertical="center"/>
    </xf>
    <xf numFmtId="0" fontId="45" fillId="4" borderId="0" applyAlignment="1" pivotButton="0" quotePrefix="0" xfId="0">
      <alignment horizontal="right" vertical="center"/>
    </xf>
    <xf numFmtId="0" fontId="258" fillId="4" borderId="0" applyAlignment="1" pivotButton="0" quotePrefix="0" xfId="0">
      <alignment horizontal="right" vertical="center"/>
    </xf>
    <xf numFmtId="0" fontId="32" fillId="4" borderId="0" applyAlignment="1" pivotButton="0" quotePrefix="0" xfId="0">
      <alignment horizontal="right" vertical="center"/>
    </xf>
    <xf numFmtId="0" fontId="32" fillId="30" borderId="0" applyAlignment="1" pivotButton="0" quotePrefix="0" xfId="0">
      <alignment horizontal="left" vertical="center"/>
    </xf>
    <xf numFmtId="167" fontId="33" fillId="30" borderId="0" applyAlignment="1" pivotButton="0" quotePrefix="0" xfId="0">
      <alignment horizontal="left" vertical="center"/>
    </xf>
    <xf numFmtId="173" fontId="182" fillId="30" borderId="0" applyAlignment="1" pivotButton="0" quotePrefix="0" xfId="0">
      <alignment horizontal="right" vertical="center"/>
    </xf>
    <xf numFmtId="0" fontId="45" fillId="30" borderId="0" applyAlignment="1" pivotButton="0" quotePrefix="0" xfId="0">
      <alignment horizontal="right" vertical="center"/>
    </xf>
    <xf numFmtId="0" fontId="258" fillId="30" borderId="0" applyAlignment="1" pivotButton="0" quotePrefix="0" xfId="0">
      <alignment horizontal="right" vertical="center"/>
    </xf>
    <xf numFmtId="0" fontId="32" fillId="30" borderId="0" applyAlignment="1" pivotButton="0" quotePrefix="0" xfId="0">
      <alignment horizontal="right" vertical="center"/>
    </xf>
    <xf numFmtId="173" fontId="23" fillId="4" borderId="0" applyAlignment="1" pivotButton="0" quotePrefix="0" xfId="0">
      <alignment horizontal="right" vertical="center"/>
    </xf>
    <xf numFmtId="164" fontId="33" fillId="30" borderId="0" applyAlignment="1" pivotButton="0" quotePrefix="0" xfId="0">
      <alignment horizontal="left" vertical="center"/>
    </xf>
    <xf numFmtId="173" fontId="23" fillId="30" borderId="0" applyAlignment="1" pivotButton="0" quotePrefix="0" xfId="0">
      <alignment horizontal="right" vertical="center"/>
    </xf>
    <xf numFmtId="0" fontId="18" fillId="30" borderId="0" applyAlignment="1" pivotButton="0" quotePrefix="0" xfId="0">
      <alignment horizontal="left" vertical="center"/>
    </xf>
    <xf numFmtId="0" fontId="259" fillId="30" borderId="0" applyAlignment="1" pivotButton="0" quotePrefix="0" xfId="0">
      <alignment horizontal="right" vertical="center"/>
    </xf>
    <xf numFmtId="0" fontId="260" fillId="30" borderId="0" applyAlignment="1" pivotButton="0" quotePrefix="0" xfId="0">
      <alignment horizontal="right" vertical="center"/>
    </xf>
    <xf numFmtId="0" fontId="261" fillId="30" borderId="0" applyAlignment="1" pivotButton="0" quotePrefix="0" xfId="0">
      <alignment horizontal="right" vertical="center"/>
    </xf>
    <xf numFmtId="0" fontId="50" fillId="30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right" vertical="center"/>
    </xf>
    <xf numFmtId="164" fontId="0" fillId="30" borderId="0" applyAlignment="1" pivotButton="0" quotePrefix="0" xfId="0">
      <alignment horizontal="right" vertical="center"/>
    </xf>
    <xf numFmtId="167" fontId="0" fillId="30" borderId="0" applyAlignment="1" pivotButton="0" quotePrefix="0" xfId="0">
      <alignment horizontal="right" vertical="center"/>
    </xf>
    <xf numFmtId="0" fontId="70" fillId="14" borderId="0" applyAlignment="1" pivotButton="0" quotePrefix="0" xfId="0">
      <alignment horizontal="general" vertical="bottom"/>
    </xf>
    <xf numFmtId="0" fontId="70" fillId="4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164" fontId="262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83" fontId="0" fillId="0" borderId="0" applyAlignment="1" pivotButton="0" quotePrefix="0" xfId="0">
      <alignment horizontal="general" vertical="bottom"/>
    </xf>
    <xf numFmtId="0" fontId="70" fillId="33" borderId="0" applyAlignment="1" pivotButton="0" quotePrefix="0" xfId="0">
      <alignment horizontal="general" vertical="bottom"/>
    </xf>
    <xf numFmtId="0" fontId="70" fillId="46" borderId="0" applyAlignment="1" pivotButton="0" quotePrefix="0" xfId="0">
      <alignment horizontal="center" vertical="center"/>
    </xf>
    <xf numFmtId="0" fontId="93" fillId="17" borderId="0" applyAlignment="1" pivotButton="0" quotePrefix="0" xfId="0">
      <alignment horizontal="general" vertical="bottom"/>
    </xf>
    <xf numFmtId="0" fontId="100" fillId="14" borderId="0" applyAlignment="1" pivotButton="0" quotePrefix="0" xfId="0">
      <alignment horizontal="left" vertical="center"/>
    </xf>
    <xf numFmtId="0" fontId="6" fillId="46" borderId="0" applyAlignment="1" pivotButton="0" quotePrefix="0" xfId="0">
      <alignment horizontal="center" vertical="center"/>
    </xf>
    <xf numFmtId="0" fontId="263" fillId="14" borderId="0" applyAlignment="1" pivotButton="0" quotePrefix="0" xfId="0">
      <alignment horizontal="left" vertical="center"/>
    </xf>
    <xf numFmtId="0" fontId="100" fillId="14" borderId="0" applyAlignment="1" pivotButton="0" quotePrefix="0" xfId="0">
      <alignment horizontal="center" vertical="center"/>
    </xf>
    <xf numFmtId="164" fontId="72" fillId="15" borderId="0" applyAlignment="1" pivotButton="0" quotePrefix="0" xfId="0">
      <alignment horizontal="left" vertical="center"/>
    </xf>
    <xf numFmtId="164" fontId="72" fillId="16" borderId="0" applyAlignment="1" pivotButton="0" quotePrefix="0" xfId="0">
      <alignment horizontal="left" vertical="center"/>
    </xf>
    <xf numFmtId="0" fontId="72" fillId="66" borderId="0" applyAlignment="1" pivotButton="0" quotePrefix="0" xfId="0">
      <alignment horizontal="left" vertical="center"/>
    </xf>
    <xf numFmtId="164" fontId="72" fillId="66" borderId="0" applyAlignment="1" pivotButton="0" quotePrefix="0" xfId="0">
      <alignment horizontal="left" vertical="center"/>
    </xf>
    <xf numFmtId="0" fontId="71" fillId="66" borderId="0" applyAlignment="1" pivotButton="0" quotePrefix="0" xfId="0">
      <alignment horizontal="left" vertical="center"/>
    </xf>
    <xf numFmtId="0" fontId="31" fillId="15" borderId="7" applyAlignment="1" pivotButton="0" quotePrefix="0" xfId="0">
      <alignment horizontal="left" vertical="center"/>
    </xf>
    <xf numFmtId="0" fontId="260" fillId="24" borderId="7" applyAlignment="1" pivotButton="0" quotePrefix="0" xfId="0">
      <alignment horizontal="center" vertical="center"/>
    </xf>
    <xf numFmtId="0" fontId="43" fillId="15" borderId="7" applyAlignment="1" pivotButton="0" quotePrefix="0" xfId="0">
      <alignment horizontal="center" vertical="center"/>
    </xf>
    <xf numFmtId="0" fontId="31" fillId="22" borderId="7" applyAlignment="1" pivotButton="0" quotePrefix="0" xfId="0">
      <alignment horizontal="left" vertical="center"/>
    </xf>
    <xf numFmtId="169" fontId="264" fillId="22" borderId="7" applyAlignment="1" pivotButton="0" quotePrefix="0" xfId="0">
      <alignment horizontal="center" vertical="center"/>
    </xf>
    <xf numFmtId="0" fontId="43" fillId="22" borderId="7" applyAlignment="1" pivotButton="0" quotePrefix="0" xfId="0">
      <alignment horizontal="center" vertical="center"/>
    </xf>
    <xf numFmtId="0" fontId="32" fillId="8" borderId="0" applyAlignment="1" pivotButton="0" quotePrefix="0" xfId="0">
      <alignment horizontal="left" vertical="center"/>
    </xf>
    <xf numFmtId="0" fontId="47" fillId="42" borderId="0" applyAlignment="1" pivotButton="0" quotePrefix="0" xfId="0">
      <alignment horizontal="center" vertical="center"/>
    </xf>
    <xf numFmtId="0" fontId="31" fillId="24" borderId="7" applyAlignment="1" pivotButton="0" quotePrefix="0" xfId="0">
      <alignment horizontal="center" vertical="center"/>
    </xf>
    <xf numFmtId="0" fontId="104" fillId="24" borderId="7" applyAlignment="1" pivotButton="0" quotePrefix="0" xfId="0">
      <alignment horizontal="center" vertical="center"/>
    </xf>
    <xf numFmtId="0" fontId="104" fillId="24" borderId="7" applyAlignment="1" pivotButton="0" quotePrefix="0" xfId="0">
      <alignment horizontal="left" vertical="center"/>
    </xf>
    <xf numFmtId="0" fontId="31" fillId="15" borderId="7" applyAlignment="1" pivotButton="0" quotePrefix="0" xfId="0">
      <alignment horizontal="center" vertical="center"/>
    </xf>
    <xf numFmtId="0" fontId="104" fillId="15" borderId="7" applyAlignment="1" pivotButton="0" quotePrefix="0" xfId="0">
      <alignment horizontal="center" vertical="center"/>
    </xf>
    <xf numFmtId="0" fontId="104" fillId="15" borderId="7" applyAlignment="1" pivotButton="0" quotePrefix="0" xfId="0">
      <alignment horizontal="left" vertical="center"/>
    </xf>
    <xf numFmtId="0" fontId="265" fillId="23" borderId="7" applyAlignment="1" pivotButton="0" quotePrefix="0" xfId="0">
      <alignment horizontal="center" vertical="center"/>
    </xf>
    <xf numFmtId="0" fontId="266" fillId="23" borderId="7" applyAlignment="1" pivotButton="0" quotePrefix="0" xfId="0">
      <alignment horizontal="center" vertical="center"/>
    </xf>
    <xf numFmtId="0" fontId="266" fillId="23" borderId="7" applyAlignment="1" pivotButton="0" quotePrefix="0" xfId="0">
      <alignment horizontal="left" vertical="center"/>
    </xf>
    <xf numFmtId="0" fontId="50" fillId="19" borderId="0" applyAlignment="1" pivotButton="0" quotePrefix="0" xfId="0">
      <alignment horizontal="left" vertical="center" wrapText="1"/>
    </xf>
    <xf numFmtId="0" fontId="71" fillId="15" borderId="0" applyAlignment="1" pivotButton="0" quotePrefix="0" xfId="0">
      <alignment horizontal="left" vertical="center" wrapText="1"/>
    </xf>
    <xf numFmtId="0" fontId="71" fillId="16" borderId="0" applyAlignment="1" pivotButton="0" quotePrefix="0" xfId="0">
      <alignment horizontal="left" vertical="center" wrapText="1"/>
    </xf>
    <xf numFmtId="0" fontId="104" fillId="16" borderId="0" applyAlignment="1" pivotButton="0" quotePrefix="0" xfId="0">
      <alignment horizontal="left" vertical="center" wrapText="1"/>
    </xf>
    <xf numFmtId="0" fontId="101" fillId="32" borderId="0" applyAlignment="1" pivotButton="0" quotePrefix="0" xfId="0">
      <alignment horizontal="left" vertical="center" wrapText="1"/>
    </xf>
    <xf numFmtId="0" fontId="72" fillId="19" borderId="0" applyAlignment="1" pivotButton="0" quotePrefix="0" xfId="0">
      <alignment horizontal="left" vertical="center"/>
    </xf>
    <xf numFmtId="0" fontId="71" fillId="66" borderId="0" applyAlignment="1" pivotButton="0" quotePrefix="0" xfId="0">
      <alignment horizontal="left" vertical="center" wrapText="1"/>
    </xf>
    <xf numFmtId="0" fontId="17" fillId="42" borderId="0" applyAlignment="1" pivotButton="0" quotePrefix="0" xfId="0">
      <alignment horizontal="left" vertical="center"/>
    </xf>
    <xf numFmtId="0" fontId="72" fillId="18" borderId="0" applyAlignment="1" pivotButton="0" quotePrefix="0" xfId="0">
      <alignment horizontal="left" vertical="center" wrapText="1"/>
    </xf>
    <xf numFmtId="0" fontId="72" fillId="45" borderId="0" applyAlignment="1" pivotButton="0" quotePrefix="0" xfId="0">
      <alignment horizontal="left" vertical="center" wrapText="1"/>
    </xf>
    <xf numFmtId="0" fontId="31" fillId="32" borderId="0" applyAlignment="1" pivotButton="0" quotePrefix="0" xfId="0">
      <alignment horizontal="center" vertical="center"/>
    </xf>
    <xf numFmtId="0" fontId="104" fillId="32" borderId="0" applyAlignment="1" pivotButton="0" quotePrefix="0" xfId="0">
      <alignment horizontal="center" vertical="center"/>
    </xf>
    <xf numFmtId="169" fontId="267" fillId="19" borderId="0" applyAlignment="1" pivotButton="0" quotePrefix="0" xfId="0">
      <alignment horizontal="center" vertical="center"/>
    </xf>
    <xf numFmtId="0" fontId="171" fillId="63" borderId="0" applyAlignment="1" pivotButton="0" quotePrefix="0" xfId="0">
      <alignment horizontal="left" vertical="center"/>
    </xf>
    <xf numFmtId="0" fontId="50" fillId="8" borderId="0" applyAlignment="1" pivotButton="0" quotePrefix="0" xfId="0">
      <alignment horizontal="center" vertical="center"/>
    </xf>
    <xf numFmtId="0" fontId="179" fillId="63" borderId="0" applyAlignment="1" pivotButton="0" quotePrefix="0" xfId="0">
      <alignment horizontal="center" vertical="center"/>
    </xf>
    <xf numFmtId="164" fontId="268" fillId="20" borderId="0" applyAlignment="1" pivotButton="0" quotePrefix="0" xfId="0">
      <alignment horizontal="center" vertical="center"/>
    </xf>
    <xf numFmtId="0" fontId="171" fillId="30" borderId="0" applyAlignment="1" pivotButton="0" quotePrefix="0" xfId="0">
      <alignment horizontal="left" vertical="center"/>
    </xf>
    <xf numFmtId="0" fontId="240" fillId="0" borderId="0" applyAlignment="1" pivotButton="0" quotePrefix="0" xfId="0">
      <alignment horizontal="general" vertical="bottom"/>
    </xf>
    <xf numFmtId="167" fontId="269" fillId="4" borderId="0" applyAlignment="1" pivotButton="0" quotePrefix="0" xfId="0">
      <alignment horizontal="general" vertical="bottom"/>
    </xf>
    <xf numFmtId="10" fontId="268" fillId="20" borderId="0" applyAlignment="1" pivotButton="0" quotePrefix="0" xfId="0">
      <alignment horizontal="center" vertical="center"/>
    </xf>
    <xf numFmtId="164" fontId="179" fillId="30" borderId="0" applyAlignment="1" pivotButton="0" quotePrefix="0" xfId="0">
      <alignment horizontal="center" vertical="center"/>
    </xf>
    <xf numFmtId="164" fontId="179" fillId="63" borderId="0" applyAlignment="1" pivotButton="0" quotePrefix="0" xfId="0">
      <alignment horizontal="center" vertical="center"/>
    </xf>
    <xf numFmtId="0" fontId="0" fillId="67" borderId="0" applyAlignment="1" pivotButton="0" quotePrefix="0" xfId="0">
      <alignment horizontal="general" vertical="bottom"/>
    </xf>
    <xf numFmtId="0" fontId="237" fillId="67" borderId="0" applyAlignment="1" pivotButton="0" quotePrefix="0" xfId="0">
      <alignment horizontal="left" vertical="center" wrapText="1"/>
    </xf>
    <xf numFmtId="0" fontId="14" fillId="67" borderId="0" applyAlignment="1" pivotButton="0" quotePrefix="0" xfId="0">
      <alignment horizontal="left" vertical="center" wrapText="1"/>
    </xf>
    <xf numFmtId="0" fontId="237" fillId="30" borderId="0" applyAlignment="1" pivotButton="0" quotePrefix="0" xfId="0">
      <alignment horizontal="left" vertical="center" wrapText="1"/>
    </xf>
    <xf numFmtId="164" fontId="238" fillId="30" borderId="0" applyAlignment="1" pivotButton="0" quotePrefix="0" xfId="0">
      <alignment horizontal="general" vertical="bottom"/>
    </xf>
    <xf numFmtId="0" fontId="240" fillId="30" borderId="0" applyAlignment="1" pivotButton="0" quotePrefix="0" xfId="0">
      <alignment horizontal="left" vertical="center" wrapText="1"/>
    </xf>
    <xf numFmtId="0" fontId="238" fillId="67" borderId="0" applyAlignment="1" pivotButton="0" quotePrefix="0" xfId="0">
      <alignment horizontal="general" vertical="bottom"/>
    </xf>
    <xf numFmtId="0" fontId="240" fillId="67" borderId="0" applyAlignment="1" pivotButton="0" quotePrefix="0" xfId="0">
      <alignment horizontal="left" vertical="center" wrapText="1"/>
    </xf>
    <xf numFmtId="164" fontId="238" fillId="67" borderId="0" applyAlignment="1" pivotButton="0" quotePrefix="0" xfId="0">
      <alignment horizontal="general" vertical="bottom"/>
    </xf>
    <xf numFmtId="164" fontId="238" fillId="60" borderId="0" applyAlignment="1" pivotButton="0" quotePrefix="0" xfId="0">
      <alignment horizontal="general" vertical="bottom"/>
    </xf>
    <xf numFmtId="0" fontId="239" fillId="30" borderId="0" applyAlignment="1" pivotButton="0" quotePrefix="0" xfId="0">
      <alignment horizontal="general" vertical="bottom"/>
    </xf>
    <xf numFmtId="0" fontId="270" fillId="32" borderId="0" applyAlignment="1" pivotButton="0" quotePrefix="0" xfId="0">
      <alignment horizontal="general" vertical="bottom"/>
    </xf>
    <xf numFmtId="0" fontId="239" fillId="60" borderId="0" applyAlignment="1" pivotButton="0" quotePrefix="0" xfId="0">
      <alignment horizontal="general" vertical="bottom"/>
    </xf>
    <xf numFmtId="0" fontId="237" fillId="30" borderId="0" applyAlignment="1" pivotButton="0" quotePrefix="0" xfId="0">
      <alignment horizontal="general" vertical="bottom"/>
    </xf>
    <xf numFmtId="0" fontId="271" fillId="29" borderId="0" applyAlignment="1" pivotButton="0" quotePrefix="0" xfId="0">
      <alignment horizontal="center" vertical="center"/>
    </xf>
    <xf numFmtId="0" fontId="272" fillId="20" borderId="0" applyAlignment="1" pivotButton="0" quotePrefix="0" xfId="0">
      <alignment horizontal="general" vertical="bottom"/>
    </xf>
    <xf numFmtId="0" fontId="106" fillId="22" borderId="0" applyAlignment="1" pivotButton="0" quotePrefix="0" xfId="0">
      <alignment horizontal="center" vertical="center"/>
    </xf>
    <xf numFmtId="0" fontId="237" fillId="67" borderId="0" applyAlignment="1" pivotButton="0" quotePrefix="0" xfId="0">
      <alignment horizontal="general" vertical="bottom"/>
    </xf>
    <xf numFmtId="165" fontId="273" fillId="60" borderId="0" applyAlignment="1" pivotButton="0" quotePrefix="0" xfId="0">
      <alignment horizontal="center" vertical="bottom"/>
    </xf>
    <xf numFmtId="165" fontId="274" fillId="30" borderId="0" applyAlignment="1" pivotButton="0" quotePrefix="0" xfId="0">
      <alignment horizontal="center" vertical="bottom"/>
    </xf>
    <xf numFmtId="0" fontId="275" fillId="30" borderId="0" applyAlignment="1" pivotButton="0" quotePrefix="0" xfId="0">
      <alignment horizontal="general" vertical="bottom"/>
    </xf>
    <xf numFmtId="164" fontId="274" fillId="67" borderId="0" applyAlignment="1" pivotButton="0" quotePrefix="0" xfId="0">
      <alignment horizontal="general" vertical="bottom"/>
    </xf>
    <xf numFmtId="0" fontId="275" fillId="67" borderId="0" applyAlignment="1" pivotButton="0" quotePrefix="0" xfId="0">
      <alignment horizontal="general" vertical="bottom"/>
    </xf>
    <xf numFmtId="164" fontId="182" fillId="19" borderId="0" applyAlignment="1" pivotButton="0" quotePrefix="0" xfId="0">
      <alignment horizontal="general" vertical="bottom"/>
    </xf>
    <xf numFmtId="0" fontId="32" fillId="30" borderId="0" applyAlignment="1" pivotButton="0" quotePrefix="0" xfId="0">
      <alignment horizontal="general" vertical="bottom"/>
    </xf>
    <xf numFmtId="164" fontId="276" fillId="60" borderId="0" applyAlignment="1" pivotButton="0" quotePrefix="0" xfId="0">
      <alignment horizontal="center" vertical="center" wrapText="1"/>
    </xf>
    <xf numFmtId="0" fontId="277" fillId="17" borderId="0" applyAlignment="1" pivotButton="0" quotePrefix="0" xfId="0">
      <alignment horizontal="left" vertical="center" wrapText="1"/>
    </xf>
    <xf numFmtId="0" fontId="278" fillId="8" borderId="0" applyAlignment="1" pivotButton="0" quotePrefix="0" xfId="0">
      <alignment horizontal="left" vertical="center"/>
    </xf>
    <xf numFmtId="4" fontId="244" fillId="24" borderId="0" applyAlignment="1" pivotButton="0" quotePrefix="0" xfId="0">
      <alignment horizontal="general" vertical="bottom"/>
    </xf>
    <xf numFmtId="0" fontId="72" fillId="67" borderId="0" applyAlignment="1" pivotButton="0" quotePrefix="0" xfId="0">
      <alignment horizontal="left" vertical="center"/>
    </xf>
    <xf numFmtId="0" fontId="204" fillId="67" borderId="0" applyAlignment="1" pivotButton="0" quotePrefix="0" xfId="0">
      <alignment horizontal="left" vertical="center"/>
    </xf>
    <xf numFmtId="0" fontId="72" fillId="30" borderId="0" applyAlignment="1" pivotButton="0" quotePrefix="0" xfId="0">
      <alignment horizontal="left" vertical="center"/>
    </xf>
    <xf numFmtId="0" fontId="204" fillId="30" borderId="0" applyAlignment="1" pivotButton="0" quotePrefix="0" xfId="0">
      <alignment horizontal="left" vertical="center"/>
    </xf>
    <xf numFmtId="167" fontId="48" fillId="19" borderId="0" applyAlignment="1" pivotButton="0" quotePrefix="0" xfId="0">
      <alignment horizontal="general" vertical="bottom"/>
    </xf>
    <xf numFmtId="0" fontId="32" fillId="67" borderId="0" applyAlignment="1" pivotButton="0" quotePrefix="0" xfId="0">
      <alignment horizontal="general" vertical="bottom"/>
    </xf>
    <xf numFmtId="167" fontId="279" fillId="24" borderId="0" applyAlignment="1" pivotButton="0" quotePrefix="0" xfId="0">
      <alignment horizontal="general" vertical="bottom"/>
    </xf>
    <xf numFmtId="0" fontId="257" fillId="45" borderId="0" applyAlignment="1" pivotButton="0" quotePrefix="0" xfId="0">
      <alignment horizontal="general" vertical="bottom"/>
    </xf>
    <xf numFmtId="0" fontId="91" fillId="0" borderId="0" applyAlignment="1" pivotButton="0" quotePrefix="0" xfId="0">
      <alignment horizontal="general" vertical="bottom"/>
    </xf>
    <xf numFmtId="164" fontId="91" fillId="0" borderId="0" applyAlignment="1" pivotButton="0" quotePrefix="0" xfId="0">
      <alignment horizontal="general" vertical="bottom"/>
    </xf>
    <xf numFmtId="0" fontId="91" fillId="14" borderId="0" applyAlignment="1" pivotButton="0" quotePrefix="0" xfId="0">
      <alignment horizontal="left" vertical="center"/>
    </xf>
    <xf numFmtId="165" fontId="91" fillId="0" borderId="0" applyAlignment="1" pivotButton="0" quotePrefix="0" xfId="0">
      <alignment horizontal="general" vertical="bottom"/>
    </xf>
    <xf numFmtId="0" fontId="91" fillId="36" borderId="0" applyAlignment="1" pivotButton="0" quotePrefix="0" xfId="0">
      <alignment horizontal="left" vertical="center"/>
    </xf>
    <xf numFmtId="0" fontId="69" fillId="8" borderId="0" applyAlignment="1" pivotButton="0" quotePrefix="0" xfId="0">
      <alignment horizontal="left" vertical="center"/>
    </xf>
    <xf numFmtId="184" fontId="244" fillId="24" borderId="0" applyAlignment="1" pivotButton="0" quotePrefix="0" xfId="0">
      <alignment horizontal="center" vertical="center"/>
    </xf>
    <xf numFmtId="0" fontId="46" fillId="23" borderId="0" applyAlignment="1" pivotButton="0" quotePrefix="0" xfId="0">
      <alignment horizontal="left" vertical="center"/>
    </xf>
    <xf numFmtId="184" fontId="182" fillId="19" borderId="0" applyAlignment="1" pivotButton="0" quotePrefix="0" xfId="0">
      <alignment horizontal="center" vertical="center"/>
    </xf>
    <xf numFmtId="0" fontId="33" fillId="24" borderId="0" applyAlignment="1" pivotButton="0" quotePrefix="0" xfId="0">
      <alignment horizontal="center" vertical="center"/>
    </xf>
    <xf numFmtId="0" fontId="197" fillId="27" borderId="0" applyAlignment="1" pivotButton="0" quotePrefix="0" xfId="0">
      <alignment horizontal="center" vertical="center"/>
    </xf>
    <xf numFmtId="0" fontId="47" fillId="36" borderId="0" applyAlignment="1" pivotButton="0" quotePrefix="0" xfId="0">
      <alignment horizontal="left" vertical="center"/>
    </xf>
    <xf numFmtId="0" fontId="69" fillId="22" borderId="0" applyAlignment="1" pivotButton="0" quotePrefix="0" xfId="0">
      <alignment horizontal="left" vertical="center"/>
    </xf>
    <xf numFmtId="0" fontId="45" fillId="28" borderId="0" applyAlignment="1" pivotButton="0" quotePrefix="0" xfId="0">
      <alignment horizontal="left" vertical="center"/>
    </xf>
    <xf numFmtId="0" fontId="66" fillId="15" borderId="0" applyAlignment="1" pivotButton="0" quotePrefix="0" xfId="0">
      <alignment horizontal="center" vertical="center"/>
    </xf>
    <xf numFmtId="0" fontId="66" fillId="30" borderId="0" applyAlignment="1" pivotButton="0" quotePrefix="0" xfId="0">
      <alignment horizontal="center" vertical="center"/>
    </xf>
    <xf numFmtId="0" fontId="69" fillId="27" borderId="0" applyAlignment="1" pivotButton="0" quotePrefix="0" xfId="0">
      <alignment horizontal="left" vertical="center"/>
    </xf>
    <xf numFmtId="0" fontId="46" fillId="28" borderId="0" applyAlignment="1" pivotButton="0" quotePrefix="0" xfId="0">
      <alignment horizontal="left" vertical="center"/>
    </xf>
    <xf numFmtId="0" fontId="197" fillId="27" borderId="0" applyAlignment="1" pivotButton="0" quotePrefix="0" xfId="0">
      <alignment horizontal="general" vertical="bottom"/>
    </xf>
    <xf numFmtId="0" fontId="47" fillId="3" borderId="0" applyAlignment="1" pivotButton="0" quotePrefix="0" xfId="0">
      <alignment horizontal="left" vertical="center"/>
    </xf>
    <xf numFmtId="0" fontId="69" fillId="30" borderId="0" applyAlignment="1" pivotButton="0" quotePrefix="0" xfId="0">
      <alignment horizontal="left" vertical="center"/>
    </xf>
    <xf numFmtId="4" fontId="43" fillId="8" borderId="0" applyAlignment="1" pivotButton="0" quotePrefix="0" xfId="0">
      <alignment horizontal="center" vertical="center"/>
    </xf>
    <xf numFmtId="4" fontId="69" fillId="24" borderId="0" applyAlignment="1" pivotButton="0" quotePrefix="0" xfId="0">
      <alignment horizontal="center" vertical="center"/>
    </xf>
    <xf numFmtId="0" fontId="280" fillId="17" borderId="0" applyAlignment="1" pivotButton="0" quotePrefix="0" xfId="0">
      <alignment horizontal="left" vertical="center" wrapText="1"/>
    </xf>
    <xf numFmtId="0" fontId="69" fillId="18" borderId="0" applyAlignment="1" pivotButton="0" quotePrefix="0" xfId="0">
      <alignment horizontal="left" vertical="center"/>
    </xf>
    <xf numFmtId="0" fontId="45" fillId="23" borderId="0" applyAlignment="1" pivotButton="0" quotePrefix="0" xfId="0">
      <alignment horizontal="center" vertical="center"/>
    </xf>
    <xf numFmtId="0" fontId="47" fillId="46" borderId="0" applyAlignment="1" pivotButton="0" quotePrefix="0" xfId="0">
      <alignment horizontal="center" vertical="center"/>
    </xf>
    <xf numFmtId="0" fontId="69" fillId="66" borderId="0" applyAlignment="1" pivotButton="0" quotePrefix="0" xfId="0">
      <alignment horizontal="center" vertical="center"/>
    </xf>
    <xf numFmtId="0" fontId="43" fillId="66" borderId="0" applyAlignment="1" pivotButton="0" quotePrefix="0" xfId="0">
      <alignment horizontal="center" vertical="center"/>
    </xf>
    <xf numFmtId="0" fontId="25" fillId="66" borderId="0" applyAlignment="1" pivotButton="0" quotePrefix="0" xfId="0">
      <alignment horizontal="center" vertical="center"/>
    </xf>
    <xf numFmtId="0" fontId="281" fillId="66" borderId="0" applyAlignment="1" pivotButton="0" quotePrefix="0" xfId="0">
      <alignment horizontal="left" vertical="center"/>
    </xf>
    <xf numFmtId="0" fontId="69" fillId="30" borderId="0" applyAlignment="1" pivotButton="0" quotePrefix="0" xfId="0">
      <alignment horizontal="center" vertical="center"/>
    </xf>
    <xf numFmtId="0" fontId="25" fillId="30" borderId="0" applyAlignment="1" pivotButton="0" quotePrefix="0" xfId="0">
      <alignment horizontal="center" vertical="center"/>
    </xf>
    <xf numFmtId="0" fontId="281" fillId="30" borderId="0" applyAlignment="1" pivotButton="0" quotePrefix="0" xfId="0">
      <alignment horizontal="left" vertical="center"/>
    </xf>
    <xf numFmtId="0" fontId="66" fillId="66" borderId="0" applyAlignment="1" pivotButton="0" quotePrefix="0" xfId="0">
      <alignment horizontal="center" vertical="center"/>
    </xf>
    <xf numFmtId="0" fontId="282" fillId="30" borderId="0" applyAlignment="1" pivotButton="0" quotePrefix="0" xfId="0">
      <alignment horizontal="center" vertical="center"/>
    </xf>
    <xf numFmtId="0" fontId="32" fillId="19" borderId="0" applyAlignment="1" pivotButton="0" quotePrefix="0" xfId="0">
      <alignment horizontal="left" vertical="center" wrapText="1"/>
    </xf>
    <xf numFmtId="0" fontId="69" fillId="15" borderId="0" applyAlignment="1" pivotButton="0" quotePrefix="0" xfId="0">
      <alignment horizontal="left" vertical="center"/>
    </xf>
    <xf numFmtId="0" fontId="69" fillId="24" borderId="0" applyAlignment="1" pivotButton="0" quotePrefix="0" xfId="0">
      <alignment horizontal="center" vertical="center"/>
    </xf>
    <xf numFmtId="0" fontId="46" fillId="15" borderId="0" applyAlignment="1" pivotButton="0" quotePrefix="0" xfId="0">
      <alignment horizontal="left" vertical="center"/>
    </xf>
    <xf numFmtId="0" fontId="69" fillId="17" borderId="0" applyAlignment="1" pivotButton="0" quotePrefix="0" xfId="0">
      <alignment horizontal="left" vertical="center"/>
    </xf>
    <xf numFmtId="0" fontId="283" fillId="18" borderId="0" applyAlignment="1" pivotButton="0" quotePrefix="0" xfId="0">
      <alignment horizontal="center" vertical="center"/>
    </xf>
    <xf numFmtId="0" fontId="46" fillId="17" borderId="0" applyAlignment="1" pivotButton="0" quotePrefix="0" xfId="0">
      <alignment horizontal="left" vertical="center"/>
    </xf>
    <xf numFmtId="0" fontId="70" fillId="42" borderId="14" applyAlignment="1" pivotButton="0" quotePrefix="0" xfId="0">
      <alignment horizontal="center" vertical="center" wrapText="1"/>
    </xf>
    <xf numFmtId="164" fontId="262" fillId="28" borderId="14" applyAlignment="1" pivotButton="0" quotePrefix="0" xfId="0">
      <alignment horizontal="right" vertical="center"/>
    </xf>
    <xf numFmtId="0" fontId="87" fillId="30" borderId="14" applyAlignment="1" pivotButton="0" quotePrefix="0" xfId="0">
      <alignment horizontal="left" vertical="center" wrapText="1"/>
    </xf>
    <xf numFmtId="1" fontId="284" fillId="43" borderId="14" applyAlignment="1" pivotButton="0" quotePrefix="0" xfId="0">
      <alignment horizontal="right" vertical="center"/>
    </xf>
    <xf numFmtId="164" fontId="95" fillId="44" borderId="14" applyAlignment="1" pivotButton="0" quotePrefix="0" xfId="0">
      <alignment horizontal="right" vertical="center"/>
    </xf>
    <xf numFmtId="164" fontId="284" fillId="43" borderId="14" applyAlignment="1" pivotButton="0" quotePrefix="0" xfId="0">
      <alignment horizontal="right" vertical="center"/>
    </xf>
    <xf numFmtId="0" fontId="93" fillId="45" borderId="14" applyAlignment="1" pivotButton="0" quotePrefix="0" xfId="0">
      <alignment horizontal="left" vertical="center" wrapText="1"/>
    </xf>
    <xf numFmtId="166" fontId="93" fillId="45" borderId="14" applyAlignment="1" pivotButton="0" quotePrefix="0" xfId="0">
      <alignment horizontal="right" vertical="center"/>
    </xf>
    <xf numFmtId="9" fontId="95" fillId="44" borderId="14" applyAlignment="1" pivotButton="0" quotePrefix="0" xfId="0">
      <alignment horizontal="right" vertical="center"/>
    </xf>
    <xf numFmtId="0" fontId="85" fillId="0" borderId="2" applyAlignment="1" pivotButton="0" quotePrefix="0" xfId="0">
      <alignment horizontal="left" vertical="center" wrapText="1"/>
    </xf>
    <xf numFmtId="164" fontId="86" fillId="0" borderId="2" applyAlignment="1" pivotButton="0" quotePrefix="0" xfId="0">
      <alignment horizontal="right" vertical="center"/>
    </xf>
    <xf numFmtId="0" fontId="87" fillId="0" borderId="2" applyAlignment="1" pivotButton="0" quotePrefix="0" xfId="0">
      <alignment horizontal="left" vertical="center" wrapText="1"/>
    </xf>
    <xf numFmtId="0" fontId="252" fillId="44" borderId="14" applyAlignment="1" pivotButton="0" quotePrefix="0" xfId="0">
      <alignment horizontal="left" vertical="center" wrapText="1"/>
    </xf>
    <xf numFmtId="0" fontId="87" fillId="44" borderId="14" applyAlignment="1" pivotButton="0" quotePrefix="0" xfId="0">
      <alignment horizontal="left" vertical="center" wrapText="1"/>
    </xf>
    <xf numFmtId="0" fontId="0" fillId="44" borderId="1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left" vertical="center" wrapText="1"/>
    </xf>
    <xf numFmtId="164" fontId="89" fillId="0" borderId="2" applyAlignment="1" pivotButton="0" quotePrefix="0" xfId="0">
      <alignment horizontal="right" vertical="center"/>
    </xf>
    <xf numFmtId="49" fontId="89" fillId="0" borderId="2" applyAlignment="1" pivotButton="0" quotePrefix="0" xfId="0">
      <alignment horizontal="right" vertical="center"/>
    </xf>
    <xf numFmtId="165" fontId="86" fillId="0" borderId="2" applyAlignment="1" pivotButton="0" quotePrefix="0" xfId="0">
      <alignment horizontal="right" vertical="center"/>
    </xf>
    <xf numFmtId="49" fontId="86" fillId="0" borderId="2" applyAlignment="1" pivotButton="0" quotePrefix="0" xfId="0">
      <alignment horizontal="right" vertical="center"/>
    </xf>
    <xf numFmtId="9" fontId="93" fillId="0" borderId="2" applyAlignment="1" pivotButton="0" quotePrefix="0" xfId="0">
      <alignment horizontal="right" vertical="center"/>
    </xf>
    <xf numFmtId="0" fontId="96" fillId="0" borderId="2" applyAlignment="1" pivotButton="0" quotePrefix="0" xfId="0">
      <alignment horizontal="left" vertical="center" wrapText="1"/>
    </xf>
    <xf numFmtId="0" fontId="15" fillId="25" borderId="14" applyAlignment="1" pivotButton="0" quotePrefix="0" xfId="0">
      <alignment horizontal="left" vertical="center" wrapText="1"/>
    </xf>
    <xf numFmtId="0" fontId="96" fillId="25" borderId="14" applyAlignment="1" pivotButton="0" quotePrefix="0" xfId="0">
      <alignment horizontal="left" vertical="center" wrapText="1"/>
    </xf>
    <xf numFmtId="0" fontId="87" fillId="25" borderId="14" applyAlignment="1" pivotButton="0" quotePrefix="0" xfId="0">
      <alignment horizontal="left" vertical="center" wrapText="1"/>
    </xf>
    <xf numFmtId="0" fontId="0" fillId="25" borderId="14" applyAlignment="1" pivotButton="0" quotePrefix="0" xfId="0">
      <alignment horizontal="general" vertical="bottom"/>
    </xf>
    <xf numFmtId="0" fontId="70" fillId="25" borderId="14" applyAlignment="1" pivotButton="0" quotePrefix="0" xfId="0">
      <alignment horizontal="center" vertical="center" wrapText="1"/>
    </xf>
    <xf numFmtId="0" fontId="285" fillId="28" borderId="14" applyAlignment="1" pivotButton="0" quotePrefix="0" xfId="0">
      <alignment horizontal="left" vertical="center" wrapText="1"/>
    </xf>
    <xf numFmtId="0" fontId="85" fillId="28" borderId="14" applyAlignment="1" pivotButton="0" quotePrefix="0" xfId="0">
      <alignment horizontal="left" vertical="center" wrapText="1"/>
    </xf>
    <xf numFmtId="0" fontId="95" fillId="28" borderId="14" applyAlignment="1" pivotButton="0" quotePrefix="0" xfId="0">
      <alignment horizontal="left" vertical="center" wrapText="1"/>
    </xf>
    <xf numFmtId="0" fontId="255" fillId="30" borderId="14" applyAlignment="1" pivotButton="0" quotePrefix="0" xfId="0">
      <alignment horizontal="left" vertical="center" wrapText="1"/>
    </xf>
    <xf numFmtId="0" fontId="87" fillId="23" borderId="14" applyAlignment="1" pivotButton="0" quotePrefix="0" xfId="0">
      <alignment horizontal="left" vertical="center" wrapText="1"/>
    </xf>
    <xf numFmtId="0" fontId="85" fillId="45" borderId="14" applyAlignment="1" pivotButton="0" quotePrefix="0" xfId="0">
      <alignment horizontal="left" vertical="center" wrapText="1"/>
    </xf>
    <xf numFmtId="0" fontId="70" fillId="13" borderId="0" applyAlignment="1" pivotButton="0" quotePrefix="0" xfId="0">
      <alignment horizontal="general" vertical="center"/>
    </xf>
    <xf numFmtId="0" fontId="74" fillId="36" borderId="0" applyAlignment="1" pivotButton="0" quotePrefix="0" xfId="0">
      <alignment horizontal="general" vertical="center"/>
    </xf>
    <xf numFmtId="0" fontId="286" fillId="56" borderId="0" applyAlignment="1" pivotButton="0" quotePrefix="0" xfId="0">
      <alignment horizontal="general" vertical="bottom"/>
    </xf>
    <xf numFmtId="0" fontId="287" fillId="0" borderId="0" applyAlignment="1" pivotButton="0" quotePrefix="0" xfId="0">
      <alignment horizontal="left" vertical="center"/>
    </xf>
    <xf numFmtId="0" fontId="288" fillId="13" borderId="0" applyAlignment="1" pivotButton="0" quotePrefix="0" xfId="0">
      <alignment horizontal="left" vertical="center"/>
    </xf>
    <xf numFmtId="0" fontId="289" fillId="3" borderId="0" applyAlignment="1" pivotButton="0" quotePrefix="0" xfId="0">
      <alignment horizontal="left" vertical="center"/>
    </xf>
    <xf numFmtId="0" fontId="290" fillId="59" borderId="0" applyAlignment="1" pivotButton="0" quotePrefix="0" xfId="0">
      <alignment horizontal="left" vertical="center"/>
    </xf>
    <xf numFmtId="0" fontId="117" fillId="13" borderId="16" applyAlignment="1" pivotButton="0" quotePrefix="0" xfId="0">
      <alignment horizontal="center" vertical="center" wrapText="1"/>
    </xf>
    <xf numFmtId="0" fontId="291" fillId="68" borderId="1" applyAlignment="1" pivotButton="0" quotePrefix="0" xfId="0">
      <alignment horizontal="center" vertical="center"/>
    </xf>
    <xf numFmtId="0" fontId="292" fillId="68" borderId="1" applyAlignment="1" pivotButton="0" quotePrefix="0" xfId="0">
      <alignment horizontal="center" vertical="center"/>
    </xf>
    <xf numFmtId="0" fontId="293" fillId="68" borderId="1" applyAlignment="1" pivotButton="0" quotePrefix="0" xfId="0">
      <alignment horizontal="left" vertical="center" wrapText="1"/>
    </xf>
    <xf numFmtId="0" fontId="113" fillId="68" borderId="1" applyAlignment="1" pivotButton="0" quotePrefix="0" xfId="0">
      <alignment horizontal="left" vertical="center" wrapText="1"/>
    </xf>
    <xf numFmtId="1" fontId="294" fillId="68" borderId="1" applyAlignment="1" pivotButton="0" quotePrefix="0" xfId="0">
      <alignment horizontal="center" vertical="center"/>
    </xf>
    <xf numFmtId="0" fontId="153" fillId="68" borderId="1" applyAlignment="1" pivotButton="0" quotePrefix="0" xfId="0">
      <alignment horizontal="center" vertical="center"/>
    </xf>
    <xf numFmtId="0" fontId="156" fillId="68" borderId="1" applyAlignment="1" pivotButton="0" quotePrefix="0" xfId="0">
      <alignment horizontal="center" vertical="center"/>
    </xf>
    <xf numFmtId="0" fontId="113" fillId="68" borderId="1" applyAlignment="1" pivotButton="0" quotePrefix="0" xfId="0">
      <alignment horizontal="center" vertical="center"/>
    </xf>
    <xf numFmtId="0" fontId="295" fillId="28" borderId="1" applyAlignment="1" pivotButton="0" quotePrefix="0" xfId="0">
      <alignment horizontal="left" vertical="center" wrapText="1"/>
    </xf>
    <xf numFmtId="0" fontId="291" fillId="69" borderId="1" applyAlignment="1" pivotButton="0" quotePrefix="0" xfId="0">
      <alignment horizontal="center" vertical="center"/>
    </xf>
    <xf numFmtId="0" fontId="292" fillId="69" borderId="1" applyAlignment="1" pivotButton="0" quotePrefix="0" xfId="0">
      <alignment horizontal="center" vertical="center"/>
    </xf>
    <xf numFmtId="0" fontId="293" fillId="69" borderId="1" applyAlignment="1" pivotButton="0" quotePrefix="0" xfId="0">
      <alignment horizontal="left" vertical="center" wrapText="1"/>
    </xf>
    <xf numFmtId="0" fontId="113" fillId="69" borderId="1" applyAlignment="1" pivotButton="0" quotePrefix="0" xfId="0">
      <alignment horizontal="left" vertical="center" wrapText="1"/>
    </xf>
    <xf numFmtId="1" fontId="294" fillId="69" borderId="1" applyAlignment="1" pivotButton="0" quotePrefix="0" xfId="0">
      <alignment horizontal="center" vertical="center"/>
    </xf>
    <xf numFmtId="0" fontId="153" fillId="69" borderId="1" applyAlignment="1" pivotButton="0" quotePrefix="0" xfId="0">
      <alignment horizontal="center" vertical="center"/>
    </xf>
    <xf numFmtId="0" fontId="296" fillId="69" borderId="1" applyAlignment="1" pivotButton="0" quotePrefix="0" xfId="0">
      <alignment horizontal="center" vertical="center"/>
    </xf>
    <xf numFmtId="0" fontId="113" fillId="69" borderId="1" applyAlignment="1" pivotButton="0" quotePrefix="0" xfId="0">
      <alignment horizontal="center" vertical="center"/>
    </xf>
    <xf numFmtId="0" fontId="296" fillId="68" borderId="1" applyAlignment="1" pivotButton="0" quotePrefix="0" xfId="0">
      <alignment horizontal="center" vertical="center"/>
    </xf>
    <xf numFmtId="0" fontId="156" fillId="69" borderId="1" applyAlignment="1" pivotButton="0" quotePrefix="0" xfId="0">
      <alignment horizontal="center" vertical="center"/>
    </xf>
    <xf numFmtId="0" fontId="291" fillId="70" borderId="1" applyAlignment="1" pivotButton="0" quotePrefix="0" xfId="0">
      <alignment horizontal="center" vertical="center"/>
    </xf>
    <xf numFmtId="0" fontId="292" fillId="70" borderId="1" applyAlignment="1" pivotButton="0" quotePrefix="0" xfId="0">
      <alignment horizontal="center" vertical="center"/>
    </xf>
    <xf numFmtId="0" fontId="293" fillId="70" borderId="1" applyAlignment="1" pivotButton="0" quotePrefix="0" xfId="0">
      <alignment horizontal="left" vertical="center" wrapText="1"/>
    </xf>
    <xf numFmtId="0" fontId="113" fillId="70" borderId="1" applyAlignment="1" pivotButton="0" quotePrefix="0" xfId="0">
      <alignment horizontal="left" vertical="center" wrapText="1"/>
    </xf>
    <xf numFmtId="1" fontId="297" fillId="70" borderId="1" applyAlignment="1" pivotButton="0" quotePrefix="0" xfId="0">
      <alignment horizontal="center" vertical="center"/>
    </xf>
    <xf numFmtId="0" fontId="298" fillId="70" borderId="1" applyAlignment="1" pivotButton="0" quotePrefix="0" xfId="0">
      <alignment horizontal="center" vertical="center"/>
    </xf>
    <xf numFmtId="0" fontId="156" fillId="70" borderId="1" applyAlignment="1" pivotButton="0" quotePrefix="0" xfId="0">
      <alignment horizontal="center" vertical="center"/>
    </xf>
    <xf numFmtId="0" fontId="113" fillId="70" borderId="1" applyAlignment="1" pivotButton="0" quotePrefix="0" xfId="0">
      <alignment horizontal="center" vertical="center"/>
    </xf>
    <xf numFmtId="0" fontId="291" fillId="71" borderId="1" applyAlignment="1" pivotButton="0" quotePrefix="0" xfId="0">
      <alignment horizontal="center" vertical="center"/>
    </xf>
    <xf numFmtId="0" fontId="292" fillId="71" borderId="1" applyAlignment="1" pivotButton="0" quotePrefix="0" xfId="0">
      <alignment horizontal="center" vertical="center"/>
    </xf>
    <xf numFmtId="0" fontId="293" fillId="71" borderId="1" applyAlignment="1" pivotButton="0" quotePrefix="0" xfId="0">
      <alignment horizontal="left" vertical="center" wrapText="1"/>
    </xf>
    <xf numFmtId="0" fontId="113" fillId="71" borderId="1" applyAlignment="1" pivotButton="0" quotePrefix="0" xfId="0">
      <alignment horizontal="left" vertical="center" wrapText="1"/>
    </xf>
    <xf numFmtId="1" fontId="297" fillId="71" borderId="1" applyAlignment="1" pivotButton="0" quotePrefix="0" xfId="0">
      <alignment horizontal="center" vertical="center"/>
    </xf>
    <xf numFmtId="0" fontId="298" fillId="71" borderId="1" applyAlignment="1" pivotButton="0" quotePrefix="0" xfId="0">
      <alignment horizontal="center" vertical="center"/>
    </xf>
    <xf numFmtId="0" fontId="156" fillId="71" borderId="1" applyAlignment="1" pivotButton="0" quotePrefix="0" xfId="0">
      <alignment horizontal="center" vertical="center"/>
    </xf>
    <xf numFmtId="0" fontId="113" fillId="71" borderId="1" applyAlignment="1" pivotButton="0" quotePrefix="0" xfId="0">
      <alignment horizontal="center" vertical="center"/>
    </xf>
    <xf numFmtId="0" fontId="296" fillId="70" borderId="1" applyAlignment="1" pivotButton="0" quotePrefix="0" xfId="0">
      <alignment horizontal="center" vertical="center"/>
    </xf>
    <xf numFmtId="0" fontId="296" fillId="71" borderId="1" applyAlignment="1" pivotButton="0" quotePrefix="0" xfId="0">
      <alignment horizontal="center" vertical="center"/>
    </xf>
    <xf numFmtId="0" fontId="291" fillId="72" borderId="1" applyAlignment="1" pivotButton="0" quotePrefix="0" xfId="0">
      <alignment horizontal="center" vertical="center"/>
    </xf>
    <xf numFmtId="0" fontId="292" fillId="72" borderId="1" applyAlignment="1" pivotButton="0" quotePrefix="0" xfId="0">
      <alignment horizontal="center" vertical="center"/>
    </xf>
    <xf numFmtId="0" fontId="293" fillId="72" borderId="1" applyAlignment="1" pivotButton="0" quotePrefix="0" xfId="0">
      <alignment horizontal="left" vertical="center" wrapText="1"/>
    </xf>
    <xf numFmtId="0" fontId="113" fillId="72" borderId="1" applyAlignment="1" pivotButton="0" quotePrefix="0" xfId="0">
      <alignment horizontal="left" vertical="center" wrapText="1"/>
    </xf>
    <xf numFmtId="1" fontId="299" fillId="72" borderId="1" applyAlignment="1" pivotButton="0" quotePrefix="0" xfId="0">
      <alignment horizontal="center" vertical="center"/>
    </xf>
    <xf numFmtId="0" fontId="300" fillId="72" borderId="1" applyAlignment="1" pivotButton="0" quotePrefix="0" xfId="0">
      <alignment horizontal="center" vertical="center"/>
    </xf>
    <xf numFmtId="0" fontId="156" fillId="72" borderId="1" applyAlignment="1" pivotButton="0" quotePrefix="0" xfId="0">
      <alignment horizontal="center" vertical="center"/>
    </xf>
    <xf numFmtId="0" fontId="113" fillId="72" borderId="1" applyAlignment="1" pivotButton="0" quotePrefix="0" xfId="0">
      <alignment horizontal="center" vertical="center"/>
    </xf>
    <xf numFmtId="0" fontId="291" fillId="54" borderId="1" applyAlignment="1" pivotButton="0" quotePrefix="0" xfId="0">
      <alignment horizontal="center" vertical="center"/>
    </xf>
    <xf numFmtId="0" fontId="292" fillId="54" borderId="1" applyAlignment="1" pivotButton="0" quotePrefix="0" xfId="0">
      <alignment horizontal="center" vertical="center"/>
    </xf>
    <xf numFmtId="0" fontId="293" fillId="54" borderId="1" applyAlignment="1" pivotButton="0" quotePrefix="0" xfId="0">
      <alignment horizontal="left" vertical="center" wrapText="1"/>
    </xf>
    <xf numFmtId="0" fontId="113" fillId="54" borderId="1" applyAlignment="1" pivotButton="0" quotePrefix="0" xfId="0">
      <alignment horizontal="left" vertical="center" wrapText="1"/>
    </xf>
    <xf numFmtId="1" fontId="299" fillId="54" borderId="1" applyAlignment="1" pivotButton="0" quotePrefix="0" xfId="0">
      <alignment horizontal="center" vertical="center"/>
    </xf>
    <xf numFmtId="0" fontId="300" fillId="54" borderId="1" applyAlignment="1" pivotButton="0" quotePrefix="0" xfId="0">
      <alignment horizontal="center" vertical="center"/>
    </xf>
    <xf numFmtId="0" fontId="156" fillId="54" borderId="1" applyAlignment="1" pivotButton="0" quotePrefix="0" xfId="0">
      <alignment horizontal="center" vertical="center"/>
    </xf>
    <xf numFmtId="0" fontId="113" fillId="54" borderId="1" applyAlignment="1" pivotButton="0" quotePrefix="0" xfId="0">
      <alignment horizontal="center" vertical="center"/>
    </xf>
    <xf numFmtId="0" fontId="296" fillId="72" borderId="1" applyAlignment="1" pivotButton="0" quotePrefix="0" xfId="0">
      <alignment horizontal="center" vertical="center"/>
    </xf>
    <xf numFmtId="0" fontId="296" fillId="54" borderId="1" applyAlignment="1" pivotButton="0" quotePrefix="0" xfId="0">
      <alignment horizontal="center" vertical="center"/>
    </xf>
    <xf numFmtId="0" fontId="291" fillId="27" borderId="1" applyAlignment="1" pivotButton="0" quotePrefix="0" xfId="0">
      <alignment horizontal="center" vertical="center"/>
    </xf>
    <xf numFmtId="0" fontId="292" fillId="27" borderId="1" applyAlignment="1" pivotButton="0" quotePrefix="0" xfId="0">
      <alignment horizontal="center" vertical="center"/>
    </xf>
    <xf numFmtId="0" fontId="293" fillId="27" borderId="1" applyAlignment="1" pivotButton="0" quotePrefix="0" xfId="0">
      <alignment horizontal="left" vertical="center" wrapText="1"/>
    </xf>
    <xf numFmtId="0" fontId="113" fillId="27" borderId="1" applyAlignment="1" pivotButton="0" quotePrefix="0" xfId="0">
      <alignment horizontal="left" vertical="center" wrapText="1"/>
    </xf>
    <xf numFmtId="1" fontId="301" fillId="27" borderId="1" applyAlignment="1" pivotButton="0" quotePrefix="0" xfId="0">
      <alignment horizontal="center" vertical="center"/>
    </xf>
    <xf numFmtId="0" fontId="296" fillId="27" borderId="1" applyAlignment="1" pivotButton="0" quotePrefix="0" xfId="0">
      <alignment horizontal="center" vertical="center"/>
    </xf>
    <xf numFmtId="0" fontId="113" fillId="27" borderId="1" applyAlignment="1" pivotButton="0" quotePrefix="0" xfId="0">
      <alignment horizontal="center" vertical="center"/>
    </xf>
    <xf numFmtId="0" fontId="291" fillId="73" borderId="1" applyAlignment="1" pivotButton="0" quotePrefix="0" xfId="0">
      <alignment horizontal="center" vertical="center"/>
    </xf>
    <xf numFmtId="0" fontId="292" fillId="73" borderId="1" applyAlignment="1" pivotButton="0" quotePrefix="0" xfId="0">
      <alignment horizontal="center" vertical="center"/>
    </xf>
    <xf numFmtId="0" fontId="293" fillId="73" borderId="1" applyAlignment="1" pivotButton="0" quotePrefix="0" xfId="0">
      <alignment horizontal="left" vertical="center" wrapText="1"/>
    </xf>
    <xf numFmtId="0" fontId="113" fillId="73" borderId="1" applyAlignment="1" pivotButton="0" quotePrefix="0" xfId="0">
      <alignment horizontal="left" vertical="center" wrapText="1"/>
    </xf>
    <xf numFmtId="1" fontId="301" fillId="73" borderId="1" applyAlignment="1" pivotButton="0" quotePrefix="0" xfId="0">
      <alignment horizontal="center" vertical="center"/>
    </xf>
    <xf numFmtId="0" fontId="296" fillId="73" borderId="1" applyAlignment="1" pivotButton="0" quotePrefix="0" xfId="0">
      <alignment horizontal="center" vertical="center"/>
    </xf>
    <xf numFmtId="0" fontId="156" fillId="73" borderId="1" applyAlignment="1" pivotButton="0" quotePrefix="0" xfId="0">
      <alignment horizontal="center" vertical="center"/>
    </xf>
    <xf numFmtId="0" fontId="113" fillId="73" borderId="1" applyAlignment="1" pivotButton="0" quotePrefix="0" xfId="0">
      <alignment horizontal="center" vertical="center"/>
    </xf>
    <xf numFmtId="0" fontId="156" fillId="27" borderId="1" applyAlignment="1" pivotButton="0" quotePrefix="0" xfId="0">
      <alignment horizontal="center" vertical="center"/>
    </xf>
    <xf numFmtId="0" fontId="291" fillId="48" borderId="1" applyAlignment="1" pivotButton="0" quotePrefix="0" xfId="0">
      <alignment horizontal="center" vertical="center"/>
    </xf>
    <xf numFmtId="0" fontId="292" fillId="48" borderId="1" applyAlignment="1" pivotButton="0" quotePrefix="0" xfId="0">
      <alignment horizontal="center" vertical="center"/>
    </xf>
    <xf numFmtId="0" fontId="293" fillId="48" borderId="1" applyAlignment="1" pivotButton="0" quotePrefix="0" xfId="0">
      <alignment horizontal="left" vertical="center" wrapText="1"/>
    </xf>
    <xf numFmtId="0" fontId="113" fillId="48" borderId="1" applyAlignment="1" pivotButton="0" quotePrefix="0" xfId="0">
      <alignment horizontal="left" vertical="center" wrapText="1"/>
    </xf>
    <xf numFmtId="1" fontId="302" fillId="48" borderId="1" applyAlignment="1" pivotButton="0" quotePrefix="0" xfId="0">
      <alignment horizontal="center" vertical="center"/>
    </xf>
    <xf numFmtId="0" fontId="154" fillId="48" borderId="1" applyAlignment="1" pivotButton="0" quotePrefix="0" xfId="0">
      <alignment horizontal="center" vertical="center"/>
    </xf>
    <xf numFmtId="0" fontId="156" fillId="48" borderId="1" applyAlignment="1" pivotButton="0" quotePrefix="0" xfId="0">
      <alignment horizontal="center" vertical="center"/>
    </xf>
    <xf numFmtId="0" fontId="113" fillId="48" borderId="1" applyAlignment="1" pivotButton="0" quotePrefix="0" xfId="0">
      <alignment horizontal="center" vertical="center"/>
    </xf>
    <xf numFmtId="0" fontId="291" fillId="74" borderId="1" applyAlignment="1" pivotButton="0" quotePrefix="0" xfId="0">
      <alignment horizontal="center" vertical="center"/>
    </xf>
    <xf numFmtId="0" fontId="292" fillId="74" borderId="1" applyAlignment="1" pivotButton="0" quotePrefix="0" xfId="0">
      <alignment horizontal="center" vertical="center"/>
    </xf>
    <xf numFmtId="0" fontId="293" fillId="74" borderId="1" applyAlignment="1" pivotButton="0" quotePrefix="0" xfId="0">
      <alignment horizontal="left" vertical="center" wrapText="1"/>
    </xf>
    <xf numFmtId="0" fontId="113" fillId="74" borderId="1" applyAlignment="1" pivotButton="0" quotePrefix="0" xfId="0">
      <alignment horizontal="left" vertical="center" wrapText="1"/>
    </xf>
    <xf numFmtId="1" fontId="302" fillId="74" borderId="1" applyAlignment="1" pivotButton="0" quotePrefix="0" xfId="0">
      <alignment horizontal="center" vertical="center"/>
    </xf>
    <xf numFmtId="0" fontId="154" fillId="74" borderId="1" applyAlignment="1" pivotButton="0" quotePrefix="0" xfId="0">
      <alignment horizontal="center" vertical="center"/>
    </xf>
    <xf numFmtId="0" fontId="156" fillId="74" borderId="1" applyAlignment="1" pivotButton="0" quotePrefix="0" xfId="0">
      <alignment horizontal="center" vertical="center"/>
    </xf>
    <xf numFmtId="0" fontId="113" fillId="74" borderId="1" applyAlignment="1" pivotButton="0" quotePrefix="0" xfId="0">
      <alignment horizontal="center" vertical="center"/>
    </xf>
    <xf numFmtId="0" fontId="296" fillId="48" borderId="1" applyAlignment="1" pivotButton="0" quotePrefix="0" xfId="0">
      <alignment horizontal="center" vertical="center"/>
    </xf>
    <xf numFmtId="0" fontId="296" fillId="74" borderId="1" applyAlignment="1" pivotButton="0" quotePrefix="0" xfId="0">
      <alignment horizontal="center" vertical="center"/>
    </xf>
    <xf numFmtId="0" fontId="39" fillId="13" borderId="0" applyAlignment="1" pivotButton="0" quotePrefix="0" xfId="0">
      <alignment horizontal="left" vertical="center"/>
    </xf>
    <xf numFmtId="0" fontId="148" fillId="3" borderId="1" applyAlignment="1" pivotButton="0" quotePrefix="0" xfId="0">
      <alignment horizontal="center" vertical="center"/>
    </xf>
    <xf numFmtId="0" fontId="147" fillId="3" borderId="0" applyAlignment="1" pivotButton="0" quotePrefix="0" xfId="0">
      <alignment horizontal="left" vertical="center"/>
    </xf>
    <xf numFmtId="0" fontId="113" fillId="55" borderId="1" applyAlignment="1" pivotButton="0" quotePrefix="0" xfId="0">
      <alignment horizontal="left" vertical="center" wrapText="1"/>
    </xf>
    <xf numFmtId="0" fontId="113" fillId="75" borderId="1" applyAlignment="1" pivotButton="0" quotePrefix="0" xfId="0">
      <alignment horizontal="left" vertical="center" wrapText="1"/>
    </xf>
    <xf numFmtId="0" fontId="113" fillId="59" borderId="1" applyAlignment="1" pivotButton="0" quotePrefix="0" xfId="0">
      <alignment horizontal="left" vertical="center" wrapText="1"/>
    </xf>
    <xf numFmtId="0" fontId="4" fillId="76" borderId="0" applyAlignment="1" pivotButton="0" quotePrefix="0" xfId="0">
      <alignment horizontal="left" vertical="center" wrapText="1"/>
    </xf>
    <xf numFmtId="0" fontId="303" fillId="0" borderId="0" applyAlignment="1" pivotButton="0" quotePrefix="0" xfId="0">
      <alignment horizontal="left" vertical="center" wrapText="1"/>
    </xf>
    <xf numFmtId="0" fontId="6" fillId="77" borderId="0" applyAlignment="1" pivotButton="0" quotePrefix="0" xfId="0">
      <alignment horizontal="left" vertical="center"/>
    </xf>
    <xf numFmtId="0" fontId="304" fillId="0" borderId="0" applyAlignment="1" pivotButton="0" quotePrefix="0" xfId="0">
      <alignment horizontal="left" vertical="center" wrapText="1"/>
    </xf>
    <xf numFmtId="0" fontId="123" fillId="0" borderId="0" applyAlignment="1" pivotButton="0" quotePrefix="0" xfId="0">
      <alignment horizontal="general" vertical="bottom"/>
    </xf>
    <xf numFmtId="0" fontId="210" fillId="0" borderId="0" applyAlignment="1" pivotButton="0" quotePrefix="0" xfId="0">
      <alignment horizontal="general" vertical="bottom"/>
    </xf>
    <xf numFmtId="0" fontId="17" fillId="78" borderId="0" applyAlignment="1" pivotButton="0" quotePrefix="0" xfId="0">
      <alignment horizontal="center" vertical="center"/>
    </xf>
    <xf numFmtId="0" fontId="305" fillId="0" borderId="0" pivotButton="0" quotePrefix="0" xfId="0"/>
    <xf numFmtId="0" fontId="231" fillId="0" borderId="0" applyAlignment="1" pivotButton="0" quotePrefix="0" xfId="0">
      <alignment horizontal="general" vertical="bottom"/>
    </xf>
    <xf numFmtId="0" fontId="307" fillId="79" borderId="0" pivotButton="0" quotePrefix="0" xfId="0"/>
    <xf numFmtId="0" fontId="308" fillId="80" borderId="0" applyAlignment="1" pivotButton="0" quotePrefix="0" xfId="0">
      <alignment vertical="center" wrapText="1"/>
    </xf>
    <xf numFmtId="0" fontId="309" fillId="0" borderId="0" applyAlignment="1" pivotButton="0" quotePrefix="0" xfId="0">
      <alignment vertical="center" wrapText="1"/>
    </xf>
    <xf numFmtId="0" fontId="310" fillId="81" borderId="0" applyAlignment="1" pivotButton="0" quotePrefix="0" xfId="0">
      <alignment vertical="center" wrapText="1"/>
    </xf>
    <xf numFmtId="0" fontId="311" fillId="82" borderId="0" applyAlignment="1" pivotButton="0" quotePrefix="0" xfId="0">
      <alignment vertical="center" wrapText="1"/>
    </xf>
    <xf numFmtId="0" fontId="312" fillId="0" borderId="0" applyAlignment="1" pivotButton="0" quotePrefix="0" xfId="0">
      <alignment vertical="center" wrapText="1"/>
    </xf>
    <xf numFmtId="0" fontId="310" fillId="83" borderId="0" applyAlignment="1" pivotButton="0" quotePrefix="0" xfId="0">
      <alignment vertical="center" wrapText="1"/>
    </xf>
    <xf numFmtId="0" fontId="311" fillId="83" borderId="0" applyAlignment="1" pivotButton="0" quotePrefix="0" xfId="0">
      <alignment vertical="center" wrapText="1"/>
    </xf>
    <xf numFmtId="0" fontId="310" fillId="84" borderId="0" applyAlignment="1" pivotButton="0" quotePrefix="0" xfId="0">
      <alignment vertical="center" wrapText="1"/>
    </xf>
    <xf numFmtId="0" fontId="313" fillId="85" borderId="0" applyAlignment="1" pivotButton="0" quotePrefix="0" xfId="0">
      <alignment vertical="center" wrapText="1"/>
    </xf>
    <xf numFmtId="0" fontId="310" fillId="86" borderId="0" applyAlignment="1" pivotButton="0" quotePrefix="0" xfId="0">
      <alignment vertical="center" wrapText="1"/>
    </xf>
    <xf numFmtId="0" fontId="311" fillId="86" borderId="0" applyAlignment="1" pivotButton="0" quotePrefix="0" xfId="0">
      <alignment vertical="center" wrapText="1"/>
    </xf>
    <xf numFmtId="0" fontId="310" fillId="87" borderId="0" applyAlignment="1" pivotButton="0" quotePrefix="0" xfId="0">
      <alignment vertical="center" wrapText="1"/>
    </xf>
    <xf numFmtId="0" fontId="311" fillId="87" borderId="0" applyAlignment="1" pivotButton="0" quotePrefix="0" xfId="0">
      <alignment vertical="center" wrapText="1"/>
    </xf>
    <xf numFmtId="0" fontId="310" fillId="88" borderId="0" applyAlignment="1" pivotButton="0" quotePrefix="0" xfId="0">
      <alignment vertical="center" wrapText="1"/>
    </xf>
    <xf numFmtId="0" fontId="311" fillId="88" borderId="0" applyAlignment="1" pivotButton="0" quotePrefix="0" xfId="0">
      <alignment vertical="center" wrapText="1"/>
    </xf>
    <xf numFmtId="0" fontId="310" fillId="89" borderId="0" applyAlignment="1" pivotButton="0" quotePrefix="0" xfId="0">
      <alignment vertical="center" wrapText="1"/>
    </xf>
    <xf numFmtId="0" fontId="311" fillId="89" borderId="0" applyAlignment="1" pivotButton="0" quotePrefix="0" xfId="0">
      <alignment vertical="center" wrapText="1"/>
    </xf>
    <xf numFmtId="0" fontId="311" fillId="90" borderId="0" applyAlignment="1" pivotButton="0" quotePrefix="0" xfId="0">
      <alignment vertical="center" wrapText="1"/>
    </xf>
    <xf numFmtId="0" fontId="310" fillId="91" borderId="0" applyAlignment="1" pivotButton="0" quotePrefix="0" xfId="0">
      <alignment vertical="center" wrapText="1"/>
    </xf>
    <xf numFmtId="0" fontId="311" fillId="91" borderId="0" applyAlignment="1" pivotButton="0" quotePrefix="0" xfId="0">
      <alignment vertical="center" wrapText="1"/>
    </xf>
    <xf numFmtId="0" fontId="310" fillId="92" borderId="0" applyAlignment="1" pivotButton="0" quotePrefix="0" xfId="0">
      <alignment vertical="center" wrapText="1"/>
    </xf>
    <xf numFmtId="0" fontId="311" fillId="92" borderId="0" applyAlignment="1" pivotButton="0" quotePrefix="0" xfId="0">
      <alignment vertical="center" wrapText="1"/>
    </xf>
    <xf numFmtId="0" fontId="310" fillId="93" borderId="0" applyAlignment="1" pivotButton="0" quotePrefix="0" xfId="0">
      <alignment vertical="center" wrapText="1"/>
    </xf>
    <xf numFmtId="0" fontId="311" fillId="93" borderId="0" applyAlignment="1" pivotButton="0" quotePrefix="0" xfId="0">
      <alignment vertical="center" wrapText="1"/>
    </xf>
    <xf numFmtId="0" fontId="314" fillId="94" borderId="0" applyAlignment="1" pivotButton="0" quotePrefix="0" xfId="0">
      <alignment vertical="center" wrapText="1"/>
    </xf>
    <xf numFmtId="0" fontId="315" fillId="0" borderId="0" pivotButton="0" quotePrefix="0" xfId="0"/>
    <xf numFmtId="0" fontId="316" fillId="0" borderId="0" pivotButton="0" quotePrefix="0" xfId="0"/>
    <xf numFmtId="0" fontId="311" fillId="89" borderId="0" pivotButton="0" quotePrefix="0" xfId="0"/>
    <xf numFmtId="0" fontId="317" fillId="95" borderId="0" applyAlignment="1" pivotButton="0" quotePrefix="0" xfId="0">
      <alignment horizontal="left"/>
    </xf>
    <xf numFmtId="0" fontId="0" fillId="96" borderId="0" pivotButton="0" quotePrefix="0" xfId="0"/>
    <xf numFmtId="0" fontId="318" fillId="96" borderId="0" pivotButton="0" quotePrefix="0" xfId="0"/>
    <xf numFmtId="0" fontId="0" fillId="96" borderId="0" applyAlignment="1" pivotButton="0" quotePrefix="0" xfId="0">
      <alignment wrapText="1"/>
    </xf>
    <xf numFmtId="0" fontId="0" fillId="97" borderId="0" pivotButton="0" quotePrefix="0" xfId="0"/>
    <xf numFmtId="0" fontId="318" fillId="97" borderId="0" pivotButton="0" quotePrefix="0" xfId="0"/>
    <xf numFmtId="0" fontId="0" fillId="97" borderId="0" applyAlignment="1" pivotButton="0" quotePrefix="0" xfId="0">
      <alignment wrapText="1"/>
    </xf>
    <xf numFmtId="0" fontId="318" fillId="0" borderId="0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4">
    <dxf>
      <fill>
        <patternFill patternType="solid">
          <fgColor rgb="FF146BC6"/>
          <bgColor rgb="FF000000"/>
        </patternFill>
      </fill>
    </dxf>
    <dxf>
      <fill>
        <patternFill patternType="solid">
          <fgColor rgb="FFE1EFE5"/>
          <bgColor rgb="FF000000"/>
        </patternFill>
      </fill>
    </dxf>
    <dxf>
      <fill>
        <patternFill patternType="solid">
          <fgColor rgb="FFF2F2F3"/>
          <bgColor rgb="FF000000"/>
        </patternFill>
      </fill>
    </dxf>
    <dxf>
      <fill>
        <patternFill patternType="solid">
          <fgColor rgb="FFFEE4D2"/>
          <bgColor rgb="FF000000"/>
        </patternFill>
      </fill>
    </dxf>
    <dxf>
      <fill>
        <patternFill patternType="solid">
          <fgColor rgb="FFFFF4D1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 patternType="solid">
          <fgColor rgb="FF1B4E7D"/>
          <bgColor rgb="FF000000"/>
        </patternFill>
      </fill>
    </dxf>
    <dxf>
      <fill>
        <patternFill patternType="solid">
          <fgColor rgb="FF1C3565"/>
          <bgColor rgb="FF000000"/>
        </patternFill>
      </fill>
    </dxf>
    <dxf>
      <fill>
        <patternFill patternType="solid">
          <fgColor rgb="FFEFF4FF"/>
          <bgColor rgb="FF000000"/>
        </patternFill>
      </fill>
    </dxf>
    <dxf>
      <fill>
        <patternFill patternType="solid">
          <fgColor rgb="FFFFF8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AF7EB"/>
          <bgColor rgb="FF000000"/>
        </patternFill>
      </fill>
    </dxf>
    <dxf>
      <fill>
        <patternFill patternType="solid">
          <fgColor rgb="FFECF4FE"/>
          <bgColor rgb="FF000000"/>
        </patternFill>
      </fill>
    </dxf>
    <dxf>
      <fill>
        <patternFill patternType="solid">
          <fgColor rgb="FFFFEEEF"/>
          <bgColor rgb="FF000000"/>
        </patternFill>
      </fill>
    </dxf>
    <dxf>
      <fill>
        <patternFill patternType="solid">
          <fgColor rgb="FFFFF3E3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026304"/>
          <bgColor rgb="FF000000"/>
        </patternFill>
      </fill>
    </dxf>
    <dxf>
      <fill>
        <patternFill patternType="solid">
          <fgColor rgb="FFEC5503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1A237E"/>
          <bgColor rgb="FF000000"/>
        </patternFill>
      </fill>
    </dxf>
    <dxf>
      <fill>
        <patternFill patternType="solid">
          <fgColor rgb="FF7B1FA2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192035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064E3B"/>
          <bgColor rgb="FF000000"/>
        </patternFill>
      </fill>
    </dxf>
    <dxf>
      <fill>
        <patternFill patternType="solid">
          <fgColor rgb="FF0F766E"/>
          <bgColor rgb="FF000000"/>
        </patternFill>
      </fill>
    </dxf>
    <dxf>
      <fill>
        <patternFill patternType="solid">
          <fgColor rgb="FF14532D"/>
          <bgColor rgb="FF000000"/>
        </patternFill>
      </fill>
    </dxf>
    <dxf>
      <fill>
        <patternFill patternType="solid">
          <fgColor rgb="FF1E3A5F"/>
          <bgColor rgb="FF000000"/>
        </patternFill>
      </fill>
    </dxf>
    <dxf>
      <fill>
        <patternFill patternType="solid">
          <fgColor rgb="FF4C1D95"/>
          <bgColor rgb="FF000000"/>
        </patternFill>
      </fill>
    </dxf>
    <dxf>
      <fill>
        <patternFill patternType="solid">
          <fgColor rgb="FF713F12"/>
          <bgColor rgb="FF000000"/>
        </patternFill>
      </fill>
    </dxf>
    <dxf>
      <fill>
        <patternFill patternType="solid">
          <fgColor rgb="FF7F1D1D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A3412"/>
          <bgColor rgb="FF000000"/>
        </patternFill>
      </fill>
    </dxf>
    <dxf>
      <fill>
        <patternFill patternType="solid">
          <fgColor rgb="FF0949B0"/>
          <bgColor rgb="FF000000"/>
        </patternFill>
      </fill>
    </dxf>
    <dxf>
      <fill>
        <patternFill patternType="solid">
          <fgColor rgb="FFE9F6FD"/>
          <bgColor rgb="FF000000"/>
        </patternFill>
      </fill>
    </dxf>
    <dxf>
      <fill>
        <patternFill patternType="solid">
          <fgColor rgb="FFBCDDF6"/>
          <bgColor rgb="FF000000"/>
        </patternFill>
      </fill>
    </dxf>
    <dxf>
      <fill>
        <patternFill patternType="solid">
          <fgColor rgb="FFD0D9D7"/>
          <bgColor rgb="FF000000"/>
        </patternFill>
      </fill>
    </dxf>
    <dxf>
      <fill>
        <patternFill patternType="solid">
          <fgColor rgb="FFD3E4DD"/>
          <bgColor rgb="FF000000"/>
        </patternFill>
      </fill>
    </dxf>
    <dxf>
      <fill>
        <patternFill patternType="solid">
          <fgColor rgb="FFE9F6EA"/>
          <bgColor rgb="FF000000"/>
        </patternFill>
      </fill>
    </dxf>
    <dxf>
      <fill>
        <patternFill patternType="solid">
          <fgColor rgb="FFEBF5FE"/>
          <bgColor rgb="FF000000"/>
        </patternFill>
      </fill>
    </dxf>
    <dxf>
      <fill>
        <patternFill patternType="solid">
          <fgColor rgb="FFFADFCE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5CB"/>
          <bgColor rgb="FF000000"/>
        </patternFill>
      </fill>
    </dxf>
    <dxf>
      <fill>
        <patternFill patternType="solid">
          <fgColor rgb="FFFFFBA5"/>
          <bgColor rgb="FF000000"/>
        </patternFill>
      </fill>
    </dxf>
    <dxf>
      <fill>
        <patternFill patternType="solid">
          <fgColor rgb="FF4CAF50"/>
          <bgColor rgb="FF000000"/>
        </patternFill>
      </fill>
    </dxf>
    <dxf>
      <fill>
        <patternFill patternType="solid">
          <fgColor rgb="FF55B24E"/>
          <bgColor rgb="FF000000"/>
        </patternFill>
      </fill>
    </dxf>
    <dxf>
      <fill>
        <patternFill patternType="solid">
          <fgColor rgb="FF5EB54D"/>
          <bgColor rgb="FF000000"/>
        </patternFill>
      </fill>
    </dxf>
    <dxf>
      <fill>
        <patternFill patternType="solid">
          <fgColor rgb="FF67B84C"/>
          <bgColor rgb="FF000000"/>
        </patternFill>
      </fill>
    </dxf>
    <dxf>
      <fill>
        <patternFill patternType="solid">
          <fgColor rgb="FF70BB4B"/>
          <bgColor rgb="FF000000"/>
        </patternFill>
      </fill>
    </dxf>
    <dxf>
      <fill>
        <patternFill patternType="solid">
          <fgColor rgb="FF79BE4A"/>
          <bgColor rgb="FF000000"/>
        </patternFill>
      </fill>
    </dxf>
    <dxf>
      <fill>
        <patternFill patternType="solid">
          <fgColor rgb="FF82C149"/>
          <bgColor rgb="FF000000"/>
        </patternFill>
      </fill>
    </dxf>
    <dxf>
      <fill>
        <patternFill patternType="solid">
          <fgColor rgb="FF94C747"/>
          <bgColor rgb="FF000000"/>
        </patternFill>
      </fill>
    </dxf>
    <dxf>
      <fill>
        <patternFill patternType="solid">
          <fgColor rgb="FF9DCA46"/>
          <bgColor rgb="FF000000"/>
        </patternFill>
      </fill>
    </dxf>
    <dxf>
      <fill>
        <patternFill patternType="solid">
          <fgColor rgb="FFA6CD45"/>
          <bgColor rgb="FF000000"/>
        </patternFill>
      </fill>
    </dxf>
    <dxf>
      <fill>
        <patternFill patternType="solid">
          <fgColor rgb="FFAFD044"/>
          <bgColor rgb="FF000000"/>
        </patternFill>
      </fill>
    </dxf>
    <dxf>
      <fill>
        <patternFill patternType="solid">
          <fgColor rgb="FFB8D343"/>
          <bgColor rgb="FF000000"/>
        </patternFill>
      </fill>
    </dxf>
    <dxf>
      <fill>
        <patternFill patternType="solid">
          <fgColor rgb="FFCAD941"/>
          <bgColor rgb="FF000000"/>
        </patternFill>
      </fill>
    </dxf>
    <dxf>
      <fill>
        <patternFill patternType="solid">
          <fgColor rgb="FFD3DC40"/>
          <bgColor rgb="FF000000"/>
        </patternFill>
      </fill>
    </dxf>
    <dxf>
      <fill>
        <patternFill patternType="solid">
          <fgColor rgb="FFDCDF3F"/>
          <bgColor rgb="FF000000"/>
        </patternFill>
      </fill>
    </dxf>
    <dxf>
      <fill>
        <patternFill patternType="solid">
          <fgColor rgb="FFE5E23E"/>
          <bgColor rgb="FF000000"/>
        </patternFill>
      </fill>
    </dxf>
    <dxf>
      <fill>
        <patternFill patternType="solid">
          <fgColor rgb="FFEEE53D"/>
          <bgColor rgb="FF000000"/>
        </patternFill>
      </fill>
    </dxf>
    <dxf>
      <fill>
        <patternFill patternType="solid">
          <fgColor rgb="FFF7E83C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7F64"/>
          <bgColor rgb="FF000000"/>
        </patternFill>
      </fill>
    </dxf>
    <dxf>
      <fill>
        <patternFill patternType="solid">
          <fgColor rgb="FFFF8561"/>
          <bgColor rgb="FF000000"/>
        </patternFill>
      </fill>
    </dxf>
    <dxf>
      <fill>
        <patternFill patternType="solid">
          <fgColor rgb="FFFF8C5F"/>
          <bgColor rgb="FF000000"/>
        </patternFill>
      </fill>
    </dxf>
    <dxf>
      <fill>
        <patternFill patternType="solid">
          <fgColor rgb="FFFF9A5A"/>
          <bgColor rgb="FF000000"/>
        </patternFill>
      </fill>
    </dxf>
    <dxf>
      <fill>
        <patternFill patternType="solid">
          <fgColor rgb="FFFFA057"/>
          <bgColor rgb="FF000000"/>
        </patternFill>
      </fill>
    </dxf>
    <dxf>
      <fill>
        <patternFill patternType="solid">
          <fgColor rgb="FFFFA755"/>
          <bgColor rgb="FF000000"/>
        </patternFill>
      </fill>
    </dxf>
    <dxf>
      <fill>
        <patternFill patternType="solid">
          <fgColor rgb="FFFFAE52"/>
          <bgColor rgb="FF000000"/>
        </patternFill>
      </fill>
    </dxf>
    <dxf>
      <fill>
        <patternFill patternType="solid">
          <fgColor rgb="FFFFB550"/>
          <bgColor rgb="FF000000"/>
        </patternFill>
      </fill>
    </dxf>
    <dxf>
      <fill>
        <patternFill patternType="solid">
          <fgColor rgb="FFFFBB4D"/>
          <bgColor rgb="FF000000"/>
        </patternFill>
      </fill>
    </dxf>
    <dxf>
      <fill>
        <patternFill patternType="solid">
          <fgColor rgb="FFFFC24B"/>
          <bgColor rgb="FF000000"/>
        </patternFill>
      </fill>
    </dxf>
    <dxf>
      <fill>
        <patternFill patternType="solid">
          <fgColor rgb="FFFFC948"/>
          <bgColor rgb="FF000000"/>
        </patternFill>
      </fill>
    </dxf>
    <dxf>
      <fill>
        <patternFill patternType="solid">
          <fgColor rgb="FFFFD046"/>
          <bgColor rgb="FF000000"/>
        </patternFill>
      </fill>
    </dxf>
    <dxf>
      <fill>
        <patternFill patternType="solid">
          <fgColor rgb="FFFFD643"/>
          <bgColor rgb="FF000000"/>
        </patternFill>
      </fill>
    </dxf>
    <dxf>
      <fill>
        <patternFill patternType="solid">
          <fgColor rgb="FFFFDD41"/>
          <bgColor rgb="FF000000"/>
        </patternFill>
      </fill>
    </dxf>
    <dxf>
      <fill>
        <patternFill patternType="solid">
          <fgColor rgb="FFFFE43E"/>
          <bgColor rgb="FF000000"/>
        </patternFill>
      </fill>
    </dxf>
    <dxf>
      <fill>
        <patternFill patternType="solid">
          <fgColor rgb="FFFFEB3B"/>
          <bgColor rgb="FF000000"/>
        </patternFill>
      </fill>
    </dxf>
    <dxf>
      <fill>
        <patternFill patternType="solid">
          <fgColor rgb="FF1E7145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DEC"/>
          <bgColor rgb="FF000000"/>
        </patternFill>
      </fill>
    </dxf>
    <dxf>
      <fill>
        <patternFill patternType="solid">
          <fgColor rgb="FF795548"/>
          <bgColor rgb="FF000000"/>
        </patternFill>
      </fill>
    </dxf>
  </dxfs>
  <colors>
    <indexedColors>
      <rgbColor rgb="FF000000"/>
      <rgbColor rgb="FFFFFFFF"/>
      <rgbColor rgb="FFFF0000"/>
      <rgbColor rgb="FFF0FBEF"/>
      <rgbColor rgb="FF0000FF"/>
      <rgbColor rgb="FFFFFF00"/>
      <rgbColor rgb="FFF8F9FF"/>
      <rgbColor rgb="FFEAF7EB"/>
      <rgbColor rgb="FFC40402"/>
      <rgbColor rgb="FF026306"/>
      <rgbColor rgb="FF191F34"/>
      <rgbColor rgb="FFF2F2F3"/>
      <rgbColor rgb="FF651FA2"/>
      <rgbColor rgb="FF1B4E7D"/>
      <rgbColor rgb="FFC0B2B5"/>
      <rgbColor rgb="FFEEEEFF"/>
      <rgbColor rgb="FFF1E3ED"/>
      <rgbColor rgb="FFFFEEEF"/>
      <rgbColor rgb="FFFFF5CB"/>
      <rgbColor rgb="FFD6FCEE"/>
      <rgbColor rgb="FFF9FAFD"/>
      <rgbColor rgb="FFFFECEF"/>
      <rgbColor rgb="FF0C83C4"/>
      <rgbColor rgb="FFBCDDF5"/>
      <rgbColor rgb="FF0B0F0C"/>
      <rgbColor rgb="FFF8F9FA"/>
      <rgbColor rgb="FFFFF4D1"/>
      <rgbColor rgb="FFECF5FE"/>
      <rgbColor rgb="FFF7F9FE"/>
      <rgbColor rgb="FFFFFDEC"/>
      <rgbColor rgb="FFF7F8FA"/>
      <rgbColor rgb="FFFFFCF3"/>
      <rgbColor rgb="FFEEF2FF"/>
      <rgbColor rgb="FFE8F7E9"/>
      <rgbColor rgb="FFD6F7E3"/>
      <rgbColor rgb="FFFFFBB1"/>
      <rgbColor rgb="FFCCCCCC"/>
      <rgbColor rgb="FFFEE4D2"/>
      <rgbColor rgb="FFD2E0DC"/>
      <rgbColor rgb="FFEED0C5"/>
      <rgbColor rgb="FF0949B0"/>
      <rgbColor rgb="FFE5EEEC"/>
      <rgbColor rgb="FFE1EFE5"/>
      <rgbColor rgb="FFFFF3E0"/>
      <rgbColor rgb="FFFFF3E3"/>
      <rgbColor rgb="FFED5F03"/>
      <rgbColor rgb="FF5F5F60"/>
      <rgbColor rgb="FF899187"/>
      <rgbColor rgb="FF003266"/>
      <rgbColor rgb="FFF1EEFF"/>
      <rgbColor rgb="FF121B22"/>
      <rgbColor rgb="FF1C3B2A"/>
      <rgbColor rgb="FF834007"/>
      <rgbColor rgb="FFEFF4FF"/>
      <rgbColor rgb="FF1C3564"/>
      <rgbColor rgb="FF343E2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0B374"/>
    <outlinePr summaryBelow="1" summaryRight="1"/>
    <pageSetUpPr fitToPage="0"/>
  </sheetPr>
  <dimension ref="A1:D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665" min="1" max="1"/>
    <col width="48" customWidth="1" style="1665" min="2" max="2"/>
    <col width="52" customWidth="1" style="1665" min="3" max="3"/>
    <col width="18" customWidth="1" style="1665" min="4" max="4"/>
  </cols>
  <sheetData>
    <row r="1" ht="39.75" customHeight="1" s="1666">
      <c r="A1" s="1667" t="inlineStr">
        <is>
          <t>🧠  CLAUDE CONTEXT  —  Mémoire de session · Auto-généré · Ne pas modifier manuellement</t>
        </is>
      </c>
    </row>
    <row r="2" ht="19.5" customHeight="1" s="1666">
      <c r="A2" s="1668" t="inlineStr">
        <is>
          <t>Uploader ce fichier à chaque session → Claude lit ce bloc en premier et reprend le contexte complet instantanément</t>
        </is>
      </c>
    </row>
    <row r="3" ht="6" customHeight="1" s="1666"/>
    <row r="4" ht="27.75" customHeight="1" s="1666">
      <c r="A4" s="1669" t="inlineStr">
        <is>
          <t>📋  DERNIÈRE SESSION</t>
        </is>
      </c>
    </row>
    <row r="5" ht="19.5" customHeight="1" s="1666">
      <c r="A5" s="1670" t="inlineStr">
        <is>
          <t>Version fichier</t>
        </is>
      </c>
      <c r="B5" s="1671" t="inlineStr">
        <is>
          <t>v63-S39</t>
        </is>
      </c>
      <c r="C5" s="1672" t="inlineStr">
        <is>
          <t>Mis à jour automatiquement par Claude en fin de session</t>
        </is>
      </c>
    </row>
    <row r="6" ht="19.5" customHeight="1" s="1666">
      <c r="A6" s="1670" t="inlineStr">
        <is>
          <t>Date session</t>
        </is>
      </c>
      <c r="B6" s="1671" t="inlineStr">
        <is>
          <t>13 mars 2026</t>
        </is>
      </c>
      <c r="C6" s="1672" t="inlineStr">
        <is>
          <t>HNE · Nunavik</t>
        </is>
      </c>
    </row>
    <row r="7" ht="19.5" customHeight="1" s="1666">
      <c r="A7" s="1670" t="inlineStr">
        <is>
          <t>Prochaine session</t>
        </is>
      </c>
      <c r="B7" s="1671" t="inlineStr">
        <is>
          <t>S36 — xlsx v59 + dashboard v16 + CLAUDE.md + data.json</t>
        </is>
      </c>
    </row>
    <row r="8" ht="6" customHeight="1" s="1666"/>
    <row r="9" ht="27.75" customHeight="1" s="1666">
      <c r="A9" s="1673" t="inlineStr">
        <is>
          <t>📊  ÉTAT PORTFOLIO · 13 MARS 2026</t>
        </is>
      </c>
    </row>
    <row r="10" ht="19.5" customHeight="1" s="1666">
      <c r="A10" s="1670" t="inlineStr">
        <is>
          <t>Total CAD</t>
        </is>
      </c>
      <c r="B10" s="1671" t="inlineStr">
        <is>
          <t>~$89,674 CAD (XEQT 100u confirmé · data.json 8h55 +$3,993)</t>
        </is>
      </c>
      <c r="C10" s="1672" t="inlineStr">
        <is>
          <t>ATH: $87,252 · 10 mars 2026</t>
        </is>
      </c>
    </row>
    <row r="11" ht="19.5" customHeight="1" s="1666">
      <c r="A11" s="1670" t="inlineStr">
        <is>
          <t>P&amp;L ouvert</t>
        </is>
      </c>
      <c r="B11" s="1674" t="inlineStr">
        <is>
          <t>+$13,469 CAD estimé · recalcul S36 avec data.json</t>
        </is>
      </c>
    </row>
    <row r="12" ht="19.5" customHeight="1" s="1666">
      <c r="A12" s="1670" t="inlineStr">
        <is>
          <t>Coût de base</t>
        </is>
      </c>
      <c r="B12" s="1671" t="inlineStr">
        <is>
          <t>$76,054.68</t>
        </is>
      </c>
    </row>
    <row r="13" ht="19.5" customHeight="1" s="1666">
      <c r="A13" s="1670" t="inlineStr">
        <is>
          <t>TFSA</t>
        </is>
      </c>
      <c r="B13" s="1671" t="inlineStr">
        <is>
          <t>$68,137</t>
        </is>
      </c>
      <c r="C13" s="1672" t="inlineStr">
        <is>
          <t>Dépôts: $51,500 · P&amp;L +34.37%</t>
        </is>
      </c>
    </row>
    <row r="14" ht="19.5" customHeight="1" s="1666">
      <c r="A14" s="1670" t="inlineStr">
        <is>
          <t>FHSA</t>
        </is>
      </c>
      <c r="B14" s="1671" t="inlineStr">
        <is>
          <t>$18,772 CAD · XEQT 115u (100 FHSA + 25 TFSA) · VFV 16u FHSA</t>
        </is>
      </c>
      <c r="C14" s="1672" t="inlineStr">
        <is>
          <t>XEQT 100u @$39.93 + VFV 16u · Objectif: $40,000</t>
        </is>
      </c>
    </row>
    <row r="15" ht="19.5" customHeight="1" s="1666">
      <c r="A15" s="1670" t="inlineStr">
        <is>
          <t>REER</t>
        </is>
      </c>
      <c r="B15" s="1671" t="inlineStr">
        <is>
          <t>$2,765</t>
        </is>
      </c>
      <c r="C15" s="1672" t="inlineStr">
        <is>
          <t>SCHD 64.3053u + JEPI 1u + cash $1.26 CAD</t>
        </is>
      </c>
    </row>
    <row r="16" ht="19.5" customHeight="1" s="1666">
      <c r="A16" s="1670" t="inlineStr">
        <is>
          <t>USD/CAD</t>
        </is>
      </c>
      <c r="B16" s="1671" t="inlineStr">
        <is>
          <t>1.3702</t>
        </is>
      </c>
      <c r="C16" s="1672" t="inlineStr">
        <is>
          <t>Dynamique — fallback config</t>
        </is>
      </c>
    </row>
    <row r="17" ht="19.5" customHeight="1" s="1666">
      <c r="A17" s="1670" t="inlineStr">
        <is>
          <t>Positions actives</t>
        </is>
      </c>
      <c r="B17" s="1671" t="inlineStr">
        <is>
          <t>40 — TFSA 26 · FHSA 12 · REER 2</t>
        </is>
      </c>
      <c r="C17" s="1672" t="inlineStr">
        <is>
          <t>TFSA 26 · FHSA 12 · REER 2</t>
        </is>
      </c>
    </row>
    <row r="18" ht="19.5" customHeight="1" s="1666">
      <c r="A18" s="1670" t="inlineStr">
        <is>
          <t>USD exposition</t>
        </is>
      </c>
      <c r="B18" s="1671" t="inlineStr">
        <is>
          <t>~62%</t>
        </is>
      </c>
      <c r="C18" s="1672" t="inlineStr">
        <is>
          <t>✅ Sous seuil 65%</t>
        </is>
      </c>
    </row>
    <row r="19" ht="6" customHeight="1" s="1666"/>
    <row r="20" ht="27.75" customHeight="1" s="1666">
      <c r="A20" s="1675" t="inlineStr">
        <is>
          <t>🔴  ACTIONS OUVERTES — PRIORITÉ S36</t>
        </is>
      </c>
    </row>
    <row r="21" ht="19.5" customHeight="1" s="1666">
      <c r="A21" s="1676" t="inlineStr">
        <is>
          <t>🔴 URGENT</t>
        </is>
      </c>
      <c r="B21" s="1677" t="inlineStr">
        <is>
          <t>EQ Bank HISA — ouvrir compte</t>
        </is>
      </c>
      <c r="C21" s="1672" t="inlineStr">
        <is>
          <t>$0 actuel → cible $15,000 · $1,500/mois automatique</t>
        </is>
      </c>
    </row>
    <row r="22" ht="19.5" customHeight="1" s="1666">
      <c r="A22" s="1676" t="inlineStr">
        <is>
          <t>🔴 URGENT</t>
        </is>
      </c>
      <c r="B22" s="1677" t="inlineStr">
        <is>
          <t>Bénéficiaires Questrade</t>
        </is>
      </c>
      <c r="C22" s="1672" t="inlineStr">
        <is>
          <t>TFSA + FHSA + REER sans bénéficiaires · ~$87K non protégé · 5 min</t>
        </is>
      </c>
    </row>
    <row r="23" ht="19.5" customHeight="1" s="1666">
      <c r="A23" s="1676" t="inlineStr">
        <is>
          <t>🔴 URGENT</t>
        </is>
      </c>
      <c r="B23" s="1677" t="inlineStr">
        <is>
          <t>Automatiser $5,000/mois</t>
        </is>
      </c>
      <c r="C23" s="1672" t="inlineStr">
        <is>
          <t>Avant 15 avril · REER $2K + FHSA $1K + TFSA $500 + EQ Bank $1.5K</t>
        </is>
      </c>
    </row>
    <row r="24" ht="19.5" customHeight="1" s="1666">
      <c r="A24" s="1678" t="inlineStr">
        <is>
          <t>🟡 IMPORTANT</t>
        </is>
      </c>
      <c r="B24" s="1679" t="inlineStr">
        <is>
          <t>Post-BdC 18 mars → ZRE+XIC+VDU vers VFV.TO</t>
        </is>
      </c>
      <c r="C24" s="1672" t="inlineStr">
        <is>
          <t>~$1,878 à recycler de T4 vers T1 dans TFSA</t>
        </is>
      </c>
    </row>
    <row r="25" ht="19.5" customHeight="1" s="1666">
      <c r="A25" s="1678" t="inlineStr">
        <is>
          <t>🟡 IMPORTANT</t>
        </is>
      </c>
      <c r="B25" s="1679" t="inlineStr">
        <is>
          <t>FHSA T4 trop élevé → recycler vers VFV.TO</t>
        </is>
      </c>
      <c r="C25" s="1672" t="inlineStr">
        <is>
          <t>REI+SRU+XIC+XEI FHSA = $4,752 T4 · compte double exonération = max T1</t>
        </is>
      </c>
    </row>
    <row r="26" ht="19.5" customHeight="1" s="1666">
      <c r="A26" s="1680" t="inlineStr">
        <is>
          <t>📅 CALENDRIER</t>
        </is>
      </c>
      <c r="B26" s="1681" t="inlineStr">
        <is>
          <t>Verdicts J+30 → 11 avril</t>
        </is>
      </c>
      <c r="C26" s="1672" t="inlineStr">
        <is>
          <t>AVGO · SMH · GEV · SCHD · PLZ.UN · calculer alpha vs VFV.TO</t>
        </is>
      </c>
    </row>
    <row r="27" ht="6" customHeight="1" s="1666"/>
    <row r="28" ht="27.75" customHeight="1" s="1666">
      <c r="A28" s="1682" t="inlineStr">
        <is>
          <t>✅  ACCOMPLI — S34-S35 · 13 MARS 2026</t>
        </is>
      </c>
    </row>
    <row r="29" ht="19.5" customHeight="1" s="1666">
      <c r="A29" s="1670" t="inlineStr">
        <is>
          <t>✅ Trade</t>
        </is>
      </c>
      <c r="B29" s="1671" t="inlineStr">
        <is>
          <t>Research marché exhaustif mars 2026 complété (macro Iran/Fed/TSX + top 15 actions + 15 ETFs)</t>
        </is>
      </c>
      <c r="C29" s="1672" t="inlineStr">
        <is>
          <t>TFSA qty=0 confirmé</t>
        </is>
      </c>
    </row>
    <row r="30" ht="19.5" customHeight="1" s="1666">
      <c r="A30" s="1670" t="inlineStr">
        <is>
          <t>✅ Trade</t>
        </is>
      </c>
      <c r="B30" s="1671" t="inlineStr">
        <is>
          <t>XEQT.TO 100u @$39.93 FHSA exécuté 15:06:55 ET · décision modifiée 50/50 → 100% XEQT suite Research</t>
        </is>
      </c>
      <c r="C30" s="1672" t="inlineStr">
        <is>
          <t>13 mars 2026</t>
        </is>
      </c>
    </row>
    <row r="31" ht="19.5" customHeight="1" s="1666">
      <c r="A31" s="1670" t="inlineStr">
        <is>
          <t>✅ Dashboard</t>
        </is>
      </c>
      <c r="B31" s="1671" t="inlineStr">
        <is>
          <t>portfolio_dashboard_v16.html</t>
        </is>
      </c>
      <c r="C31" s="1672" t="inlineStr">
        <is>
          <t>Tickers cliquables · tri interactif · graphiques Chart.js jouables · 30 factsheets</t>
        </is>
      </c>
    </row>
    <row r="32" ht="19.5" customHeight="1" s="1666">
      <c r="A32" s="1670" t="inlineStr">
        <is>
          <t>✅ Dashboard</t>
        </is>
      </c>
      <c r="B32" s="1671" t="inlineStr">
        <is>
          <t>xlsx v63-S39</t>
        </is>
      </c>
      <c r="C32" s="1672" t="inlineStr">
        <is>
          <t>Cerveau multi-piliers · CLAUDE CONTEXT · APPRENTISSAGE · CORPS · CULTURE · PROJET DE VIE</t>
        </is>
      </c>
    </row>
    <row r="33" ht="19.5" customHeight="1" s="1666">
      <c r="A33" s="1670" t="inlineStr">
        <is>
          <t>✅ Système</t>
        </is>
      </c>
      <c r="B33" s="1671" t="inlineStr">
        <is>
          <t>CLAUDE CONTEXT intégré dans xlsx</t>
        </is>
      </c>
      <c r="C33" s="1672" t="inlineStr">
        <is>
          <t>Onglet auto-généré · 0 upload manuel requis</t>
        </is>
      </c>
    </row>
    <row r="34" ht="6" customHeight="1" s="1666"/>
    <row r="35" ht="27.75" customHeight="1" s="1666">
      <c r="A35" s="1683" t="inlineStr">
        <is>
          <t>🧠  DÉCISIONS &amp; RAISONNEMENTS CLÉS</t>
        </is>
      </c>
    </row>
    <row r="36" ht="19.5" customHeight="1" s="1666">
      <c r="A36" s="1670" t="inlineStr">
        <is>
          <t>Plan cotisation</t>
        </is>
      </c>
      <c r="B36" s="1671" t="inlineStr">
        <is>
          <t>$5,000/mois confirmé S16</t>
        </is>
      </c>
      <c r="C36" s="1672" t="inlineStr">
        <is>
          <t>REER $2K + FHSA $1K + TFSA $500 + EQ Bank $1.5K · surplus libre $1,768/mois</t>
        </is>
      </c>
    </row>
    <row r="37" ht="19.5" customHeight="1" s="1666">
      <c r="A37" s="1670" t="inlineStr">
        <is>
          <t>Snowball REER</t>
        </is>
      </c>
      <c r="B37" s="1671" t="inlineStr">
        <is>
          <t>$2K/mois SCHD → ~$1,060 ARC remboursé</t>
        </is>
      </c>
      <c r="C37" s="1672" t="inlineStr">
        <is>
          <t>52.98% taux marginal Québec · mécanique clé</t>
        </is>
      </c>
    </row>
    <row r="38" ht="19.5" customHeight="1" s="1666">
      <c r="A38" s="1670" t="inlineStr">
        <is>
          <t>FI objectif</t>
        </is>
      </c>
      <c r="B38" s="1671" t="inlineStr">
        <is>
          <t>$2.1M = plancher · jamais plafond</t>
        </is>
      </c>
      <c r="C38" s="1672" t="inlineStr">
        <is>
          <t>Liberté &amp; optionalité · pas un chiffre fixe</t>
        </is>
      </c>
    </row>
    <row r="39" ht="19.5" customHeight="1" s="1666">
      <c r="A39" s="1670" t="inlineStr">
        <is>
          <t>Maison 2030+</t>
        </is>
      </c>
      <c r="B39" s="1671" t="inlineStr">
        <is>
          <t>RAP $60K (REER) + FHSA $40K = $100K mise de fonds</t>
        </is>
      </c>
      <c r="C39" s="1672" t="inlineStr">
        <is>
          <t>Solo · timeline révisée de 2028 à 2030+</t>
        </is>
      </c>
    </row>
    <row r="40" ht="19.5" customHeight="1" s="1666">
      <c r="A40" s="1670" t="inlineStr">
        <is>
          <t>Psychologie</t>
        </is>
      </c>
      <c r="B40" s="1671" t="inlineStr">
        <is>
          <t>Buy-the-dip T1 = conviction forte</t>
        </is>
      </c>
      <c r="C40" s="1672" t="inlineStr">
        <is>
          <t>COVID 2020 ancre · -30%+ = ACHETER PLUS · frein = liquidités + timing</t>
        </is>
      </c>
    </row>
    <row r="41" ht="6" customHeight="1" s="1666"/>
    <row r="42" ht="27.75" customHeight="1" s="1666">
      <c r="A42" s="1684" t="inlineStr">
        <is>
          <t>⚠️  RÈGLES ABSOLUES — Claude applique sans exception</t>
        </is>
      </c>
    </row>
    <row r="43" ht="19.5" customHeight="1" s="1666">
      <c r="A43" s="1670" t="inlineStr">
        <is>
          <t>🚫 JAMAIS</t>
        </is>
      </c>
      <c r="B43" s="1671" t="inlineStr">
        <is>
          <t>Vendre T.TO ou MFC.TO dans TFSA</t>
        </is>
      </c>
      <c r="C43" s="1672" t="inlineStr">
        <is>
          <t>Room de contribution perdu à jamais si vendu</t>
        </is>
      </c>
    </row>
    <row r="44" ht="19.5" customHeight="1" s="1666">
      <c r="A44" s="1670" t="inlineStr">
        <is>
          <t>🚫 JAMAIS</t>
        </is>
      </c>
      <c r="B44" s="1671" t="inlineStr">
        <is>
          <t>Recréer le xlsx de zéro</t>
        </is>
      </c>
      <c r="C44" s="1672" t="inlineStr">
        <is>
          <t>Toujours load_workbook — 2133 formules à préserver</t>
        </is>
      </c>
    </row>
    <row r="45" ht="19.5" customHeight="1" s="1666">
      <c r="A45" s="1670" t="inlineStr">
        <is>
          <t>🚫 JAMAIS</t>
        </is>
      </c>
      <c r="B45" s="1671" t="inlineStr">
        <is>
          <t>Modifier xlsx sans autorisation explicite de Hey</t>
        </is>
      </c>
      <c r="C45" s="1672" t="inlineStr">
        <is>
          <t>Demander "go" avant tout code</t>
        </is>
      </c>
    </row>
    <row r="46" ht="19.5" customHeight="1" s="1666">
      <c r="A46" s="1670" t="inlineStr">
        <is>
          <t>✅ TOUJOURS</t>
        </is>
      </c>
      <c r="B46" s="1671" t="inlineStr">
        <is>
          <t>Vérifier room FHSA avant cotisation</t>
        </is>
      </c>
      <c r="C46" s="1672" t="inlineStr">
        <is>
          <t>Room 2026 restant: ~$13,700</t>
        </is>
      </c>
    </row>
    <row r="47" ht="19.5" customHeight="1" s="1666">
      <c r="A47" s="1670" t="inlineStr">
        <is>
          <t>✅ TOUJOURS</t>
        </is>
      </c>
      <c r="B47" s="1671" t="inlineStr">
        <is>
          <t>Vérifier earnings calendar avant achat T1/T2</t>
        </is>
      </c>
      <c r="C47" s="1672" t="inlineStr">
        <is>
          <t>No-buy META av. 28 avr · AVGO av. 4 juin · NVDA av. 21 mai</t>
        </is>
      </c>
    </row>
    <row r="48" ht="19.5" customHeight="1" s="1666">
      <c r="A48" s="1670" t="inlineStr">
        <is>
          <t>✅ TOUJOURS</t>
        </is>
      </c>
      <c r="B48" s="1671" t="inlineStr">
        <is>
          <t>USD expo ≤65% · IA expo ≤45%</t>
        </is>
      </c>
      <c r="C48" s="1672" t="inlineStr">
        <is>
          <t>Actuellement: USD 44.8% ✅</t>
        </is>
      </c>
    </row>
    <row r="49" ht="6" customHeight="1" s="1666"/>
    <row r="50" ht="27.75" customHeight="1" s="1666">
      <c r="A50" s="1685" t="inlineStr">
        <is>
          <t>📁  FICHIERS À UPLOADER — S22</t>
        </is>
      </c>
    </row>
    <row r="51" ht="19.5" customHeight="1" s="1666">
      <c r="A51" s="1670" t="inlineStr">
        <is>
          <t>Fichier 1</t>
        </is>
      </c>
      <c r="B51" s="1671" t="inlineStr">
        <is>
          <t>Portefeuille_2026_v52_S22.xlsx</t>
        </is>
      </c>
      <c r="C51" s="1672" t="inlineStr">
        <is>
          <t>← CE fichier · cerveau principal</t>
        </is>
      </c>
    </row>
    <row r="52" ht="19.5" customHeight="1" s="1666">
      <c r="A52" s="1670" t="inlineStr">
        <is>
          <t>Fichier 2</t>
        </is>
      </c>
      <c r="B52" s="1671" t="inlineStr">
        <is>
          <t>portfolio_dashboard_v16.html</t>
        </is>
      </c>
      <c r="C52" s="1672" t="inlineStr">
        <is>
          <t>Dashboard portfolio · auto-save intégré</t>
        </is>
      </c>
    </row>
    <row r="53" ht="19.5" customHeight="1" s="1666">
      <c r="A53" s="1670" t="inlineStr">
        <is>
          <t>Fichier 3</t>
        </is>
      </c>
      <c r="B53" s="1671" t="inlineStr">
        <is>
          <t>xlsx v63-S39</t>
        </is>
      </c>
      <c r="C53" s="1672" t="inlineStr">
        <is>
          <t>Life OS · auto-save intégré</t>
        </is>
      </c>
    </row>
    <row r="54" ht="19.5" customHeight="1" s="1666">
      <c r="A54" s="1670" t="inlineStr">
        <is>
          <t>Message</t>
        </is>
      </c>
      <c r="B54" s="1671" t="inlineStr">
        <is>
          <t>S22 — [actions faites depuis S21]</t>
        </is>
      </c>
      <c r="C54" s="1672" t="inlineStr">
        <is>
          <t>Claude reprend le contexte complet instantanément</t>
        </is>
      </c>
    </row>
    <row r="55" ht="6" customHeight="1" s="1666"/>
    <row r="56" ht="27.75" customHeight="1" s="1666">
      <c r="A56" s="1669" t="inlineStr">
        <is>
          <t>🔧  PRIORITÉ TECH S22 — GITHUB</t>
        </is>
      </c>
    </row>
    <row r="57" ht="19.5" customHeight="1" s="1666">
      <c r="A57" s="1670" t="inlineStr">
        <is>
          <t>Objectif</t>
        </is>
      </c>
      <c r="B57" s="1671" t="inlineStr">
        <is>
          <t>GitHub comme source de vérité centrale</t>
        </is>
      </c>
      <c r="C57" s="1672" t="inlineStr">
        <is>
          <t>Dashboard HTML sur GitHub Pages · fetch pointe vers repo GitHub</t>
        </is>
      </c>
    </row>
    <row r="58" ht="19.5" customHeight="1" s="1666">
      <c r="A58" s="1670" t="inlineStr">
        <is>
          <t>Pourquoi</t>
        </is>
      </c>
      <c r="B58" s="1671" t="inlineStr">
        <is>
          <t>Remplace Apps Script Google Sheets</t>
        </is>
      </c>
      <c r="C58" s="1672" t="inlineStr">
        <is>
          <t>Plus stable · accessible partout · pas besoin d'uploader à chaque session</t>
        </is>
      </c>
    </row>
    <row r="59" ht="19.5" customHeight="1" s="1666">
      <c r="A59" s="1670" t="inlineStr">
        <is>
          <t>État</t>
        </is>
      </c>
      <c r="B59" s="1671" t="inlineStr">
        <is>
          <t>⬜ À configurer S22</t>
        </is>
      </c>
      <c r="C59" s="1672" t="inlineStr">
        <is>
          <t>Étapes : créer repo → push HTML → GitHub Pages → mettre à jour fetch URL</t>
        </is>
      </c>
    </row>
    <row r="60" ht="6" customHeight="1" s="1666"/>
    <row r="61" ht="27.75" customHeight="1" s="1666">
      <c r="A61" s="1683" t="inlineStr">
        <is>
          <t>🔒  PROTOCOLE FERMETURE SESSION — Règles apprises</t>
        </is>
      </c>
    </row>
    <row r="62" ht="19.5" customHeight="1" s="1666">
      <c r="A62" s="1670" t="inlineStr">
        <is>
          <t>Règle 1</t>
        </is>
      </c>
      <c r="B62" s="1671" t="inlineStr">
        <is>
          <t>Ne jamais générer CLAUDE CONTEXT avant "c'est bon on ferme"</t>
        </is>
      </c>
      <c r="C62" s="1672" t="inlineStr">
        <is>
          <t>Les derniers échanges contiennent souvent des infos critiques</t>
        </is>
      </c>
    </row>
    <row r="63" ht="19.5" customHeight="1" s="1666">
      <c r="A63" s="1670" t="inlineStr">
        <is>
          <t>Règle 2</t>
        </is>
      </c>
      <c r="B63" s="1671" t="inlineStr">
        <is>
          <t>Scanner toute la conversation avant de livrer les fichiers finaux</t>
        </is>
      </c>
      <c r="C63" s="1672" t="inlineStr">
        <is>
          <t>Capturer tout ce qui n'est pas encore documenté</t>
        </is>
      </c>
    </row>
    <row r="64" ht="19.5" customHeight="1" s="1666">
      <c r="A64" s="1670" t="inlineStr">
        <is>
          <t>Règle 3</t>
        </is>
      </c>
      <c r="B64" s="1671" t="inlineStr">
        <is>
          <t>Poser la question de fermeture systématiquement</t>
        </is>
      </c>
      <c r="C64" s="1672" t="inlineStr">
        <is>
          <t>"Il y a quelque chose à intégrer avant qu'on ferme ?"</t>
        </is>
      </c>
    </row>
    <row r="65" ht="19.5" customHeight="1" s="1666">
      <c r="A65" s="1670" t="inlineStr">
        <is>
          <t>Erreur S21</t>
        </is>
      </c>
      <c r="B65" s="1671" t="inlineStr">
        <is>
          <t>GitHub mentionné → pas intégré dans CLAUDE CONTEXT</t>
        </is>
      </c>
      <c r="C65" s="1672" t="inlineStr">
        <is>
          <t>Corrigé après rappel · ne plus répéter</t>
        </is>
      </c>
    </row>
    <row r="66"/>
    <row r="67">
      <c r="A67" s="3271" t="inlineStr">
        <is>
          <t>✅  ACCOMPLI — S34-S35 · 13 MARS 2026</t>
        </is>
      </c>
    </row>
    <row r="68">
      <c r="A68" s="1665" t="inlineStr">
        <is>
          <t>✅ Trade</t>
        </is>
      </c>
      <c r="B68" s="1665" t="inlineStr">
        <is>
          <t>XEQT.TO 100u @$39.93 — $3,993 CAD — FHSA exécuté 15:06:55 ET</t>
        </is>
      </c>
    </row>
    <row r="69">
      <c r="A69" s="1665" t="inlineStr">
        <is>
          <t>✅ Analyse</t>
        </is>
      </c>
      <c r="B69" s="1665" t="inlineStr">
        <is>
          <t>Research marché exhaustif mars 2026 — macro Iran/Fed/TSX + top 15 actions + top 15 ETFs</t>
        </is>
      </c>
    </row>
    <row r="70">
      <c r="A70" s="1665" t="inlineStr">
        <is>
          <t>✅ Décision</t>
        </is>
      </c>
      <c r="B70" s="1665" t="inlineStr">
        <is>
          <t>100% XEQT vs 50/50 — Research confirme XEQT optimal pour profil déjà 62% USD</t>
        </is>
      </c>
    </row>
  </sheetData>
  <mergeCells count="53">
    <mergeCell ref="C6:D6"/>
    <mergeCell ref="C30:D30"/>
    <mergeCell ref="C24:D24"/>
    <mergeCell ref="C62:D62"/>
    <mergeCell ref="C15:D15"/>
    <mergeCell ref="C33:D33"/>
    <mergeCell ref="A4:D4"/>
    <mergeCell ref="A35:D35"/>
    <mergeCell ref="A20:D20"/>
    <mergeCell ref="C5:D5"/>
    <mergeCell ref="C58:D58"/>
    <mergeCell ref="C14:D14"/>
    <mergeCell ref="C45:D45"/>
    <mergeCell ref="C64:D64"/>
    <mergeCell ref="C26:D26"/>
    <mergeCell ref="A28:D28"/>
    <mergeCell ref="A9:D9"/>
    <mergeCell ref="C29:D29"/>
    <mergeCell ref="C10:D10"/>
    <mergeCell ref="C16:D16"/>
    <mergeCell ref="C47:D47"/>
    <mergeCell ref="C54:D54"/>
    <mergeCell ref="C25:D25"/>
    <mergeCell ref="C63:D63"/>
    <mergeCell ref="C65:D65"/>
    <mergeCell ref="C44:D44"/>
    <mergeCell ref="C22:D22"/>
    <mergeCell ref="C40:D40"/>
    <mergeCell ref="C31:D31"/>
    <mergeCell ref="C59:D59"/>
    <mergeCell ref="A1:D1"/>
    <mergeCell ref="C43:D43"/>
    <mergeCell ref="C46:D46"/>
    <mergeCell ref="C21:D21"/>
    <mergeCell ref="A61:D61"/>
    <mergeCell ref="C51:D51"/>
    <mergeCell ref="C36:D36"/>
    <mergeCell ref="C52:D52"/>
    <mergeCell ref="C48:D48"/>
    <mergeCell ref="C17:D17"/>
    <mergeCell ref="C23:D23"/>
    <mergeCell ref="C39:D39"/>
    <mergeCell ref="A56:D56"/>
    <mergeCell ref="C32:D32"/>
    <mergeCell ref="C38:D38"/>
    <mergeCell ref="A50:D50"/>
    <mergeCell ref="C57:D57"/>
    <mergeCell ref="C37:D37"/>
    <mergeCell ref="C13:D13"/>
    <mergeCell ref="A2:D2"/>
    <mergeCell ref="C18:D18"/>
    <mergeCell ref="C53:D53"/>
    <mergeCell ref="A42:D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Z6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3359375" defaultRowHeight="15" zeroHeight="0" outlineLevelRow="0"/>
  <cols>
    <col width="22" customWidth="1" style="1665" min="1" max="1"/>
    <col width="18" customWidth="1" style="1665" min="2" max="2"/>
    <col width="55" customWidth="1" style="1665" min="3" max="4"/>
    <col width="14" customWidth="1" style="1665" min="5" max="8"/>
    <col width="8.710000000000001" customWidth="1" style="1665" min="9" max="9"/>
  </cols>
  <sheetData>
    <row r="1" ht="33.75" customHeight="1" s="1666">
      <c r="A1" s="1686" t="inlineStr">
        <is>
          <t>🚀  DÉMARRAGE CLAUDE  ·  Portefeuille FI 2026  ·  v63-S39  ·  13 mars 2026  ·  Glisser ce fichier → Session démarre automatiquement</t>
        </is>
      </c>
      <c r="B1" s="1687" t="inlineStr">
        <is>
          <t>🚀  DÉMARRAGE CLAUDE  ·  Portefeuille FI 2026  ·  v63-S39  ·  13 mars 2026</t>
        </is>
      </c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B2" s="1688" t="inlineStr">
        <is>
          <t>"Lis du haut vers le bas → web search → ta 1ʳᵉ réponse = les 3 points les plus importants. Zéro question de contexte."</t>
        </is>
      </c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8" customHeight="1" s="1666"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A4" s="1689" t="inlineStr">
        <is>
          <t>📊  SNAPSHOT PORTFOLIO  ·  Soir 13 mars 2026  ·  Source: Questrade confirmé</t>
        </is>
      </c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B5" s="1690" t="inlineStr">
        <is>
          <t>COMPTE</t>
        </is>
      </c>
      <c r="C5" s="1690" t="inlineStr">
        <is>
          <t>VALEUR CAD</t>
        </is>
      </c>
      <c r="D5" s="1690" t="inlineStr">
        <is>
          <t>P&amp;L $</t>
        </is>
      </c>
      <c r="E5" s="1690" t="inlineStr">
        <is>
          <t>P&amp;L %</t>
        </is>
      </c>
      <c r="F5" s="1690" t="inlineStr">
        <is>
          <t>INVESTI</t>
        </is>
      </c>
      <c r="G5" s="1690" t="inlineStr">
        <is>
          <t>ACTIONS URGENTES</t>
        </is>
      </c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8" customHeight="1" s="1666">
      <c r="A6" s="1691" t="inlineStr">
        <is>
          <t>TFSA 📈</t>
        </is>
      </c>
      <c r="B6" s="1692">
        <f>'📈 PORTEFEUILLE'!C8</f>
        <v/>
      </c>
      <c r="C6" s="1692" t="n">
        <v>68072.95</v>
      </c>
      <c r="D6" s="1693">
        <f>'📈 PORTEFEUILLE'!G8</f>
        <v/>
      </c>
      <c r="E6" s="1692">
        <f>'📈 PORTEFEUILLE'!E8</f>
        <v/>
      </c>
      <c r="F6" s="1694" t="inlineStr">
        <is>
          <t>VFV.TO $1,000/mois · room $13,700 restant</t>
        </is>
      </c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8" customHeight="1" s="1666">
      <c r="A7" s="1691" t="inlineStr">
        <is>
          <t>FHSA 🏠</t>
        </is>
      </c>
      <c r="B7" s="1695">
        <f>'📈 PORTEFEUILLE'!C9</f>
        <v/>
      </c>
      <c r="C7" s="1695" t="n">
        <v>18816.32</v>
      </c>
      <c r="D7" s="1696">
        <f>'📈 PORTEFEUILLE'!G9</f>
        <v/>
      </c>
      <c r="E7" s="1695">
        <f>'📈 PORTEFEUILLE'!E9</f>
        <v/>
      </c>
      <c r="F7" s="1697" t="inlineStr">
        <is>
          <t>SCHD ✅ 64.3053u · +$1,060/mois ARC · Prochain: $2,000 le 12 mars</t>
        </is>
      </c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8" customHeight="1" s="1666">
      <c r="A8" s="1691" t="inlineStr">
        <is>
          <t>REER ❄️</t>
        </is>
      </c>
      <c r="B8" s="1698">
        <f>'📈 PORTEFEUILLE'!C10</f>
        <v/>
      </c>
      <c r="C8" s="1698" t="n">
        <v>2798.09</v>
      </c>
      <c r="D8" s="1699">
        <f>'📈 PORTEFEUILLE'!G10</f>
        <v/>
      </c>
      <c r="E8" s="1698">
        <f>'📈 PORTEFEUILLE'!E10</f>
        <v/>
      </c>
      <c r="F8" s="1700" t="inlineStr">
        <is>
          <t>✅ SCHD $2,000 REER exécuté · 64.3053u @ $30.80</t>
        </is>
      </c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8" customHeight="1" s="1666">
      <c r="A9" s="1691" t="inlineStr">
        <is>
          <t>▼ TOTAL</t>
        </is>
      </c>
      <c r="B9" s="1692">
        <f>'📈 PORTEFEUILLE'!C11</f>
        <v/>
      </c>
      <c r="C9" s="1692" t="n">
        <v>89687.36</v>
      </c>
      <c r="D9" s="1693" t="n">
        <v>16572.89</v>
      </c>
      <c r="E9" s="1692" t="n">
        <v>0.1762</v>
      </c>
      <c r="F9" s="1694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6.5" customHeight="1" s="1666">
      <c r="A10" s="1701" t="inlineStr">
        <is>
          <t>📊 Ref YTD</t>
        </is>
      </c>
      <c r="B10" s="1702" t="inlineStr">
        <is>
          <t>$74,290 CAD (est. 1 jan 2026)</t>
        </is>
      </c>
      <c r="E10" s="1703" t="inlineStr">
        <is>
          <t>VFV YTD: -1.57%</t>
        </is>
      </c>
      <c r="G10" s="1704" t="inlineStr">
        <is>
          <t>Alpha: ⬜ Calculer</t>
        </is>
      </c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.75" customHeight="1" s="1666">
      <c r="A11" s="1705" t="inlineStr">
        <is>
          <t>📈 Perf 1 an</t>
        </is>
      </c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5" customHeight="1" s="1666"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8" customHeight="1" s="1666"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8" customHeight="1" s="1666">
      <c r="A14" s="1689" t="inlineStr">
        <is>
          <t>🚨  ACTIONS URGENTES  ·  Coût d'inaction réel chaque jour</t>
        </is>
      </c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8" customHeight="1" s="1666">
      <c r="B15" s="1690" t="inlineStr">
        <is>
          <t>#</t>
        </is>
      </c>
      <c r="C15" s="1690" t="inlineStr">
        <is>
          <t>ACTION</t>
        </is>
      </c>
      <c r="E15" s="1690" t="inlineStr">
        <is>
          <t>ÉCHÉANCE</t>
        </is>
      </c>
      <c r="F15" s="1690" t="inlineStr">
        <is>
          <t>STATUT</t>
        </is>
      </c>
      <c r="G15" s="1690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8" customHeight="1" s="1666">
      <c r="B16" s="1706" t="inlineStr">
        <is>
          <t>✅ FAIT — SCHD $2,000 REER exécuté 12 mars · 64.3053u confirmés</t>
        </is>
      </c>
      <c r="C16" s="1707" t="inlineStr">
        <is>
          <t>SCHD $2,000 REER → 12 mars 9h30 HNE</t>
        </is>
      </c>
      <c r="E16" s="1707" t="inlineStr">
        <is>
          <t>+$1,060/mois ARC (52.98%×$2K)</t>
        </is>
      </c>
      <c r="F16" s="1708" t="inlineStr">
        <is>
          <t>12 mars AM</t>
        </is>
      </c>
      <c r="G16" s="1709" t="inlineStr">
        <is>
          <t>✅ EXÉCUTÉ — 64.3053u confirmé Questrade</t>
        </is>
      </c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8" customHeight="1" s="1666">
      <c r="B17" s="1706" t="inlineStr">
        <is>
          <t>🟡 EN COURS — Ouvrir EQ Bank + virer $1,500 dès prochaine paie cette semaine</t>
        </is>
      </c>
      <c r="C17" s="1707" t="inlineStr">
        <is>
          <t>10 mois → $15,000 atteint · AVANT Questrade dès que paie rentre</t>
        </is>
      </c>
      <c r="E17" s="1707" t="inlineStr">
        <is>
          <t>Risque opérationnel éliminé</t>
        </is>
      </c>
      <c r="F17" s="1708" t="inlineStr">
        <is>
          <t>ASAP</t>
        </is>
      </c>
      <c r="G17" s="1709" t="inlineStr">
        <is>
          <t>PAS OUVERT</t>
        </is>
      </c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6" customHeight="1" s="1666">
      <c r="B18" s="1710" t="inlineStr">
        <is>
          <t>🟡3</t>
        </is>
      </c>
      <c r="C18" s="1711" t="inlineStr">
        <is>
          <t>ZRE+XIC+VDU TFSA ~$1,878 → T1</t>
        </is>
      </c>
      <c r="E18" s="1711" t="inlineStr">
        <is>
          <t>~$1,878 T4→T1 + exposition IA+</t>
        </is>
      </c>
      <c r="F18" s="1712" t="inlineStr">
        <is>
          <t>Post-BdC 18 mars</t>
        </is>
      </c>
      <c r="G18" s="1713" t="inlineStr">
        <is>
          <t>EN ATTENTE</t>
        </is>
      </c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5.75" customHeight="1" s="1666"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6.5" customHeight="1" s="1666">
      <c r="B20" s="1714" t="inlineStr">
        <is>
          <t>📅5</t>
        </is>
      </c>
      <c r="E20" s="1715" t="inlineStr">
        <is>
          <t>Calendrier macro + earnings</t>
        </is>
      </c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6.5" customHeight="1" s="1666"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6.5" customHeight="1" s="1666">
      <c r="A22" s="1716" t="inlineStr">
        <is>
          <t>⚡  PROTOCOLE SESSION  ·  Dans l'ordre · 10 minutes max · voir Section 11 pour détail</t>
        </is>
      </c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6.5" customHeight="1" s="1666">
      <c r="A23" s="1717" t="inlineStr">
        <is>
          <t>🔥 1</t>
        </is>
      </c>
      <c r="B23" s="1718" t="inlineStr">
        <is>
          <t>Aspects #1+#2 uploadés · #3 taux USD/CAD → CONFIG!B3 · #4 trades faits</t>
        </is>
      </c>
      <c r="E23" s="1719" t="inlineStr">
        <is>
          <t>CRITIQUE · Section 14 pour guide uploads</t>
        </is>
      </c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6.5" customHeight="1" s="1666">
      <c r="A24" s="1717" t="inlineStr">
        <is>
          <t>🔥 2</t>
        </is>
      </c>
      <c r="B24" s="1718" t="inlineStr">
        <is>
          <t>VALIDATION → ÉTAT GLOBAL = 🟢 · si 🔴 → corriger avant de continuer</t>
        </is>
      </c>
      <c r="E24" s="1719" t="inlineStr">
        <is>
          <t>2 min max</t>
        </is>
      </c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6" customHeight="1" s="1666">
      <c r="A25" s="1717" t="inlineStr">
        <is>
          <t>🔥 3</t>
        </is>
      </c>
      <c r="B25" s="1718" t="inlineStr">
        <is>
          <t>Snapshot → #5 cash · #6 cotisations YTD · #12 pending session précédente</t>
        </is>
      </c>
      <c r="E25" s="1719" t="inlineStr">
        <is>
          <t>Confirmer positions + buying power</t>
        </is>
      </c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8" customHeight="1" s="1666">
      <c r="A26" s="1720" t="inlineStr">
        <is>
          <t>⭐ 4</t>
        </is>
      </c>
      <c r="B26" s="1721" t="inlineStr">
        <is>
          <t>Dire: #8 intention · #9 trades envisagés · #13 calendrier · #14 dividendes</t>
        </is>
      </c>
      <c r="E26" s="1719" t="inlineStr">
        <is>
          <t>3 phrases · voir template Section 11</t>
        </is>
      </c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.75" customHeight="1" s="1666">
      <c r="A27" s="1720" t="inlineStr">
        <is>
          <t>⭐ 5</t>
        </is>
      </c>
      <c r="B27" s="1721" t="inlineStr">
        <is>
          <t>Claude applique: #7 macro (web search auto) · #11 benchmark · R1→R13</t>
        </is>
      </c>
      <c r="E27" s="1719" t="inlineStr">
        <is>
          <t>Automatique · aucune action</t>
        </is>
      </c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6.5" customHeight="1" s="1666"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6.5" customHeight="1" s="1666">
      <c r="A29" s="1722" t="inlineStr">
        <is>
          <t>🎯  PLAN D'EXÉCUTION IMMÉDIAT  ·  3 actions · Chaque jour de retard = argent perdu</t>
        </is>
      </c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6.5" customHeight="1" s="1666">
      <c r="A30" s="1723" t="inlineStr">
        <is>
          <t>🔴 ACTION #1 — SCHD $2,000 REER  ·  DEMAIN 12 mars · 9h30 HNE pile à l'ouverture</t>
        </is>
      </c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6.5" customHeight="1" s="1666">
      <c r="A31" s="1724" t="inlineStr">
        <is>
          <t>ÉTAPE</t>
        </is>
      </c>
      <c r="B31" s="1725" t="inlineStr">
        <is>
          <t>Ouvrir Questrade → REER #52924767 → Acheter SCHD</t>
        </is>
      </c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6.5" customHeight="1" s="1666">
      <c r="A32" s="1724" t="inlineStr">
        <is>
          <t>MONTANT</t>
        </is>
      </c>
      <c r="B32" s="1725" t="inlineStr">
        <is>
          <t>$2,000 CAD ordre → ~$1,475 USD au taux ~1.3559</t>
        </is>
      </c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6.5" customHeight="1" s="1666">
      <c r="A33" s="1724" t="inlineStr">
        <is>
          <t>ORDRE</t>
        </is>
      </c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8" customHeight="1" s="1666">
      <c r="A34" s="1724" t="inlineStr">
        <is>
          <t>IMPACT IMMÉDIAT</t>
        </is>
      </c>
      <c r="B34" s="1725" t="inlineStr">
        <is>
          <t>+$1,060/mois ARC (remboursé en ~6 semaines après déclaration)</t>
        </is>
      </c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5.75" customHeight="1" s="1666">
      <c r="A35" s="1724" t="inlineStr">
        <is>
          <t>COÛT INACTION</t>
        </is>
      </c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6.5" customHeight="1" s="1666">
      <c r="A36" s="1724" t="inlineStr">
        <is>
          <t>APRÈS</t>
        </is>
      </c>
      <c r="B36" s="1725" t="inlineStr">
        <is>
          <t>MAJ CONFIG!B34 (REER YTD: 0→2000) + noter dans JOURNAL DÉCISIONS</t>
        </is>
      </c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6.5" customHeight="1" s="1666"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6.5" customHeight="1" s="1666">
      <c r="A38" s="1726" t="inlineStr">
        <is>
          <t>🔴 ACTION #2 — EQ Bank HISA $15,000  ·  Cette semaine · ~20 min en ligne</t>
        </is>
      </c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6.5" customHeight="1" s="1666">
      <c r="A39" s="1727" t="inlineStr">
        <is>
          <t>SITE</t>
        </is>
      </c>
      <c r="B39" s="1728" t="inlineStr">
        <is>
          <t>eqbank.ca → Ouvrir un compte épargne → taux ~4.0% (confirmer live)</t>
        </is>
      </c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6.5" customHeight="1" s="1666">
      <c r="A40" s="1727" t="inlineStr">
        <is>
          <t>VIREMENT</t>
        </is>
      </c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6.5" customHeight="1" s="1666">
      <c r="A41" s="1727" t="inlineStr">
        <is>
          <t>RÔLE</t>
        </is>
      </c>
      <c r="B41" s="1728" t="inlineStr">
        <is>
          <t>Fonds urgence exclusivement · ne pas investir · ne pas toucher</t>
        </is>
      </c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A42" s="1727" t="inlineStr">
        <is>
          <t>POURQUOI</t>
        </is>
      </c>
      <c r="B42" s="1728" t="inlineStr">
        <is>
          <t>Risque opérationnel #1 — si urgence médicale/équipement/voiture = zéro stress</t>
        </is>
      </c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A43" s="1727" t="inlineStr">
        <is>
          <t>RENDEMENT</t>
        </is>
      </c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6.5" customHeight="1" s="1666">
      <c r="A44" s="1727" t="inlineStr">
        <is>
          <t>APRÈS</t>
        </is>
      </c>
      <c r="B44" s="1728" t="inlineStr">
        <is>
          <t>MAJ CONFIG!B25 (HISA → $15,000) + mettre à jour ALERTES section fonds urgence</t>
        </is>
      </c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6.5" customHeight="1" s="1666"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6.5" customHeight="1" s="1666">
      <c r="A46" s="1729" t="inlineStr">
        <is>
          <t>📅 ACTION #3 — Verdicts J+30  ·  11 avril 2026 · Mettre une alarme maintenant</t>
        </is>
      </c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6.5" customHeight="1" s="1666">
      <c r="A47" s="1730" t="inlineStr">
        <is>
          <t>DATE EXACTE</t>
        </is>
      </c>
      <c r="B47" s="1731" t="inlineStr">
        <is>
          <t>11 avril 2026 — mettre alarme téléphone MAINTENANT</t>
        </is>
      </c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6.5" customHeight="1" s="1666">
      <c r="A48" s="1730" t="inlineStr">
        <is>
          <t>DURÉE</t>
        </is>
      </c>
      <c r="B48" s="1731" t="inlineStr">
        <is>
          <t>~30 min · ouvrir Questrade · noter prix de chaque ticker du 11 mars</t>
        </is>
      </c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6.5" customHeight="1" s="1666">
      <c r="A49" s="1730" t="inlineStr">
        <is>
          <t>FICHIER</t>
        </is>
      </c>
      <c r="B49" s="1731" t="inlineStr">
        <is>
          <t>Onglet 📓 JOURNAL DÉCISIONS → Section "PRÉPARATION VERDICTS J+30"</t>
        </is>
      </c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8" customHeight="1" s="1666">
      <c r="A50" s="1730" t="inlineStr">
        <is>
          <t>BENCHMARK</t>
        </is>
      </c>
      <c r="B50" s="1731" t="inlineStr">
        <is>
          <t>En même temps: noter valeur portfolio totale → calculer alpha vs VFV.TO</t>
        </is>
      </c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8" customHeight="1" s="1666">
      <c r="A51" s="1730" t="inlineStr">
        <is>
          <t>OBJECTIF</t>
        </is>
      </c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" customHeight="1" s="1666">
      <c r="A52" s="1730" t="inlineStr">
        <is>
          <t>CONFIG REF</t>
        </is>
      </c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" customHeight="1" s="1666"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21.75" customHeight="1" s="1666">
      <c r="B54" s="1732" t="inlineStr">
        <is>
          <t>Objectif FI</t>
        </is>
      </c>
      <c r="C54" s="1715" t="inlineStr">
        <is>
          <t>$2.1M+ · liberté = optionalité · pas de cible fixe · maximiser</t>
        </is>
      </c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21.75" customHeight="1" s="1666"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21.75" customHeight="1" s="1666"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21.75" customHeight="1" s="1666">
      <c r="B57" s="1733" t="inlineStr">
        <is>
          <t>Liquidités</t>
        </is>
      </c>
      <c r="C57" s="1734" t="inlineStr">
        <is>
          <t>Arrivent mi-mois · pas début de mois · contrainte réelle</t>
        </is>
      </c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21.75" customHeight="1" s="1666"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8" customHeight="1" s="1666">
      <c r="A59" s="1689" t="inlineStr">
        <is>
          <t>🔍  WEB SEARCH AUTOMATIQUE  ·  Faire AVANT de répondre — analyse partielle = invalide</t>
        </is>
      </c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8" customHeight="1" s="1666">
      <c r="B60" s="1714" t="inlineStr">
        <is>
          <t>Macro</t>
        </is>
      </c>
      <c r="C60" s="1715" t="inlineStr">
        <is>
          <t>S&amp;P 500 · TSX · VIX · news tarifs US/CA · BdC si &lt;7 jours avant annonce</t>
        </is>
      </c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8" customHeight="1" s="1666">
      <c r="B61" s="1735" t="inlineStr">
        <is>
          <t>T1 prix</t>
        </is>
      </c>
      <c r="C61" s="1734" t="inlineStr">
        <is>
          <t>AVGO · SMH · VFV.TO · GEV · GOOG · META · AMZN · ENB.TO · SCHD — live</t>
        </is>
      </c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" customHeight="1" s="1666"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8" customHeight="1" s="1666">
      <c r="B63" s="1735" t="inlineStr">
        <is>
          <t>Dips &gt;5%</t>
        </is>
      </c>
      <c r="C63" s="1734" t="inlineStr">
        <is>
          <t>T1 ou T2 en dip vs dernière session → opportunité DCA accélérée</t>
        </is>
      </c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8" customHeight="1" s="1666">
      <c r="B64" s="1714" t="inlineStr">
        <is>
          <t>Earnings</t>
        </is>
      </c>
      <c r="C64" s="1715" t="inlineStr">
        <is>
          <t>Calendrier 30 prochains jours · no-buy zone -7j avant earnings T1/T2</t>
        </is>
      </c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8" customHeight="1" s="1666"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8" customHeight="1" s="1666">
      <c r="A66" s="1689" t="inlineStr">
        <is>
          <t>⚙️  RÈGLES AUTOMATIQUES CLAUDE  ·  Sans exception à chaque session</t>
        </is>
      </c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8" customHeight="1" s="1666">
      <c r="B67" s="1690" t="inlineStr">
        <is>
          <t>RÈGLE</t>
        </is>
      </c>
      <c r="C67" s="1690" t="n"/>
      <c r="D67" s="1690" t="inlineStr">
        <is>
          <t>DESCRIPTION</t>
        </is>
      </c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8" customHeight="1" s="1666">
      <c r="B68" s="1732" t="inlineStr">
        <is>
          <t>😈 Devil's advocate</t>
        </is>
      </c>
      <c r="C68" s="1736" t="n"/>
      <c r="D68" s="1715" t="inlineStr">
        <is>
          <t>Contre-argument AVANT toute validation · jamais valider immédiatement</t>
        </is>
      </c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8" customHeight="1" s="1666">
      <c r="B69" s="1733" t="inlineStr">
        <is>
          <t>🔍 Web search</t>
        </is>
      </c>
      <c r="C69" s="1737" t="n"/>
      <c r="D69" s="1734" t="inlineStr">
        <is>
          <t>Recherche COMPLÈTE avant toute recommandation · prix live + news + macro</t>
        </is>
      </c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8" customHeight="1" s="1666">
      <c r="B70" s="1732" t="inlineStr">
        <is>
          <t>💱 USD/CAD ≤ 65%</t>
        </is>
      </c>
      <c r="C70" s="1738">
        <f>CONFIG!B47</f>
        <v/>
      </c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8" customHeight="1" s="1666">
      <c r="B71" s="1733" t="inlineStr">
        <is>
          <t>🤖 IA ≤ 45%</t>
        </is>
      </c>
      <c r="C71" s="1737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8" customHeight="1" s="1666">
      <c r="B72" s="1732" t="inlineStr">
        <is>
          <t>💰 Coût opportunité</t>
        </is>
      </c>
      <c r="C72" s="1736" t="n"/>
      <c r="D72" s="1715" t="inlineStr">
        <is>
          <t>Chiffrer le coût de chaque dollar non optimisé en CAD réel</t>
        </is>
      </c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8" customHeight="1" s="1666"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" customHeight="1" s="1666"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" customHeight="1" s="1666">
      <c r="B75" s="1733" t="inlineStr">
        <is>
          <t>🏠 Room FHSA</t>
        </is>
      </c>
      <c r="C75" s="1737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8" customHeight="1" s="1666">
      <c r="B76" s="1732" t="inlineStr">
        <is>
          <t>📅 Earnings calendar</t>
        </is>
      </c>
      <c r="C76" s="1736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8" customHeight="1" s="1666"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8" customHeight="1" s="1666">
      <c r="B78" s="1732" t="inlineStr">
        <is>
          <t>🕐 Fuseau HNE</t>
        </is>
      </c>
      <c r="C78" s="1736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" customHeight="1" s="1666"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" customHeight="1" s="1666">
      <c r="B80" s="1732" t="inlineStr">
        <is>
          <t>💾 MAJ 3 fichiers</t>
        </is>
      </c>
      <c r="C80" s="1736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9.5" customHeight="1" s="1666">
      <c r="A81" s="1689" t="inlineStr">
        <is>
          <t>📊  CRITÈRES DE CHANGEMENT DE TIER  ·  Objectifs · Pas subjectifs</t>
        </is>
      </c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9.5" customHeight="1" s="1666"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9.5" customHeight="1" s="1666"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9.5" customHeight="1" s="1666"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9.5" customHeight="1" s="1666">
      <c r="B85" s="1709" t="inlineStr">
        <is>
          <t>T2/T3 → T4</t>
        </is>
      </c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9.5" customHeight="1" s="1666">
      <c r="B86" s="1735" t="inlineStr">
        <is>
          <t>T4 → vente</t>
        </is>
      </c>
      <c r="C86" s="1734" t="inlineStr">
        <is>
          <t>En gain &gt;5% · ET meilleure utilisation du capital identifiée en T1 · ET pas de conséquence fiscale TFSA room</t>
        </is>
      </c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9.5" customHeight="1" s="1666"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9.5" customHeight="1" s="1666"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9.5" customHeight="1" s="1666"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9.5" customHeight="1" s="1666">
      <c r="A90" s="1689" t="inlineStr">
        <is>
          <t>📚  LEÇONS APPRISES  ·  Auto-learning · Ne jamais répéter la même erreur deux fois</t>
        </is>
      </c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34.5" customHeight="1" s="1666">
      <c r="A91" s="1739" t="inlineStr">
        <is>
          <t>L9 FHSA T4=36%</t>
        </is>
      </c>
      <c r="B91" s="1740" t="inlineStr">
        <is>
          <t>FHSA contient 36% de T4 (REI+SRU+XIC+XEI) — compte à double exonération doit être maxT1. Recycler vers VFV.TO. ~+$330/an rendement additionnel.</t>
        </is>
      </c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34.5" customHeight="1" s="1666">
      <c r="A92" s="1741" t="inlineStr">
        <is>
          <t>L10 $2.1M nominal</t>
        </is>
      </c>
      <c r="B92" s="1742" t="inlineStr">
        <is>
          <t>Cible FI $2.1M = dollars nominaux 2043. En pouvoir d'achat 2026 = ~$1.37M. Décision: garder $2.1M comme plancher mais avoir conscience de l'inflation.</t>
        </is>
      </c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34.5" customHeight="1" s="1666">
      <c r="A93" s="1739" t="inlineStr">
        <is>
          <t>L11 Bénéficiaires</t>
        </is>
      </c>
      <c r="B93" s="1740" t="inlineStr">
        <is>
          <t>3 comptes Questrade (~$87K) sans bénéficiaires désignés. Action: Questrade → Mon compte → Bénéficiaires. 5 minutes. URGENT.</t>
        </is>
      </c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34.5" customHeight="1" s="1666">
      <c r="A94" s="1741" t="inlineStr">
        <is>
          <t>L12 Pre-commit</t>
        </is>
      </c>
      <c r="B94" s="1742" t="inlineStr">
        <is>
          <t>SCHD 12 mars (pré-commité) = zéro hésitation. AVGO 11 mars (non pré-commité) = 2 jours hésitation. Solution: décider le soir, exécuter à l'ouverture.</t>
        </is>
      </c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34.5" customHeight="1" s="1666">
      <c r="A95" s="1739" t="inlineStr">
        <is>
          <t>L13 Score santé statique</t>
        </is>
      </c>
      <c r="B95" s="1740" t="inlineStr">
        <is>
          <t>Score santé /100 dans ALERTES = formules GOOGLEFINANCE qui ne fonctionnent pas en Excel. Solution: valeurs statiques mises à jour manuellement. Actuel: 68/100.</t>
        </is>
      </c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" customHeight="1" s="1666">
      <c r="B96" s="1743" t="inlineStr">
        <is>
          <t>L5 Analyse partielle</t>
        </is>
      </c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21.75" customHeight="1" s="1666">
      <c r="A97" s="1744" t="inlineStr">
        <is>
          <t>🔄  FLOW S21 — AMÉLIORATIONS APPLIQUÉES  ·  12 mars 2026</t>
        </is>
      </c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27.75" customHeight="1" s="1666">
      <c r="A98" s="1745" t="inlineStr">
        <is>
          <t>✅ 1</t>
        </is>
      </c>
      <c r="B98" s="1746" t="inlineStr">
        <is>
          <t>🧠 RAISONNEMENTS</t>
        </is>
      </c>
      <c r="C98" s="1747" t="inlineStr">
        <is>
          <t>Nouvel onglet — biais documentés, journal psychologique, patterns récurrents, règles PSY</t>
        </is>
      </c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27.75" customHeight="1" s="1666">
      <c r="A99" s="1748" t="inlineStr">
        <is>
          <t>✅ 2</t>
        </is>
      </c>
      <c r="B99" s="1749" t="inlineStr">
        <is>
          <t>📊 ANALYSE TITRES</t>
        </is>
      </c>
      <c r="C99" s="1750" t="inlineStr">
        <is>
          <t>9 T1 scorecardés avec données réelles — VFV/AVBO/SMH/GOOG/AMZN/META/GEV/ENB/SCHD</t>
        </is>
      </c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27.75" customHeight="1" s="1666">
      <c r="A100" s="1745" t="inlineStr">
        <is>
          <t>✅ 3</t>
        </is>
      </c>
      <c r="B100" s="1746" t="inlineStr">
        <is>
          <t>📈 PROJECTION FI</t>
        </is>
      </c>
      <c r="C100" s="1747" t="inlineStr">
        <is>
          <t>4e scénario contributions croissantes ($5K→$7K/mois avec ancienneté)</t>
        </is>
      </c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27.75" customHeight="1" s="1666">
      <c r="A101" s="1748" t="inlineStr">
        <is>
          <t>✅ 4</t>
        </is>
      </c>
      <c r="B101" s="1749" t="inlineStr">
        <is>
          <t>❄️ FISCAL</t>
        </is>
      </c>
      <c r="C101" s="1750" t="inlineStr">
        <is>
          <t>Optimisation fiscale 2026 — revenu imposable $100K après REER+FHSA · FTQ 2027 éligible</t>
        </is>
      </c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27.75" customHeight="1" s="1666">
      <c r="A102" s="1745" t="inlineStr">
        <is>
          <t>✅ 5</t>
        </is>
      </c>
      <c r="B102" s="1746" t="inlineStr">
        <is>
          <t>🚨 ALERTES</t>
        </is>
      </c>
      <c r="C102" s="1747" t="inlineStr">
        <is>
          <t>Alerte FHSA T4=36% ajoutée · Score santé 68/100 statique</t>
        </is>
      </c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27.75" customHeight="1" s="1666">
      <c r="A103" s="1748" t="inlineStr">
        <is>
          <t>✅ 6</t>
        </is>
      </c>
      <c r="B103" s="1749" t="inlineStr">
        <is>
          <t>💰 REVENUS</t>
        </is>
      </c>
      <c r="C103" s="1750" t="inlineStr">
        <is>
          <t>Dividendes reçus YTD 2026 renseignés · ~$173 CAD + ~$47 USD Q1</t>
        </is>
      </c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27.75" customHeight="1" s="1666">
      <c r="A104" s="1745" t="inlineStr">
        <is>
          <t>✅ 7</t>
        </is>
      </c>
      <c r="B104" s="1746" t="inlineStr">
        <is>
          <t>🚀 DÉMARRAGE</t>
        </is>
      </c>
      <c r="C104" s="1747" t="inlineStr">
        <is>
          <t>Leçons S20 (L9→L13) ajoutées · Version v63-S39</t>
        </is>
      </c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27.75" customHeight="1" s="1666">
      <c r="A105" s="1748" t="inlineStr">
        <is>
          <t>✅ 8</t>
        </is>
      </c>
      <c r="B105" s="1749" t="inlineStr">
        <is>
          <t>Dashboard v5</t>
        </is>
      </c>
      <c r="C105" s="1750" t="inlineStr">
        <is>
          <t>Vue santé par compte · Crash simulator · Verdicts J+30 analytiques · Âge dynamique</t>
        </is>
      </c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9.5" customHeight="1" s="1666"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9.5" customHeight="1" s="1666">
      <c r="B107" s="1714" t="inlineStr">
        <is>
          <t>"analyse TICKER"</t>
        </is>
      </c>
      <c r="C107" s="1736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9.5" customHeight="1" s="1666"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9.5" customHeight="1" s="1666"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" customHeight="1" s="1666"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9.5" customHeight="1" s="1666"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9.5" customHeight="1" s="1666">
      <c r="B112" s="1713" t="inlineStr">
        <is>
          <t>"maison 2030"</t>
        </is>
      </c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9.5" customHeight="1" s="1666"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9.5" customHeight="1" s="1666">
      <c r="A114" s="1689" t="inlineStr">
        <is>
          <t>📝  LOG DES SESSIONS  ·  Historique · Mettre à jour fin de chaque session</t>
        </is>
      </c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9.5" customHeight="1" s="1666"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8" customHeight="1" s="1666"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" customHeight="1" s="1666"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24" customHeight="1" s="1666">
      <c r="B118" s="1714" t="inlineStr">
        <is>
          <t>S5-6 — 13 mars 2026</t>
        </is>
      </c>
      <c r="C118" s="1715" t="inlineStr">
        <is>
          <t>REER DÉBLOQUÉ · Profil AGRESSIF confirmé · Maison 2030+ · Philosophie FI clarifiée</t>
        </is>
      </c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6.5" customHeight="1" s="1666">
      <c r="A119" s="1751" t="inlineStr">
        <is>
          <t>S7-S10</t>
        </is>
      </c>
      <c r="B119" s="1752" t="inlineStr">
        <is>
          <t>13 mars 2026 (sessions intensives)</t>
        </is>
      </c>
      <c r="C119" s="1753" t="inlineStr">
        <is>
          <t>GRANDE ROTATION T4→T1 · 8 trades 11 mars ($18K rédeployés) · PLZ/REI vendus → AVGO/GEV/SMH · BENCHMARK ajouté · VERDICTS J+30 préparés · 5 fixes onglets critiques</t>
        </is>
      </c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6.5" customHeight="1" s="1666">
      <c r="A120" s="1754" t="inlineStr">
        <is>
          <t>S11</t>
        </is>
      </c>
      <c r="B120" s="1752" t="inlineStr">
        <is>
          <t>13 mars 2026 soir</t>
        </is>
      </c>
      <c r="C120" s="1755" t="inlineStr">
        <is>
          <t>15 aspects couverts · Guide dump Questrade · Template session V2 · Formule buying power USD · CONFIG ÉTENDUE complète · 17 règles · Score session S10=8.5/10</t>
        </is>
      </c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6.5" customHeight="1" s="1666">
      <c r="A121" s="1756" t="inlineStr">
        <is>
          <t>S12 →</t>
        </is>
      </c>
      <c r="B121" s="1757" t="inlineStr">
        <is>
          <t>PROCHAINE SESSION</t>
        </is>
      </c>
      <c r="C121" s="1758" t="inlineStr">
        <is>
          <t>Actions: ① SCHD $2,000 exécuté? ② EQ Bank ouvert? ③ ZRE+XIC+VDU post-BdC 18 mars ④ Verdicts J+30 (11 avr) ⑤ MAJ benchmark YTD</t>
        </is>
      </c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24" customHeight="1" s="1666">
      <c r="A122" s="1689" t="inlineStr">
        <is>
          <t>⚡  SEUILS DÉCLENCHEURS — Conditions objectives avant d'utiliser une commande</t>
        </is>
      </c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24" customHeight="1" s="1666"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24" customHeight="1" s="1666">
      <c r="B124" s="1706" t="inlineStr">
        <is>
          <t>"simulation crash"</t>
        </is>
      </c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24" customHeight="1" s="1666">
      <c r="B125" s="1735" t="inlineStr">
        <is>
          <t>"analyse macro"</t>
        </is>
      </c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8" customHeight="1" s="1666"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" customHeight="1" s="1666"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8" customHeight="1" s="1666">
      <c r="B128" s="1735" t="inlineStr">
        <is>
          <t>"northstar"</t>
        </is>
      </c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8" customHeight="1" s="1666">
      <c r="B129" s="1714" t="inlineStr">
        <is>
          <t>"snowball fiscal"</t>
        </is>
      </c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8" customHeight="1" s="1666"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8" customHeight="1" s="1666">
      <c r="B131" s="1714" t="inlineStr">
        <is>
          <t>"rapport session"</t>
        </is>
      </c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8" customHeight="1" s="1666">
      <c r="B132" s="1735" t="inlineStr">
        <is>
          <t>"maison 2030"</t>
        </is>
      </c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8" customHeight="1" s="1666"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8" customHeight="1" s="1666"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8" customHeight="1" s="1666"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6" customHeight="1" s="1666"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8" customHeight="1" s="1666"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3.5" customHeight="1" s="1666"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8.75" customHeight="1" s="1666"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8.75" customHeight="1" s="1666"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8.75" customHeight="1" s="1666">
      <c r="A141" s="1689" t="inlineStr">
        <is>
          <t>⚡  SECTION 11 — PROTOCOLE DÉBUT SESSION  ·  Étapes dans l'ordre</t>
        </is>
      </c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8.75" customHeight="1" s="1666"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8.75" customHeight="1" s="1666">
      <c r="A143" s="1759" t="inlineStr">
        <is>
          <t>📋  CHECKLIST UPLOADS &amp; CONTEXTE  ·  15 aspects pour une session optimale  ·  Cocher avant de commencer</t>
        </is>
      </c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8.75" customHeight="1" s="1666">
      <c r="A144" s="1760" t="inlineStr">
        <is>
          <t>#</t>
        </is>
      </c>
      <c r="B144" s="1760" t="inlineStr">
        <is>
          <t>ASPECT</t>
        </is>
      </c>
      <c r="C144" s="1760" t="inlineStr">
        <is>
          <t>TYPE</t>
        </is>
      </c>
      <c r="D144" s="1760" t="inlineStr">
        <is>
          <t>UPLOAD / ACTION</t>
        </is>
      </c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8.75" customHeight="1" s="1666">
      <c r="A145" s="1761" t="inlineStr">
        <is>
          <t>1</t>
        </is>
      </c>
      <c r="H145" s="1762" t="inlineStr">
        <is>
          <t>⬜</t>
        </is>
      </c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8.75" customHeight="1" s="1666">
      <c r="A146" s="1761" t="inlineStr">
        <is>
          <t>2</t>
        </is>
      </c>
      <c r="B146" s="1718" t="inlineStr">
        <is>
          <t>Dump Questrade (PDF ou CSV)</t>
        </is>
      </c>
      <c r="C146" s="1763" t="inlineStr">
        <is>
          <t>📎 UPLOAD</t>
        </is>
      </c>
      <c r="H146" s="1762" t="inlineStr">
        <is>
          <t>⬜</t>
        </is>
      </c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8.75" customHeight="1" s="1666">
      <c r="A147" s="1761" t="inlineStr">
        <is>
          <t>3</t>
        </is>
      </c>
      <c r="H147" s="1762" t="inlineStr">
        <is>
          <t>⬜</t>
        </is>
      </c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8.75" customHeight="1" s="1666">
      <c r="A148" s="1761" t="inlineStr">
        <is>
          <t>4</t>
        </is>
      </c>
      <c r="B148" s="1718" t="inlineStr">
        <is>
          <t>Trades depuis dernière session</t>
        </is>
      </c>
      <c r="C148" s="1763" t="inlineStr">
        <is>
          <t>✍️ DIRE</t>
        </is>
      </c>
      <c r="D148" s="1725" t="inlineStr">
        <is>
          <t>Lister achats/ventes/dépôts faits</t>
        </is>
      </c>
      <c r="H148" s="1762" t="inlineStr">
        <is>
          <t>⬜</t>
        </is>
      </c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8.75" customHeight="1" s="1666">
      <c r="A149" s="1761" t="inlineStr">
        <is>
          <t>5</t>
        </is>
      </c>
      <c r="B149" s="1718" t="inlineStr">
        <is>
          <t>Cash dispo par compte</t>
        </is>
      </c>
      <c r="C149" s="1763" t="inlineStr">
        <is>
          <t>📊 AUTO</t>
        </is>
      </c>
      <c r="D149" s="1725" t="inlineStr">
        <is>
          <t>Questrade → voir cash · MAJ CONFIG B37/38/39</t>
        </is>
      </c>
      <c r="H149" s="1762" t="inlineStr">
        <is>
          <t>⬜</t>
        </is>
      </c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8.75" customHeight="1" s="1666">
      <c r="A150" s="1761" t="inlineStr">
        <is>
          <t>6</t>
        </is>
      </c>
      <c r="H150" s="1762" t="inlineStr">
        <is>
          <t>⬜</t>
        </is>
      </c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8.75" customHeight="1" s="1666">
      <c r="A151" s="1764" t="inlineStr">
        <is>
          <t>7</t>
        </is>
      </c>
      <c r="B151" s="1765" t="inlineStr">
        <is>
          <t>Contexte macro du jour</t>
        </is>
      </c>
      <c r="C151" s="1766" t="inlineStr">
        <is>
          <t>🌐 WEB</t>
        </is>
      </c>
      <c r="D151" s="1731" t="inlineStr">
        <is>
          <t>Claude fait web search auto (Règle R2)</t>
        </is>
      </c>
      <c r="H151" s="1762" t="inlineStr">
        <is>
          <t>⬜</t>
        </is>
      </c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8.75" customHeight="1" s="1666">
      <c r="A152" s="1764" t="inlineStr">
        <is>
          <t>8</t>
        </is>
      </c>
      <c r="B152" s="1767" t="inlineStr">
        <is>
          <t>Intention de la session</t>
        </is>
      </c>
      <c r="C152" s="1766" t="inlineStr">
        <is>
          <t>✍️ DIRE</t>
        </is>
      </c>
      <c r="D152" s="1768" t="inlineStr">
        <is>
          <t>"Je veux faire X · budget Y · temps Z"</t>
        </is>
      </c>
      <c r="H152" s="1762" t="inlineStr">
        <is>
          <t>⬜</t>
        </is>
      </c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8.75" customHeight="1" s="1666">
      <c r="A153" s="1764" t="inlineStr">
        <is>
          <t>9</t>
        </is>
      </c>
      <c r="H153" s="1762" t="inlineStr">
        <is>
          <t>⬜</t>
        </is>
      </c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6" customHeight="1" s="1666">
      <c r="A154" s="1764" t="inlineStr">
        <is>
          <t>10</t>
        </is>
      </c>
      <c r="B154" s="1767" t="inlineStr">
        <is>
          <t>Contexte drawdown/rally</t>
        </is>
      </c>
      <c r="C154" s="1766" t="inlineStr">
        <is>
          <t>✍️ DIRE</t>
        </is>
      </c>
      <c r="D154" s="1768" t="inlineStr">
        <is>
          <t>"Le marché est en dip de X% / rally"</t>
        </is>
      </c>
      <c r="H154" s="1762" t="inlineStr">
        <is>
          <t>⬜</t>
        </is>
      </c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A155" s="1764" t="inlineStr">
        <is>
          <t>11</t>
        </is>
      </c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6" customHeight="1" s="1666">
      <c r="A156" s="1764" t="inlineStr">
        <is>
          <t>12</t>
        </is>
      </c>
      <c r="B156" s="1767" t="inlineStr">
        <is>
          <t>Pending de la session précédente</t>
        </is>
      </c>
      <c r="H156" s="1762" t="inlineStr">
        <is>
          <t>⬜</t>
        </is>
      </c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A157" s="1764" t="inlineStr">
        <is>
          <t>13</t>
        </is>
      </c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09.5" customHeight="1" s="1666">
      <c r="A158" s="1764" t="inlineStr">
        <is>
          <t>14</t>
        </is>
      </c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8" customHeight="1" s="1666">
      <c r="A159" s="1764" t="inlineStr">
        <is>
          <t>15</t>
        </is>
      </c>
      <c r="B159" s="1765" t="inlineStr">
        <is>
          <t>Changements de vie/profil</t>
        </is>
      </c>
      <c r="C159" s="1766" t="inlineStr">
        <is>
          <t>✍️ DIRE</t>
        </is>
      </c>
      <c r="D159" s="1731" t="inlineStr">
        <is>
          <t xml:space="preserve"> Rien si aucun changement · ou dire si changement</t>
        </is>
      </c>
      <c r="E159" s="1769" t="inlineStr">
        <is>
          <t>Stratégie sur profil périmé</t>
        </is>
      </c>
      <c r="H159" s="1762" t="inlineStr">
        <is>
          <t>⬜</t>
        </is>
      </c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8" customHeight="1" s="1666"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8" customHeight="1" s="1666">
      <c r="A161" s="1770" t="inlineStr">
        <is>
          <t>🔴 ASPECTS 1-6 = OBLIGATOIRES avant analyse  ·  🟡 ASPECTS 7-11 = AUTOMATIQUES (Claude fait lui-même)  ·  🟢 ASPECTS 12-15 = OPTIONNELS mais accélèrent la session</t>
        </is>
      </c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6" customHeight="1" s="1666"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A163" s="1771" t="inlineStr">
        <is>
          <t>💬  FORMAT MESSAGE IDÉAL POUR DÉMARRER UNE SESSION (copier-coller)</t>
        </is>
      </c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6.5" customHeight="1" s="1666">
      <c r="A164" s="1772" t="inlineStr">
        <is>
          <t>📌 Session du [DATE]
• Trades depuis S10: [ex: exécuté SCHD $2,000 REER ce matin · rien d'autre]
• Cash Questrade: TFSA $XXX · FHSA $XX · REER $XX
• Taux USD/CAD: [ex: 1.3540]
• Cotisé YTD: FHSA $XX,XXX · REER $X,XXX
• Intention: [ex: analyser opportunités post-BdC 18 mars · vendre ZRE→AVGO?]
• Budget dispo: [ex: paie reçue $3,500 / aucun cash additionnel]
• Dispo: [ex: 1h / 3h / mission 3 semaines]
• Dividendes reçus: [ex: ENB $16.20 · XEI $4.60 · ou: aucun]
• Changements vie: [ex: aucun · ou: situation X a changé]
→ Uploads joints: Wallet v36 ✅ / Questrade dump ✅</t>
        </is>
      </c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6.5" customHeight="1" s="1666"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6.5" customHeight="1" s="1666">
      <c r="A166" s="1754" t="inlineStr">
        <is>
          <t>📋  TEMPLATE COMPLET V2 — Copier-coller dans Claude.ai · Couvrir les 15 aspects en 1 message</t>
        </is>
      </c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6.5" customHeight="1" s="1666">
      <c r="A167" s="1773" t="inlineStr">
        <is>
          <t>🔵 OBLIGATOIRE (aspects #1-6)</t>
        </is>
      </c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6.5" customHeight="1" s="1666">
      <c r="A168" s="1774" t="inlineStr">
        <is>
          <t>📌 Session du [DATE] — Fichier Wallet v36 S[N] uploadé ✅</t>
        </is>
      </c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6.5" customHeight="1" s="1666">
      <c r="A169" s="1774" t="inlineStr">
        <is>
          <t>💱 USD/CAD aujourd'hui: [X.XXXX] → MAJ CONFIG!B3</t>
        </is>
      </c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6" customHeight="1" s="1666">
      <c r="A170" s="1774" t="inlineStr">
        <is>
          <t>📊 Dump Questrade: TFSA $[X] · FHSA $[X] · REER $[X] · Cash: T=$[X] F=$[X] R=$[X]</t>
        </is>
      </c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6.5" customHeight="1" s="1666">
      <c r="A171" s="1774" t="inlineStr">
        <is>
          <t>🔄 Trades depuis S[N]: [ex: SCHD $2,000 REER exécuté 12 mars · ou: aucun]</t>
        </is>
      </c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6.5" customHeight="1" s="1666">
      <c r="A172" s="1774" t="inlineStr">
        <is>
          <t>💰 Cotisations YTD: FHSA $[X] · REER $[X]</t>
        </is>
      </c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6.5" customHeight="1" s="1666"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6.5" customHeight="1" s="1666">
      <c r="A174" s="1773" t="inlineStr">
        <is>
          <t>🟡 CONTEXTE (aspects #7-10)</t>
        </is>
      </c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6.5" customHeight="1" s="1666">
      <c r="A175" s="1774" t="inlineStr">
        <is>
          <t>📰 Macro: [ex: S&amp;P500 YTD -1.5% · TSX +1% · VIX 22 · tarifs actifs · BdC 18 mars statu quo]</t>
        </is>
      </c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6" customHeight="1" s="1666">
      <c r="A176" s="1774" t="inlineStr">
        <is>
          <t>📉 Marché: [ex: NORMAL / DIP -5% S&amp;P500 / RALLY / CORRECTIF]</t>
        </is>
      </c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6.5" customHeight="1" s="1666">
      <c r="A177" s="1774" t="inlineStr">
        <is>
          <t>🎯 Objectif session: [ex: exécuter ZRE→AVGO / revoir stratégie / préparer impôts]</t>
        </is>
      </c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6.5" customHeight="1" s="1666">
      <c r="A178" s="1774" t="inlineStr">
        <is>
          <t>💸 Trades envisagés: [ex: vendre ZRE 19u TFSA → acheter AVGO ~$1,800 / ou: aucun]</t>
        </is>
      </c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6.5" customHeight="1" s="1666"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6.5" customHeight="1" s="1666">
      <c r="A180" s="1773" t="inlineStr">
        <is>
          <t>🟢 OPTIONNEL (aspects #11-15)</t>
        </is>
      </c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6" customHeight="1" s="1666">
      <c r="A181" s="1774" t="inlineStr">
        <is>
          <t>📅 Calendrier 30j: [ex: paie 18 mars · mission 2 sem dès 20 mars · revenus réduits]</t>
        </is>
      </c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6.5" customHeight="1" s="1666">
      <c r="A182" s="1774" t="inlineStr">
        <is>
          <t>💵 Dividendes reçus: [ex: ENB $16.20 TFSA reçu 15 mars · ou: aucun depuis dernière session]</t>
        </is>
      </c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8" customHeight="1" s="1666">
      <c r="A183" s="1774" t="inlineStr">
        <is>
          <t>🔔 Changements profil: [ex: aucun / ou: tolérance risque réduite / achat voiture prévu]</t>
        </is>
      </c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8" customHeight="1" s="1666"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8" customHeight="1" s="1666">
      <c r="A185" s="1775" t="inlineStr">
        <is>
          <t>⚡ RÉSULTAT ATTENDU: Claude démarre en &lt; 2 min · 0 question · analyse directe ✅</t>
        </is>
      </c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8" customHeight="1" s="1666"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8" customHeight="1" s="1666"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8" customHeight="1" s="1666">
      <c r="B188" s="1776" t="inlineStr">
        <is>
          <t>🧠  PROFIL INVESTISSEUR  ·  Lire si nouvelle session ou doute sur stratégie</t>
        </is>
      </c>
      <c r="C188" s="1777" t="n"/>
      <c r="D188" s="1777" t="n"/>
      <c r="E188" s="1777" t="n"/>
      <c r="F188" s="1777" t="n"/>
      <c r="G188" s="1777" t="n"/>
      <c r="H188" s="1777" t="n"/>
      <c r="I188" s="1777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8" customHeight="1" s="1666">
      <c r="B189" s="1778" t="inlineStr">
        <is>
          <t>→ Tab 🧠 PROFIL : profil risque · stress-test · inflation réelle · patrimoine net · règles personnelles</t>
        </is>
      </c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8" customHeight="1" s="1666"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8" customHeight="1" s="1666"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27.75" customHeight="1" s="1666">
      <c r="A192" s="1779" t="inlineStr">
        <is>
          <t>🌙  CONTEXTE SESSION SUIVANTE  ·  12 mars 2026  ·  Lire en premier</t>
        </is>
      </c>
      <c r="B192" s="1780" t="n"/>
      <c r="C192" s="1780" t="n"/>
      <c r="D192" s="1780" t="n"/>
      <c r="E192" s="1780" t="n"/>
      <c r="F192" s="1780" t="n"/>
      <c r="G192" s="1780" t="n"/>
      <c r="H192" s="1780" t="n"/>
      <c r="I192" s="1780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9.5" customHeight="1" s="1666">
      <c r="A193" s="1781" t="inlineStr">
        <is>
          <t>📋  RÉSUMÉ SESSION 11 MARS — S14  ·  Ce qui a été accompli</t>
        </is>
      </c>
      <c r="B193" s="1782" t="n"/>
      <c r="C193" s="1782" t="n"/>
      <c r="D193" s="1782" t="n"/>
      <c r="E193" s="1782" t="n"/>
      <c r="F193" s="1782" t="n"/>
      <c r="G193" s="1782" t="n"/>
      <c r="H193" s="1782" t="n"/>
      <c r="I193" s="1782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8" customHeight="1" s="1666">
      <c r="A194" s="1783" t="inlineStr">
        <is>
          <t>✅</t>
        </is>
      </c>
      <c r="B194" s="1784" t="inlineStr">
        <is>
          <t>PLZ.UN vendu</t>
        </is>
      </c>
      <c r="C194" s="1785" t="inlineStr">
        <is>
          <t>961u × $4.26 = $4,094 CAD réalisé · T4 éliminé</t>
        </is>
      </c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8" customHeight="1" s="1666">
      <c r="A195" s="1783" t="inlineStr">
        <is>
          <t>✅</t>
        </is>
      </c>
      <c r="B195" s="1784" t="inlineStr">
        <is>
          <t>SCHD confirmé REER</t>
        </is>
      </c>
      <c r="C195" s="1785" t="inlineStr">
        <is>
          <t>64.3053u · position snowball établie</t>
        </is>
      </c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8" customHeight="1" s="1666">
      <c r="A196" s="1783" t="inlineStr">
        <is>
          <t>✅</t>
        </is>
      </c>
      <c r="B196" s="1784" t="inlineStr">
        <is>
          <t>USD/CAD CONFIG</t>
        </is>
      </c>
      <c r="C196" s="1785" t="inlineStr">
        <is>
          <t>Formule GOOGLEFINANCE dynamique (fallback 1.3559)</t>
        </is>
      </c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8" customHeight="1" s="1666">
      <c r="A197" s="1783" t="inlineStr">
        <is>
          <t>✅</t>
        </is>
      </c>
      <c r="B197" s="1784" t="inlineStr">
        <is>
          <t>XEI FHSA corrigé</t>
        </is>
      </c>
      <c r="C197" s="1785" t="inlineStr">
        <is>
          <t>$32.6111 CAD (était $35.51) · dump Questrade</t>
        </is>
      </c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8" customHeight="1" s="1666">
      <c r="A198" s="1783" t="inlineStr">
        <is>
          <t>✅</t>
        </is>
      </c>
      <c r="B198" s="1784" t="inlineStr">
        <is>
          <t>PROJECTION FI dual-scénar</t>
        </is>
      </c>
      <c r="C198" s="1785" t="inlineStr">
        <is>
          <t>A=maison 2030 (âge 58) · B=sans maison (âge 51) · écart 7 ans</t>
        </is>
      </c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8" customHeight="1" s="1666">
      <c r="A199" s="1783" t="inlineStr">
        <is>
          <t>✅</t>
        </is>
      </c>
      <c r="B199" s="1784" t="inlineStr">
        <is>
          <t>PROFIL INVESTISSEUR créé</t>
        </is>
      </c>
      <c r="C199" s="1785" t="inlineStr">
        <is>
          <t>7 sections · risque · stress-test · inflation · règles</t>
        </is>
      </c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8" customHeight="1" s="1666">
      <c r="A200" s="1783" t="inlineStr">
        <is>
          <t>✅</t>
        </is>
      </c>
      <c r="B200" s="1784" t="inlineStr">
        <is>
          <t>Revenu net réel calculé</t>
        </is>
      </c>
      <c r="C200" s="1785" t="inlineStr">
        <is>
          <t>$2,800-$3,800/paie · surplus $2,950/mois non investi confirmé</t>
        </is>
      </c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8" customHeight="1" s="1666">
      <c r="A201" s="1783" t="inlineStr">
        <is>
          <t>✅</t>
        </is>
      </c>
      <c r="B201" s="1784" t="inlineStr">
        <is>
          <t>ATH confirmé</t>
        </is>
      </c>
      <c r="C201" s="1785" t="inlineStr">
        <is>
          <t>$87,252 CAD · 10 mars 2026</t>
        </is>
      </c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8" customHeight="1" s="1666">
      <c r="A202" s="1783" t="inlineStr">
        <is>
          <t>✅</t>
        </is>
      </c>
      <c r="B202" s="1784" t="inlineStr">
        <is>
          <t>Règle allègement T1</t>
        </is>
      </c>
      <c r="C202" s="1785" t="inlineStr">
        <is>
          <t>Seuils précis: AVGO &gt;20% · GEV &gt;10% · 1 titre &gt;25% = action</t>
        </is>
      </c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8" customHeight="1" s="1666">
      <c r="A203" s="1783" t="inlineStr">
        <is>
          <t>✅</t>
        </is>
      </c>
      <c r="B203" s="1784" t="inlineStr">
        <is>
          <t>Calendrier dividendes</t>
        </is>
      </c>
      <c r="C203" s="1785" t="inlineStr">
        <is>
          <t>Mensuel par ticker · snowball ARC $1,060/mois modélisé</t>
        </is>
      </c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8" customHeight="1" s="1666">
      <c r="A204" s="1783" t="inlineStr">
        <is>
          <t>✅</t>
        </is>
      </c>
      <c r="B204" s="1784" t="inlineStr">
        <is>
          <t>Engagement quotidien</t>
        </is>
      </c>
      <c r="C204" s="1785" t="inlineStr">
        <is>
          <t>Décision prise : sessions quotidiennes · partenariat FI long terme</t>
        </is>
      </c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8" customHeight="1" s="1666"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24" customHeight="1" s="1666">
      <c r="A206" s="1786" t="inlineStr">
        <is>
          <t>🔴  ACTIONS DEMAIN MATIN  ·  12 MARS 2026  ·  Dans cet ordre exact</t>
        </is>
      </c>
      <c r="B206" s="1780" t="n"/>
      <c r="C206" s="1780" t="n"/>
      <c r="D206" s="1780" t="n"/>
      <c r="E206" s="1780" t="n"/>
      <c r="F206" s="1780" t="n"/>
      <c r="G206" s="1780" t="n"/>
      <c r="H206" s="1780" t="n"/>
      <c r="I206" s="1780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30" customHeight="1" s="1666">
      <c r="A207" s="1787" t="inlineStr">
        <is>
          <t>🔴 #1</t>
        </is>
      </c>
      <c r="B207" s="1788" t="inlineStr">
        <is>
          <t>9h30 HNE</t>
        </is>
      </c>
      <c r="C207" s="1789" t="inlineStr">
        <is>
          <t>SCHD $2,000 REER</t>
        </is>
      </c>
      <c r="D207" s="1790" t="inlineStr">
        <is>
          <t>Questrade → REER #52924767 → Acheter SCHD · ~$1,475 USD · MAJ CONFIG!B34 → 2000</t>
        </is>
      </c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30" customHeight="1" s="1666">
      <c r="A208" s="1787" t="inlineStr">
        <is>
          <t>🔴 #2</t>
        </is>
      </c>
      <c r="B208" s="1788" t="inlineStr">
        <is>
          <t>Ce soir/demain</t>
        </is>
      </c>
      <c r="C208" s="1789" t="inlineStr">
        <is>
          <t>EQ Bank HISA</t>
        </is>
      </c>
      <c r="D208" s="1790" t="inlineStr">
        <is>
          <t>eqbank.ca → ouvrir compte → virer TOUT au-dessus de $3K du chèque → ~$15-20K → 3.75%/an</t>
        </is>
      </c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30" customHeight="1" s="1666">
      <c r="A209" s="1791" t="inlineStr">
        <is>
          <t>🟡 #3</t>
        </is>
      </c>
      <c r="B209" s="1792" t="inlineStr">
        <is>
          <t>18 mars AM</t>
        </is>
      </c>
      <c r="C209" s="1793" t="inlineStr">
        <is>
          <t>Post-BdC : ZRE+XIC+VDU</t>
        </is>
      </c>
      <c r="D209" s="1794" t="inlineStr">
        <is>
          <t>~$1,878 TFSA → vendre les 3 → réinvestir T1 (AVGO ou SMH selon prix ce jour-là)</t>
        </is>
      </c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30" customHeight="1" s="1666">
      <c r="A210" s="1795" t="inlineStr">
        <is>
          <t>📅 #4</t>
        </is>
      </c>
      <c r="B210" s="1796" t="inlineStr">
        <is>
          <t>11 avril</t>
        </is>
      </c>
      <c r="C210" s="1797" t="inlineStr">
        <is>
          <t>Verdicts J+30</t>
        </is>
      </c>
      <c r="D210" s="1798" t="inlineStr">
        <is>
          <t>AVGO $340.65 · GEV $844.18 · SMH $400.33 · Mettre alarme téléphone MAINTENANT</t>
        </is>
      </c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8" customHeight="1" s="1666"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9.5" customHeight="1" s="1666">
      <c r="A212" s="1797" t="inlineStr">
        <is>
          <t>📊  CONTEXTE MARCHÉ  ·  Soir 13 mars 2026  ·  À valider demain avec web search</t>
        </is>
      </c>
      <c r="B212" s="1799" t="n"/>
      <c r="C212" s="1799" t="n"/>
      <c r="D212" s="1799" t="n"/>
      <c r="E212" s="1799" t="n"/>
      <c r="F212" s="1799" t="n"/>
      <c r="G212" s="1799" t="n"/>
      <c r="H212" s="1799" t="n"/>
      <c r="I212" s="1799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8" customHeight="1" s="1666">
      <c r="A213" s="1800" t="inlineStr">
        <is>
          <t>S&amp;P 500</t>
        </is>
      </c>
      <c r="B213" s="1796" t="inlineStr">
        <is>
          <t>6,773</t>
        </is>
      </c>
      <c r="C213" s="1785" t="inlineStr">
        <is>
          <t>⚠️ -0.11% · VIX 25.24 · volatilité élevée = zone opportunité</t>
        </is>
      </c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8" customHeight="1" s="1666">
      <c r="A214" s="1800" t="inlineStr">
        <is>
          <t>AVGO</t>
        </is>
      </c>
      <c r="B214" s="1796" t="inlineStr">
        <is>
          <t>$342.58</t>
        </is>
      </c>
      <c r="C214" s="1785" t="inlineStr">
        <is>
          <t>✅ Strong Buy consensus · cible ~$437-467 · Q1 +29% rev · IA +108%</t>
        </is>
      </c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8" customHeight="1" s="1666">
      <c r="A215" s="1800" t="inlineStr">
        <is>
          <t>VIX</t>
        </is>
      </c>
      <c r="B215" s="1796" t="inlineStr">
        <is>
          <t>25.24</t>
        </is>
      </c>
      <c r="C215" s="1785" t="inlineStr">
        <is>
          <t>⚠️ Élevé · signifie opportunité achat si conviction · pas panique</t>
        </is>
      </c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8" customHeight="1" s="1666">
      <c r="A216" s="1800" t="inlineStr">
        <is>
          <t>BdC</t>
        </is>
      </c>
      <c r="B216" s="1796" t="inlineStr">
        <is>
          <t>18 mars</t>
        </is>
      </c>
      <c r="C216" s="1785" t="inlineStr">
        <is>
          <t>94% statu quo · important pour REITs + ENB · attendre avant trade</t>
        </is>
      </c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8" customHeight="1" s="1666">
      <c r="A217" s="1800" t="inlineStr">
        <is>
          <t>Fed</t>
        </is>
      </c>
      <c r="B217" s="1796" t="inlineStr">
        <is>
          <t>18-19 mars</t>
        </is>
      </c>
      <c r="C217" s="1785" t="inlineStr">
        <is>
          <t>Décision taux US · impact USD/CAD · attendre avant trade USD</t>
        </is>
      </c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8" customHeight="1" s="1666">
      <c r="A218" s="1800" t="inlineStr">
        <is>
          <t>SCHD</t>
        </is>
      </c>
      <c r="B218" s="1796" t="inlineStr">
        <is>
          <t>~$30.90</t>
        </is>
      </c>
      <c r="C218" s="1785" t="inlineStr">
        <is>
          <t>Prix d'achat cible demain 9h30 · ordre au marché ou limite $31</t>
        </is>
      </c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8" customHeight="1" s="1666">
      <c r="A219" s="1800" t="inlineStr">
        <is>
          <t>Surplus</t>
        </is>
      </c>
      <c r="B219" s="1796" t="inlineStr">
        <is>
          <t>~$2,950/mois</t>
        </is>
      </c>
      <c r="C219" s="1785" t="inlineStr">
        <is>
          <t>Dort dans compte chèque · EQ Bank = priorité absolue #2</t>
        </is>
      </c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8" customHeight="1" s="1666"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9.5" customHeight="1" s="1666">
      <c r="A221" s="1793" t="inlineStr">
        <is>
          <t>🤝  PARTENARIAT FI  ·  Engagement 12 mars 2026  ·  Mode sessions quotidiennes activé</t>
        </is>
      </c>
      <c r="B221" s="1801" t="n"/>
      <c r="C221" s="1801" t="n"/>
      <c r="D221" s="1801" t="n"/>
      <c r="E221" s="1801" t="n"/>
      <c r="F221" s="1801" t="n"/>
      <c r="G221" s="1801" t="n"/>
      <c r="H221" s="1801" t="n"/>
      <c r="I221" s="1801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25.5" customHeight="1" s="1666">
      <c r="A222" s="1784" t="inlineStr">
        <is>
          <t>Objectif 90 jours</t>
        </is>
      </c>
      <c r="B222" s="1799" t="n"/>
      <c r="C222" s="1802" t="inlineStr">
        <is>
          <t>1. Optimiser compo portefeuille · 2. Monter à $5K/mois · 3. Décider maison · 4. Router surplus EQ Bank</t>
        </is>
      </c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25.5" customHeight="1" s="1666">
      <c r="A223" s="1784" t="inlineStr">
        <is>
          <t>Format sessions courtes (5-10 min)</t>
        </is>
      </c>
      <c r="B223" s="1799" t="n"/>
      <c r="C223" s="1802" t="inlineStr">
        <is>
          <t>"Qu'est-ce qui s'est passé depuis hier?" → analyse marché → décision ou pas → documenter</t>
        </is>
      </c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25.5" customHeight="1" s="1666">
      <c r="A224" s="1784" t="inlineStr">
        <is>
          <t>Format sessions longues (comme ce soir)</t>
        </is>
      </c>
      <c r="B224" s="1799" t="n"/>
      <c r="C224" s="1802" t="inlineStr">
        <is>
          <t>Trade à analyser · mise à jour fichier · décision stratégique majeure · ~1-2h</t>
        </is>
      </c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25.5" customHeight="1" s="1666">
      <c r="A225" s="1784" t="inlineStr">
        <is>
          <t>Upload fichier</t>
        </is>
      </c>
      <c r="B225" s="1799" t="n"/>
      <c r="C225" s="1802" t="inlineStr">
        <is>
          <t>Seulement si trade exécuté ou paie reçue · pas nécessaire chaque session</t>
        </is>
      </c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25.5" customHeight="1" s="1666">
      <c r="A226" s="1784" t="inlineStr">
        <is>
          <t>Ce que Claude fait automatiquement</t>
        </is>
      </c>
      <c r="B226" s="1799" t="n"/>
      <c r="C226" s="1802" t="inlineStr">
        <is>
          <t>Web search macro · vérifier earnings calendar · devil's advocate · USD% · IA% · coût opportunité</t>
        </is>
      </c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25.5" customHeight="1" s="1666">
      <c r="A227" s="1784" t="inlineStr">
        <is>
          <t>Ce que TU dois faire</t>
        </is>
      </c>
      <c r="B227" s="1803" t="inlineStr">
        <is>
          <t>ÉTAPE</t>
        </is>
      </c>
      <c r="C227" s="1802" t="inlineStr">
        <is>
          <t>Me dire : cash disponible · paie reçue ou non · trade envisagé · question du jour</t>
        </is>
      </c>
      <c r="H227" s="1690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25.5" customHeight="1" s="1666">
      <c r="A228" s="1784" t="inlineStr">
        <is>
          <t>Règle surplus</t>
        </is>
      </c>
      <c r="B228" s="1804" t="inlineStr">
        <is>
          <t>🔥 Étape 1</t>
        </is>
      </c>
      <c r="C228" s="1802" t="inlineStr">
        <is>
          <t>~$2,950/mois non investi = EQ Bank en premier · puis décider si TFSA ou attendre maison</t>
        </is>
      </c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8" customHeight="1" s="1666">
      <c r="B229" s="1706" t="inlineStr">
        <is>
          <t>🔥 Étape 2</t>
        </is>
      </c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9.5" customHeight="1" s="1666">
      <c r="A230" s="1805" t="inlineStr">
        <is>
          <t>💬  PHRASE D'OUVERTURE DEMAIN  ·  Copier-coller pour démarrer vite</t>
        </is>
      </c>
      <c r="B230" s="1780" t="n"/>
      <c r="C230" s="1780" t="n"/>
      <c r="D230" s="1780" t="n"/>
      <c r="E230" s="1780" t="n"/>
      <c r="F230" s="1780" t="n"/>
      <c r="G230" s="1780" t="n"/>
      <c r="H230" s="1780" t="n"/>
      <c r="I230" s="1780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49.5" customHeight="1" s="1666">
      <c r="A231" s="1806" t="inlineStr">
        <is>
          <t>"Claude, session 12 mars. J'ai exécuté SCHD $2,000 REER à [PRIX] et ouvert EQ Bank avec $[MONTANT]. Portfolio live : [valeur Questrade]. Aujourd'hui je veux [intention]. Marché : quoi de neuf depuis hier soir ?"</t>
        </is>
      </c>
      <c r="B231" s="1807" t="inlineStr">
        <is>
          <t>⭐ Étape 4</t>
        </is>
      </c>
      <c r="C231" s="1808" t="inlineStr">
        <is>
          <t>Demander uploads si manquants : InvestmentSummary.xlsx + Portefeuille_2026.xlsx</t>
        </is>
      </c>
      <c r="D231" s="1780" t="n"/>
      <c r="E231" s="1780" t="n"/>
      <c r="F231" s="1780" t="n"/>
      <c r="G231" s="1780" t="n"/>
      <c r="H231" s="1780" t="n"/>
      <c r="I231" s="1780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8" customHeight="1" s="1666">
      <c r="B232" s="1714" t="inlineStr">
        <is>
          <t>⭐ Étape 5</t>
        </is>
      </c>
      <c r="C232" s="1715" t="inlineStr">
        <is>
          <t>Appliquer toutes règles automatiques dès le 1er message · pas d'attente</t>
        </is>
      </c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30" customHeight="1" s="1666">
      <c r="A233" s="1809" t="inlineStr">
        <is>
          <t>OU si session courte : "Claude, rien de nouveau. VIX à [X], AVGO à [X]. On continue le plan. Questions du jour : [ta question]."</t>
        </is>
      </c>
      <c r="B233" s="1810" t="inlineStr">
        <is>
          <t>FORMAT RÉPONSE STANDARD</t>
        </is>
      </c>
      <c r="C233" s="1780" t="n"/>
      <c r="D233" s="1780" t="n"/>
      <c r="E233" s="1780" t="n"/>
      <c r="F233" s="1780" t="n"/>
      <c r="G233" s="1780" t="n"/>
      <c r="H233" s="1780" t="n"/>
      <c r="I233" s="1780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8" customHeight="1" s="1666"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8" customHeight="1" s="1666"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8" customHeight="1" s="1666"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8" customHeight="1" s="1666"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8" customHeight="1" s="1666"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8" customHeight="1" s="1666">
      <c r="B239" s="1735" t="inlineStr">
        <is>
          <t>✅ Obligatoire</t>
        </is>
      </c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8" customHeight="1" s="1666">
      <c r="B240" s="1714" t="inlineStr">
        <is>
          <t>📊 Optionnel</t>
        </is>
      </c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8" customHeight="1" s="1666">
      <c r="B241" s="1735" t="inlineStr">
        <is>
          <t>📋 Optionnel</t>
        </is>
      </c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8" customHeight="1" s="1666">
      <c r="B242" s="1714" t="inlineStr">
        <is>
          <t>⚠️ Si manquant</t>
        </is>
      </c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8" customHeight="1" s="1666"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8" customHeight="1" s="1666">
      <c r="A244" s="1689" t="inlineStr">
        <is>
          <t>📊  SECTION 12 — SCORE SESSION  ·  Auto-évaluation · Frictions identifiées</t>
        </is>
      </c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8" customHeight="1" s="1666">
      <c r="A245" s="1811" t="inlineStr">
        <is>
          <t>CRITÈRE MESURABLE</t>
        </is>
      </c>
      <c r="B245" s="1811" t="inlineStr">
        <is>
          <t>SCORE S10</t>
        </is>
      </c>
      <c r="C245" s="1811" t="inlineStr">
        <is>
          <t>SEUIL ✅</t>
        </is>
      </c>
      <c r="D245" s="1811" t="inlineStr">
        <is>
          <t>TENDANCE</t>
        </is>
      </c>
      <c r="E245" s="1811" t="inlineStr">
        <is>
          <t>NOTE</t>
        </is>
      </c>
      <c r="F245" s="1812" t="inlineStr">
        <is>
          <t>SCORE S11</t>
        </is>
      </c>
      <c r="G245" s="1813" t="inlineStr">
        <is>
          <t>DELTA</t>
        </is>
      </c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8" customHeight="1" s="1666">
      <c r="A246" s="1731" t="inlineStr">
        <is>
          <t>Web search fait avant réponse</t>
        </is>
      </c>
      <c r="B246" s="1814" t="inlineStr">
        <is>
          <t>✅ OUI</t>
        </is>
      </c>
      <c r="F246" s="1815" t="inlineStr">
        <is>
          <t>⬜</t>
        </is>
      </c>
      <c r="G246" s="1816" t="inlineStr">
        <is>
          <t>—</t>
        </is>
      </c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8" customHeight="1" s="1666">
      <c r="A247" s="1768" t="inlineStr">
        <is>
          <t>Expo USD vérifiée</t>
        </is>
      </c>
      <c r="B247" s="1814" t="inlineStr">
        <is>
          <t>44% ✅</t>
        </is>
      </c>
      <c r="C247" s="1817" t="inlineStr">
        <is>
          <t>≤ 65%</t>
        </is>
      </c>
      <c r="D247" s="1817" t="inlineStr">
        <is>
          <t>→</t>
        </is>
      </c>
      <c r="E247" s="1818" t="inlineStr">
        <is>
          <t>R3 — 44% post-trades</t>
        </is>
      </c>
      <c r="F247" s="1815" t="inlineStr">
        <is>
          <t>⬜</t>
        </is>
      </c>
      <c r="G247" s="1819" t="inlineStr">
        <is>
          <t>—</t>
        </is>
      </c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8" customHeight="1" s="1666">
      <c r="A248" s="1731" t="inlineStr">
        <is>
          <t>Expo IA vérifiée</t>
        </is>
      </c>
      <c r="F248" s="1815" t="inlineStr">
        <is>
          <t>⬜</t>
        </is>
      </c>
      <c r="G248" s="1816" t="inlineStr">
        <is>
          <t>—</t>
        </is>
      </c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8" customHeight="1" s="1666">
      <c r="A249" s="1768" t="inlineStr">
        <is>
          <t>Earnings calendar consulté</t>
        </is>
      </c>
      <c r="B249" s="1814" t="inlineStr">
        <is>
          <t>✅ OUI</t>
        </is>
      </c>
      <c r="C249" s="1817" t="inlineStr">
        <is>
          <t>OUI chaque achat T1/T2</t>
        </is>
      </c>
      <c r="F249" s="1815" t="inlineStr">
        <is>
          <t>⬜</t>
        </is>
      </c>
      <c r="G249" s="1819" t="inlineStr">
        <is>
          <t>—</t>
        </is>
      </c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8" customHeight="1" s="1666">
      <c r="A250" s="1731" t="inlineStr">
        <is>
          <t>Validation CHECK 1+2+3 passés</t>
        </is>
      </c>
      <c r="B250" s="1814" t="inlineStr">
        <is>
          <t>✅ 3/3</t>
        </is>
      </c>
      <c r="C250" s="1820" t="inlineStr">
        <is>
          <t>3/3 vert</t>
        </is>
      </c>
      <c r="D250" s="1820" t="inlineStr">
        <is>
          <t>→</t>
        </is>
      </c>
      <c r="F250" s="1815" t="inlineStr">
        <is>
          <t>⬜</t>
        </is>
      </c>
      <c r="G250" s="1816" t="inlineStr">
        <is>
          <t>—</t>
        </is>
      </c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8" customHeight="1" s="1666">
      <c r="A251" s="1768" t="inlineStr">
        <is>
          <t>Trades journalisés (Journal Décisions)</t>
        </is>
      </c>
      <c r="B251" s="1814" t="inlineStr">
        <is>
          <t>8/8 ✅</t>
        </is>
      </c>
      <c r="C251" s="1817" t="inlineStr">
        <is>
          <t>100% des trades</t>
        </is>
      </c>
      <c r="D251" s="1817" t="inlineStr">
        <is>
          <t>→</t>
        </is>
      </c>
      <c r="F251" s="1815" t="inlineStr">
        <is>
          <t>⬜</t>
        </is>
      </c>
      <c r="G251" s="1819" t="inlineStr">
        <is>
          <t>—</t>
        </is>
      </c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8" customHeight="1" s="1666">
      <c r="A252" s="1731" t="inlineStr">
        <is>
          <t>Actions urgentes réduites vs session préc</t>
        </is>
      </c>
      <c r="B252" s="1821" t="inlineStr">
        <is>
          <t>2→2 ➡️</t>
        </is>
      </c>
      <c r="C252" s="1820" t="inlineStr">
        <is>
          <t>Diminuer session à session</t>
        </is>
      </c>
      <c r="D252" s="1820" t="inlineStr">
        <is>
          <t>→</t>
        </is>
      </c>
      <c r="F252" s="1815" t="inlineStr">
        <is>
          <t>⬜</t>
        </is>
      </c>
      <c r="G252" s="1816" t="inlineStr">
        <is>
          <t>—</t>
        </is>
      </c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8" customHeight="1" s="1666">
      <c r="A253" s="1768" t="inlineStr">
        <is>
          <t>Opportunité coût chiffrée</t>
        </is>
      </c>
      <c r="B253" s="1814" t="inlineStr">
        <is>
          <t>✅ OUI</t>
        </is>
      </c>
      <c r="C253" s="1817" t="inlineStr">
        <is>
          <t>OUI si décision importante</t>
        </is>
      </c>
      <c r="D253" s="1817" t="inlineStr">
        <is>
          <t>→</t>
        </is>
      </c>
      <c r="F253" s="1815" t="inlineStr">
        <is>
          <t>⬜</t>
        </is>
      </c>
      <c r="G253" s="1819" t="inlineStr">
        <is>
          <t>—</t>
        </is>
      </c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8" customHeight="1" s="1666">
      <c r="A254" s="1731" t="inlineStr">
        <is>
          <t>Durée session (efficacité)</t>
        </is>
      </c>
      <c r="B254" s="1822" t="inlineStr">
        <is>
          <t>~3h</t>
        </is>
      </c>
      <c r="C254" s="1820" t="inlineStr">
        <is>
          <t>&lt; 2h idéal</t>
        </is>
      </c>
      <c r="D254" s="1820" t="inlineStr">
        <is>
          <t>⬇️ améliorer</t>
        </is>
      </c>
      <c r="F254" s="1815" t="inlineStr">
        <is>
          <t>⬜</t>
        </is>
      </c>
      <c r="G254" s="1816" t="inlineStr">
        <is>
          <t>—</t>
        </is>
      </c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6" customHeight="1" s="1666">
      <c r="A255" s="1768" t="inlineStr">
        <is>
          <t>Score global S10</t>
        </is>
      </c>
      <c r="B255" s="1823" t="inlineStr">
        <is>
          <t>8.5/10</t>
        </is>
      </c>
      <c r="C255" s="1817" t="inlineStr">
        <is>
          <t>≥ 8/10</t>
        </is>
      </c>
      <c r="D255" s="1817" t="inlineStr">
        <is>
          <t>→</t>
        </is>
      </c>
      <c r="F255" s="1815" t="inlineStr">
        <is>
          <t>⬜</t>
        </is>
      </c>
      <c r="G255" s="1819" t="inlineStr">
        <is>
          <t>—</t>
        </is>
      </c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8" customHeight="1" s="1666">
      <c r="A256" s="1824" t="inlineStr">
        <is>
          <t>💡 S12: Remplir col "SCORE S11" en fin de session · DELTA = S11-S10 · Tendance ⬆️ = amélioration · Cible: 9/10</t>
        </is>
      </c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3.5" customHeight="1" s="1666"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21.75" customHeight="1" s="1666"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21.75" customHeight="1" s="1666"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21.75" customHeight="1" s="1666"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21.75" customHeight="1" s="1666">
      <c r="B261" s="1733" t="inlineStr">
        <is>
          <t>Vitesse analyse</t>
        </is>
      </c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21.75" customHeight="1" s="1666">
      <c r="B262" s="1732" t="inlineStr">
        <is>
          <t>Autonomie démarrage</t>
        </is>
      </c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6" customHeight="1" s="1666">
      <c r="B263" s="1733" t="inlineStr">
        <is>
          <t>Score global S8</t>
        </is>
      </c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B264" s="1825" t="inlineStr">
        <is>
          <t>FRICTIONS SESSION 11 MARS → LEÇONS AJOUTÉES</t>
        </is>
      </c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8" customHeight="1" s="1666">
      <c r="B265" s="1734" t="inlineStr">
        <is>
          <t>Cash ≠ Buying power non distingués</t>
        </is>
      </c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8" customHeight="1" s="1666">
      <c r="B266" s="1707" t="inlineStr">
        <is>
          <t>Dump combiné demandé avant dumps séparés</t>
        </is>
      </c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6" customHeight="1" s="1666">
      <c r="B267" s="1734" t="inlineStr">
        <is>
          <t>AVGO rejeté 15h26 — buying power USD</t>
        </is>
      </c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8" customHeight="1" s="1666"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31.5" customHeight="1" s="1666"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31.5" customHeight="1" s="1666">
      <c r="A271" s="1689" t="inlineStr">
        <is>
          <t>🧠  SECTION 13 — PROFIL COMPORTEMENTAL  ·  Construit 13 mars 2026 · Stable</t>
        </is>
      </c>
      <c r="J271" s="1665" t="n"/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31.5" customHeight="1" s="1666">
      <c r="B272" s="1743" t="inlineStr">
        <is>
          <t>PSYCHOLOGIE INVESTISSEMENT</t>
        </is>
      </c>
      <c r="C272" s="1826" t="inlineStr">
        <is>
          <t>Accumulateur pur · chaque baisse = opportunité · jamais panique · buy the dip continu · dort bien en marché baissier</t>
        </is>
      </c>
      <c r="J272" s="1665" t="n"/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31.5" customHeight="1" s="1666">
      <c r="B273" s="1827" t="inlineStr">
        <is>
          <t>ANGLE MORT à surveiller</t>
        </is>
      </c>
      <c r="C273" s="1711" t="inlineStr">
        <is>
          <t>Risque surpondérer une position déjà lourde en dip → forcer diversification du dip (ex: AVGO+GEV+SMH le 11 mars ✅)</t>
        </is>
      </c>
      <c r="J273" s="1665" t="n"/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31.5" customHeight="1" s="1666">
      <c r="B274" s="1732" t="inlineStr">
        <is>
          <t>PROFIL COGNITIF</t>
        </is>
      </c>
      <c r="C274" s="1715" t="inlineStr">
        <is>
          <t>Multitâche par nature · tête "partout" seulement en surstimulation situationnelle · en session normale : plusieurs analyses OK</t>
        </is>
      </c>
      <c r="J274" s="1665" t="n"/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31.5" customHeight="1" s="1666">
      <c r="B275" s="1733" t="inlineStr">
        <is>
          <t>CONTRAINTES RÉELLES</t>
        </is>
      </c>
      <c r="C275" s="1734" t="inlineStr">
        <is>
          <t>Liquidités mi-mois (rétroactivité + paie ~$3,700 mercredi) · pas début de mois · horaires atypiques Nunavik · rotations travail</t>
        </is>
      </c>
      <c r="J275" s="1665" t="n"/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9.5" customHeight="1" s="1666">
      <c r="B276" s="1732" t="inlineStr">
        <is>
          <t>OBJECTIFS DE VIE</t>
        </is>
      </c>
      <c r="C276" s="1715" t="inlineStr">
        <is>
          <t>FI = POSSIBILITÉ pas fuite · aime son travail de policier · famille + belle maison · immobilier horizon futur possible</t>
        </is>
      </c>
      <c r="J276" s="1665" t="n"/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8" customHeight="1" s="1666">
      <c r="B277" s="1743" t="inlineStr">
        <is>
          <t>OBJECTIF DE COMPÉTENCE</t>
        </is>
      </c>
      <c r="C277" s="1826" t="inlineStr">
        <is>
          <t>Devenir le MEILLEUR gestionnaire de son propre portefeuille · investissement = intérêt genuine pas juste outil · autodidacte</t>
        </is>
      </c>
      <c r="J277" s="1665" t="n"/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8" customHeight="1" s="1666">
      <c r="B278" s="1733" t="inlineStr">
        <is>
          <t>RÔLE DE CLAUDE</t>
        </is>
      </c>
      <c r="C278" s="1734" t="inlineStr">
        <is>
          <t>Partenaire de formation · challenger les angles morts sans brider l'agressivité · quantifier toujours · chiffres &gt; abstrait</t>
        </is>
      </c>
      <c r="J278" s="1665" t="n"/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8" customHeight="1" s="1666">
      <c r="J279" s="1665" t="n"/>
      <c r="K279" s="1665" t="n"/>
      <c r="L279" s="1665" t="n"/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8" customHeight="1" s="1666">
      <c r="J280" s="1665" t="n"/>
      <c r="K280" s="1665" t="n"/>
      <c r="L280" s="1665" t="n"/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8" customHeight="1" s="1666">
      <c r="J281" s="1665" t="n"/>
      <c r="K281" s="1665" t="n"/>
      <c r="L281" s="1665" t="n"/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8" customHeight="1" s="1666">
      <c r="A282" s="1689" t="inlineStr">
        <is>
          <t>🗂️  SECTION 14 — GUIDE UPLOADS PAR SESSION  ·  Quoi uploader · Où le trouver · Quand</t>
        </is>
      </c>
      <c r="J282" s="1665" t="n"/>
      <c r="K282" s="1665" t="n"/>
      <c r="L282" s="1665" t="n"/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8" customHeight="1" s="1666">
      <c r="B283" s="1811" t="inlineStr">
        <is>
          <t>FICHIER</t>
        </is>
      </c>
      <c r="C283" s="1811" t="inlineStr">
        <is>
          <t>OÙ LE TROUVER</t>
        </is>
      </c>
      <c r="D283" s="1811" t="inlineStr">
        <is>
          <t>FRÉQUENCE</t>
        </is>
      </c>
      <c r="E283" s="1811" t="inlineStr">
        <is>
          <t>FORMAT OK</t>
        </is>
      </c>
      <c r="F283" s="1811" t="inlineStr">
        <is>
          <t>SI MANQUANT</t>
        </is>
      </c>
      <c r="J283" s="1665" t="n"/>
      <c r="K283" s="1665" t="n"/>
      <c r="L283" s="1665" t="n"/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8" customHeight="1" s="1666">
      <c r="B284" s="1828" t="inlineStr">
        <is>
          <t>📊 Wallet_Google_Sheet_v36_FINAL_Sxx.xlsx</t>
        </is>
      </c>
      <c r="C284" s="1829" t="inlineStr">
        <is>
          <t>Télécharger depuis Google Drive / fichier précédent Claude.ai</t>
        </is>
      </c>
      <c r="D284" s="1830" t="inlineStr">
        <is>
          <t>CHAQUE SESSION — obligatoire</t>
        </is>
      </c>
      <c r="E284" s="1831" t="inlineStr">
        <is>
          <t>.xlsx · pas .csv · pas .ods</t>
        </is>
      </c>
      <c r="F284" s="1832" t="inlineStr">
        <is>
          <t>Impossible de faire quoi que ce soit</t>
        </is>
      </c>
      <c r="J284" s="1665" t="n"/>
      <c r="K284" s="1665" t="n"/>
      <c r="L284" s="1665" t="n"/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8" customHeight="1" s="1666">
      <c r="B285" s="1828" t="inlineStr">
        <is>
          <t>📋 Questrade — InvestmentSummary.pdf</t>
        </is>
      </c>
      <c r="C285" s="1833" t="inlineStr">
        <is>
          <t>Questrade → Accounts → Reports → Investment Summary</t>
        </is>
      </c>
      <c r="D285" s="1830" t="inlineStr">
        <is>
          <t>Chaque session si trade fait · sinon mensuel</t>
        </is>
      </c>
      <c r="E285" s="1834" t="inlineStr">
        <is>
          <t>PDF complet avec toutes positions + cash</t>
        </is>
      </c>
      <c r="F285" s="1832" t="inlineStr">
        <is>
          <t>CHECK 2 impossible · valeurs non vérifiées</t>
        </is>
      </c>
      <c r="J285" s="1665" t="n"/>
      <c r="K285" s="1665" t="n"/>
      <c r="L285" s="1665" t="n"/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8" customHeight="1" s="1666">
      <c r="B286" s="1835" t="inlineStr">
        <is>
          <t>📋 Questrade — Positions par compte (CSV)</t>
        </is>
      </c>
      <c r="C286" s="1829" t="inlineStr">
        <is>
          <t>Questrade → Portfolio → Export CSV</t>
        </is>
      </c>
      <c r="D286" s="1836" t="inlineStr">
        <is>
          <t>Chaque session idéalement</t>
        </is>
      </c>
      <c r="E286" s="1831" t="inlineStr">
        <is>
          <t>CSV avec qty + avg cost par ticker</t>
        </is>
      </c>
      <c r="F286" s="1832" t="inlineStr">
        <is>
          <t>Prix moyens non mis à jour → P&amp;L faux</t>
        </is>
      </c>
      <c r="J286" s="1665" t="n"/>
      <c r="K286" s="1665" t="n"/>
      <c r="L286" s="1665" t="n"/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8" customHeight="1" s="1666">
      <c r="B287" s="1837" t="inlineStr">
        <is>
          <t>🧾 Reçu confirmation trade (optionnel)</t>
        </is>
      </c>
      <c r="J287" s="1665" t="n"/>
      <c r="K287" s="1665" t="n"/>
      <c r="L287" s="1665" t="n"/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8" customHeight="1" s="1666">
      <c r="B288" s="1835" t="inlineStr">
        <is>
          <t>📄 Avis de cotisation ARC (1x/an)</t>
        </is>
      </c>
      <c r="C288" s="1829" t="inlineStr">
        <is>
          <t>Mon dossier ARC → Revenu → Droits de cotisation REER/FHSA</t>
        </is>
      </c>
      <c r="D288" s="1836" t="inlineStr">
        <is>
          <t>1 fois/an — janvier/février après déclaration</t>
        </is>
      </c>
      <c r="E288" s="1831" t="inlineStr">
        <is>
          <t>PDF officiel ARC</t>
        </is>
      </c>
      <c r="F288" s="1832" t="inlineStr">
        <is>
          <t>Room REER/FHSA basée sur estimation · risque dépassement</t>
        </is>
      </c>
      <c r="J288" s="1665" t="n"/>
      <c r="K288" s="1665" t="n"/>
      <c r="L288" s="1665" t="n"/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8" customHeight="1" s="1666">
      <c r="J289" s="1665" t="n"/>
      <c r="K289" s="1665" t="n"/>
      <c r="L289" s="1665" t="n"/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8" customHeight="1" s="1666">
      <c r="J290" s="1665" t="n"/>
      <c r="K290" s="1665" t="n"/>
      <c r="L290" s="1665" t="n"/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8" customHeight="1" s="1666">
      <c r="A291" s="1838" t="inlineStr">
        <is>
          <t>📋  GUIDE LECTURE DUMP QUESTRADE  ·  Les 3 chiffres clés à trouver en &lt; 2 minutes</t>
        </is>
      </c>
      <c r="J291" s="1665" t="n"/>
      <c r="K291" s="1665" t="n"/>
      <c r="L291" s="1665" t="n"/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8" customHeight="1" s="1666">
      <c r="A292" s="1813" t="inlineStr">
        <is>
          <t>CE QU'ON CHERCHE</t>
        </is>
      </c>
      <c r="B292" s="1813" t="inlineStr">
        <is>
          <t>OÙ LE TROUVER DANS QUESTRADE</t>
        </is>
      </c>
      <c r="C292" s="1813" t="inlineStr">
        <is>
          <t>COPIER DANS</t>
        </is>
      </c>
      <c r="D292" s="1813" t="inlineStr">
        <is>
          <t>EXEMPLE</t>
        </is>
      </c>
      <c r="J292" s="1665" t="n"/>
      <c r="K292" s="1665" t="n"/>
      <c r="L292" s="1665" t="n"/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8" customHeight="1" s="1666">
      <c r="A293" s="1839" t="inlineStr">
        <is>
          <t>💵 Valeur totale
par compte</t>
        </is>
      </c>
      <c r="B293" s="1840" t="inlineStr">
        <is>
          <t>Portfolio → chaque compte → "Market Value" (en haut à droite)</t>
        </is>
      </c>
      <c r="C293" s="1841" t="inlineStr">
        <is>
          <t>VALIDATION E57 (TFSA) E58 (FHSA) E59 (REER)</t>
        </is>
      </c>
      <c r="D293" s="1842" t="inlineStr">
        <is>
          <t>ex: TFSA $69,496.89</t>
        </is>
      </c>
      <c r="J293" s="1665" t="n"/>
      <c r="K293" s="1665" t="n"/>
      <c r="L293" s="1665" t="n"/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8" customHeight="1" s="1666">
      <c r="A294" s="1843" t="inlineStr">
        <is>
          <t>💰 Cash disponible
par compte</t>
        </is>
      </c>
      <c r="B294" s="1753" t="inlineStr">
        <is>
          <t>Portfolio → chaque compte → "Cash" ou ligne "CAD" sans ticker</t>
        </is>
      </c>
      <c r="C294" s="1841" t="inlineStr">
        <is>
          <t>CONFIG B37 (TFSA) B38 (FHSA) B39 (REER)</t>
        </is>
      </c>
      <c r="D294" s="1844" t="inlineStr">
        <is>
          <t>ex: TFSA $230.66</t>
        </is>
      </c>
      <c r="J294" s="1665" t="n"/>
      <c r="K294" s="1665" t="n"/>
      <c r="L294" s="1665" t="n"/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8" customHeight="1" s="1666">
      <c r="A295" s="1839" t="inlineStr">
        <is>
          <t>📊 Buying power USD
(si achat USD)</t>
        </is>
      </c>
      <c r="B295" s="1840" t="inlineStr">
        <is>
          <t>Portfolio → REER → "Buying Power" ou "USD Cash" → ne pas confondre avec CAD</t>
        </is>
      </c>
      <c r="C295" s="1841" t="inlineStr">
        <is>
          <t>Comparer vs CONFIG!B40 (formule auto) → si ≠, corriger B39</t>
        </is>
      </c>
      <c r="D295" s="1842" t="inlineStr">
        <is>
          <t>ex: USD $1.20 → ~$1.63 CAD</t>
        </is>
      </c>
      <c r="J295" s="1665" t="n"/>
      <c r="K295" s="1665" t="n"/>
      <c r="L295" s="1665" t="n"/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8" customHeight="1" s="1666">
      <c r="A296" s="1843" t="inlineStr">
        <is>
          <t>🔄 Trades récents</t>
        </is>
      </c>
      <c r="B296" s="1753" t="inlineStr">
        <is>
          <t>Activity → Transactions → Filtrer par date depuis dernière session</t>
        </is>
      </c>
      <c r="C296" s="1841" t="inlineStr">
        <is>
          <t>Dire à Claude: "J'ai fait X le [date] à [prix]" → HISTORIQUE auto</t>
        </is>
      </c>
      <c r="D296" s="1844" t="inlineStr">
        <is>
          <t>ex: SCHD ×10u @$26.14 USD</t>
        </is>
      </c>
      <c r="J296" s="1665" t="n"/>
      <c r="K296" s="1665" t="n"/>
      <c r="L296" s="1665" t="n"/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8" customHeight="1" s="1666">
      <c r="A297" s="1839" t="inlineStr">
        <is>
          <t>📅 Dividendes reçus</t>
        </is>
      </c>
      <c r="B297" s="1840" t="inlineStr">
        <is>
          <t>Activity → Transactions → Type: Dividends → depuis dernière session</t>
        </is>
      </c>
      <c r="C297" s="1841" t="inlineStr">
        <is>
          <t>CONFIG L86-L98 → cocher ✅ quand reçu + montant réel</t>
        </is>
      </c>
      <c r="D297" s="1842" t="inlineStr">
        <is>
          <t>ex: ENB $16.20 reçu 15 mars</t>
        </is>
      </c>
      <c r="J297" s="1665" t="n"/>
      <c r="K297" s="1665" t="n"/>
      <c r="L297" s="1665" t="n"/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8" customHeight="1" s="1666">
      <c r="A298" s="1843" t="inlineStr">
        <is>
          <t>📋 Confirmation trade</t>
        </is>
      </c>
      <c r="B298" s="1753" t="inlineStr">
        <is>
          <t>Activity → Order History → statut Filled vs Cancelled</t>
        </is>
      </c>
      <c r="C298" s="1841" t="inlineStr">
        <is>
          <t>Confirmer à Claude que l'ordre est FILLED avant de noter dans HISTORIQUE</t>
        </is>
      </c>
      <c r="D298" s="1844" t="inlineStr">
        <is>
          <t>ex: SCHD FILLED 12 mars 9h31</t>
        </is>
      </c>
      <c r="J298" s="1665" t="n"/>
      <c r="K298" s="1665" t="n"/>
      <c r="L298" s="1665" t="n"/>
      <c r="M298" s="1665" t="n"/>
      <c r="N298" s="1665" t="n"/>
      <c r="O298" s="1665" t="n"/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8" customHeight="1" s="1666">
      <c r="A299" s="1845" t="inlineStr">
        <is>
          <t>⚡ ORDRE D'OPÉRATIONS: ① Valeur totale → VALIDATION ② Cash → CONFIG ③ Trades récents → HISTORIQUE ④ Dividendes → CONFIG ⑤ Taux USD/CAD → CONFIG!B3</t>
        </is>
      </c>
      <c r="J299" s="1665" t="n"/>
      <c r="K299" s="1665" t="n"/>
      <c r="L299" s="1665" t="n"/>
      <c r="M299" s="1665" t="n"/>
      <c r="N299" s="1665" t="n"/>
      <c r="O299" s="1665" t="n"/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8" customHeight="1" s="1666">
      <c r="J300" s="1665" t="n"/>
      <c r="K300" s="1665" t="n"/>
      <c r="L300" s="1665" t="n"/>
      <c r="M300" s="1665" t="n"/>
      <c r="N300" s="1665" t="n"/>
      <c r="O300" s="1665" t="n"/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8" customHeight="1" s="1666">
      <c r="A301" s="1846" t="inlineStr">
        <is>
          <t>🧠  RAISONNEMENTS SESSION 12 MARS 2026  ·  S15  ·  Apprentissage cumulatif</t>
        </is>
      </c>
      <c r="J301" s="1665" t="n"/>
      <c r="K301" s="1665" t="n"/>
      <c r="L301" s="1665" t="n"/>
      <c r="M301" s="1665" t="n"/>
      <c r="N301" s="1665" t="n"/>
      <c r="O301" s="1665" t="n"/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8" customHeight="1" s="1666">
      <c r="A302" s="1847" t="inlineStr">
        <is>
          <t>📊 SNAPSHOT 12 MARS 2026  ·  Post-trades confirmés</t>
        </is>
      </c>
      <c r="J302" s="1665" t="n"/>
      <c r="K302" s="1665" t="n"/>
      <c r="L302" s="1665" t="n"/>
      <c r="M302" s="1665" t="n"/>
      <c r="N302" s="1665" t="n"/>
      <c r="O302" s="1665" t="n"/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8" customHeight="1" s="1666">
      <c r="A303" s="1848" t="inlineStr">
        <is>
          <t>TFSA</t>
        </is>
      </c>
      <c r="B303" s="1665" t="inlineStr">
        <is>
          <t>$69,199.98 CAD</t>
        </is>
      </c>
      <c r="C303" s="1665" t="inlineStr">
        <is>
          <t>P&amp;L +34.37% · dépôts $51,500</t>
        </is>
      </c>
      <c r="J303" s="1665" t="n"/>
      <c r="K303" s="1665" t="n"/>
      <c r="L303" s="1665" t="n"/>
      <c r="M303" s="1665" t="n"/>
      <c r="N303" s="1665" t="n"/>
      <c r="O303" s="1665" t="n"/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8" customHeight="1" s="1666">
      <c r="A304" s="1848" t="inlineStr">
        <is>
          <t>FHSA</t>
        </is>
      </c>
      <c r="B304" s="1665" t="inlineStr">
        <is>
          <t>$14,898.25 CAD</t>
        </is>
      </c>
      <c r="C304" s="1665" t="inlineStr">
        <is>
          <t>P&amp;L +24.15% · dépôts $12,000</t>
        </is>
      </c>
      <c r="J304" s="1665" t="n"/>
      <c r="K304" s="1665" t="n"/>
      <c r="L304" s="1665" t="n"/>
      <c r="M304" s="1665" t="n"/>
      <c r="N304" s="1665" t="n"/>
      <c r="O304" s="1665" t="n"/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A305" s="1848" t="inlineStr">
        <is>
          <t>REER</t>
        </is>
      </c>
      <c r="B305" s="1665" t="inlineStr">
        <is>
          <t>$2,771.20 CAD</t>
        </is>
      </c>
      <c r="C305" s="1665" t="inlineStr">
        <is>
          <t>SCHD 64.3053u + JEPI 1u · P&amp;L +35.18%</t>
        </is>
      </c>
      <c r="J305" s="1665" t="n"/>
      <c r="K305" s="1665" t="n"/>
      <c r="L305" s="1665" t="n"/>
      <c r="M305" s="1665" t="n"/>
      <c r="N305" s="1665" t="n"/>
      <c r="O305" s="1665" t="n"/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A306" s="1848" t="inlineStr">
        <is>
          <t>TOTAL</t>
        </is>
      </c>
      <c r="B306" s="1824" t="inlineStr">
        <is>
          <t>~$86,869 CAD</t>
        </is>
      </c>
      <c r="C306" s="1665" t="inlineStr">
        <is>
          <t>ATH = $87,252 (10 mars) · drawdown -0.44%</t>
        </is>
      </c>
      <c r="J306" s="1665" t="n"/>
      <c r="K306" s="1665" t="n"/>
      <c r="L306" s="1665" t="n"/>
      <c r="M306" s="1665" t="n"/>
      <c r="N306" s="1665" t="n"/>
      <c r="O306" s="1665" t="n"/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J307" s="1665" t="n"/>
      <c r="K307" s="1665" t="n"/>
      <c r="L307" s="1665" t="n"/>
      <c r="M307" s="1665" t="n"/>
      <c r="N307" s="1665" t="n"/>
      <c r="O307" s="1665" t="n"/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A308" s="1847" t="inlineStr">
        <is>
          <t>⚡ DÉCISIONS &amp; RAISONNEMENTS  ·  Pourquoi pas juste quoi</t>
        </is>
      </c>
      <c r="J308" s="1665" t="n"/>
      <c r="K308" s="1665" t="n"/>
      <c r="L308" s="1665" t="n"/>
      <c r="M308" s="1665" t="n"/>
      <c r="N308" s="1665" t="n"/>
      <c r="O308" s="1665" t="n"/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A309" s="1848" t="inlineStr">
        <is>
          <t>TRADE</t>
        </is>
      </c>
      <c r="B309" s="1665" t="inlineStr">
        <is>
          <t>SCHD $2,000 REER exécuté ce matin ✅</t>
        </is>
      </c>
      <c r="J309" s="1665" t="n"/>
      <c r="K309" s="1665" t="n"/>
      <c r="L309" s="1665" t="n"/>
      <c r="M309" s="1665" t="n"/>
      <c r="N309" s="1665" t="n"/>
      <c r="O309" s="1665" t="n"/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A310" s="1848" t="inlineStr">
        <is>
          <t>→ Alt. rejeté</t>
        </is>
      </c>
      <c r="B310" s="1665" t="inlineStr">
        <is>
          <t>Attendre une dip sur SCHD</t>
        </is>
      </c>
      <c r="C310" s="1665" t="inlineStr">
        <is>
          <t>Conviction: snowball ARC &gt; timing marché</t>
        </is>
      </c>
      <c r="J310" s="1665" t="n"/>
      <c r="K310" s="1665" t="n"/>
      <c r="L310" s="1665" t="n"/>
      <c r="M310" s="1665" t="n"/>
      <c r="N310" s="1665" t="n"/>
      <c r="O310" s="1665" t="n"/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A311" s="1848" t="inlineStr">
        <is>
          <t>→ Conviction</t>
        </is>
      </c>
      <c r="B311" s="1665" t="inlineStr">
        <is>
          <t>+$1,060/mois ARC (52.98%) court-circuite tout timing</t>
        </is>
      </c>
      <c r="J311" s="1665" t="n"/>
      <c r="K311" s="1665" t="n"/>
      <c r="L311" s="1665" t="n"/>
      <c r="M311" s="1665" t="n"/>
      <c r="N311" s="1665" t="n"/>
      <c r="O311" s="1665" t="n"/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A312" s="1848" t="inlineStr">
        <is>
          <t>→ Biais évité</t>
        </is>
      </c>
      <c r="B312" s="1665" t="inlineStr">
        <is>
          <t>Envie de 'perfectly time' un achat récurrent</t>
        </is>
      </c>
      <c r="C312" s="1665" t="inlineStr">
        <is>
          <t>Les récurrents ne se timent pas — on exécute</t>
        </is>
      </c>
      <c r="J312" s="1665" t="n"/>
      <c r="K312" s="1665" t="n"/>
      <c r="L312" s="1665" t="n"/>
      <c r="M312" s="1665" t="n"/>
      <c r="N312" s="1665" t="n"/>
      <c r="O312" s="1665" t="n"/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8" customHeight="1" s="1666">
      <c r="A313" s="1848" t="inlineStr">
        <is>
          <t>→ Leçon</t>
        </is>
      </c>
      <c r="B313" s="1665" t="inlineStr">
        <is>
          <t>Achat récurrent planifié = trade obligatoire · pas discrétionnaire</t>
        </is>
      </c>
      <c r="J313" s="1665" t="n"/>
      <c r="K313" s="1665" t="n"/>
      <c r="L313" s="1665" t="n"/>
      <c r="M313" s="1665" t="n"/>
      <c r="N313" s="1665" t="n"/>
      <c r="O313" s="1665" t="n"/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8" customHeight="1" s="1666">
      <c r="J314" s="1665" t="n"/>
      <c r="K314" s="1665" t="n"/>
      <c r="L314" s="1665" t="n"/>
      <c r="M314" s="1665" t="n"/>
      <c r="N314" s="1665" t="n"/>
      <c r="O314" s="1665" t="n"/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8" customHeight="1" s="1666">
      <c r="A315" s="1848" t="inlineStr">
        <is>
          <t>MISE À JOUR</t>
        </is>
      </c>
      <c r="B315" s="1665" t="inlineStr">
        <is>
          <t>Portefeuille via copier-coller Questrade (pas CSV)</t>
        </is>
      </c>
      <c r="J315" s="1665" t="n"/>
      <c r="K315" s="1665" t="n"/>
      <c r="L315" s="1665" t="n"/>
      <c r="M315" s="1665" t="n"/>
      <c r="N315" s="1665" t="n"/>
      <c r="O315" s="1665" t="n"/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8" customHeight="1" s="1666">
      <c r="A316" s="1848" t="inlineStr">
        <is>
          <t>→ Friction</t>
        </is>
      </c>
      <c r="B316" s="1665" t="inlineStr">
        <is>
          <t>Pas de CSV export intuitif dans app Questrade</t>
        </is>
      </c>
      <c r="C316" s="1665" t="inlineStr">
        <is>
          <t>Solution explorée: API Questrade</t>
        </is>
      </c>
      <c r="J316" s="1665" t="n"/>
      <c r="K316" s="1665" t="n"/>
      <c r="L316" s="1665" t="n"/>
      <c r="M316" s="1665" t="n"/>
      <c r="N316" s="1665" t="n"/>
      <c r="O316" s="1665" t="n"/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8" customHeight="1" s="1666">
      <c r="A317" s="1848" t="inlineStr">
        <is>
          <t>→ Choix retenu</t>
        </is>
      </c>
      <c r="B317" s="1665" t="inlineStr">
        <is>
          <t>Copier-coller pour linstant · zéro setup</t>
        </is>
      </c>
      <c r="C317" s="1665" t="inlineStr">
        <is>
          <t>Revisiter si friction répétitive &gt;3 sessions</t>
        </is>
      </c>
      <c r="J317" s="1665" t="n"/>
      <c r="K317" s="1665" t="n"/>
      <c r="L317" s="1665" t="n"/>
      <c r="M317" s="1665" t="n"/>
      <c r="N317" s="1665" t="n"/>
      <c r="O317" s="1665" t="n"/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8" customHeight="1" s="1666">
      <c r="J318" s="1665" t="n"/>
      <c r="K318" s="1665" t="n"/>
      <c r="L318" s="1665" t="n"/>
      <c r="M318" s="1665" t="n"/>
      <c r="N318" s="1665" t="n"/>
      <c r="O318" s="1665" t="n"/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8" customHeight="1" s="1666">
      <c r="A319" s="1849" t="inlineStr">
        <is>
          <t>🔥 TENSIONS NON RÉSOLUES  ·  À adresser prochaine session</t>
        </is>
      </c>
      <c r="J319" s="1665" t="n"/>
      <c r="K319" s="1665" t="n"/>
      <c r="L319" s="1665" t="n"/>
      <c r="M319" s="1665" t="n"/>
      <c r="N319" s="1665" t="n"/>
      <c r="O319" s="1665" t="n"/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8" customHeight="1" s="1666">
      <c r="A320" s="1848" t="inlineStr">
        <is>
          <t>SURPLUS DORMANT</t>
        </is>
      </c>
      <c r="B320" s="1665" t="inlineStr">
        <is>
          <t>$2,950/mois non investi · dort compte chèques</t>
        </is>
      </c>
      <c r="C320" s="1665" t="inlineStr">
        <is>
          <t>⚠️ Coût opportunité réel</t>
        </is>
      </c>
      <c r="J320" s="1665" t="n"/>
      <c r="K320" s="1665" t="n"/>
      <c r="L320" s="1665" t="n"/>
      <c r="M320" s="1665" t="n"/>
      <c r="N320" s="1665" t="n"/>
      <c r="O320" s="1665" t="n"/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8" customHeight="1" s="1666">
      <c r="A321" s="1848" t="inlineStr">
        <is>
          <t>→ Blocage</t>
        </is>
      </c>
      <c r="B321" s="1665" t="inlineStr">
        <is>
          <t>EQ Bank pas encore ouvert · indécision montant</t>
        </is>
      </c>
      <c r="C321" s="1665" t="inlineStr">
        <is>
          <t>Cible: $15-20K</t>
        </is>
      </c>
      <c r="J321" s="1665" t="n"/>
      <c r="K321" s="1665" t="n"/>
      <c r="L321" s="1665" t="n"/>
      <c r="M321" s="1665" t="n"/>
      <c r="N321" s="1665" t="n"/>
      <c r="O321" s="1665" t="n"/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8" customHeight="1" s="1666">
      <c r="A322" s="1848" t="inlineStr">
        <is>
          <t>→ Question clé</t>
        </is>
      </c>
      <c r="B322" s="1665" t="inlineStr">
        <is>
          <t>Quel est le vrai seuil de confort cash urgence?</t>
        </is>
      </c>
      <c r="C322" s="1665" t="inlineStr">
        <is>
          <t>$10K? $15K? $20K? — pas encore défini</t>
        </is>
      </c>
      <c r="J322" s="1665" t="n"/>
      <c r="K322" s="1665" t="n"/>
      <c r="L322" s="1665" t="n"/>
      <c r="M322" s="1665" t="n"/>
      <c r="N322" s="1665" t="n"/>
      <c r="O322" s="1665" t="n"/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8" customHeight="1" s="1666">
      <c r="A323" s="1848" t="inlineStr">
        <is>
          <t>→ Action</t>
        </is>
      </c>
      <c r="B323" s="1665" t="inlineStr">
        <is>
          <t>EQ Bank cette semaine 🔴</t>
        </is>
      </c>
      <c r="C323" s="1665" t="inlineStr">
        <is>
          <t>Priorité #1 session prochaine</t>
        </is>
      </c>
      <c r="J323" s="1665" t="n"/>
      <c r="K323" s="1665" t="n"/>
      <c r="L323" s="1665" t="n"/>
      <c r="M323" s="1665" t="n"/>
      <c r="N323" s="1665" t="n"/>
      <c r="O323" s="1665" t="n"/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8" customHeight="1" s="1666">
      <c r="J324" s="1665" t="n"/>
      <c r="K324" s="1665" t="n"/>
      <c r="L324" s="1665" t="n"/>
      <c r="M324" s="1665" t="n"/>
      <c r="N324" s="1665" t="n"/>
      <c r="O324" s="1665" t="n"/>
      <c r="P324" s="1665" t="n"/>
      <c r="Q324" s="1665" t="n"/>
      <c r="R324" s="1665" t="n"/>
      <c r="S324" s="1665" t="n"/>
      <c r="T324" s="1665" t="n"/>
      <c r="U324" s="1665" t="n"/>
      <c r="V324" s="1665" t="n"/>
      <c r="W324" s="1665" t="n"/>
      <c r="X324" s="1665" t="n"/>
      <c r="Y324" s="1665" t="n"/>
      <c r="Z324" s="1665" t="n"/>
    </row>
    <row r="325" ht="18" customHeight="1" s="1666">
      <c r="A325" s="1850" t="inlineStr">
        <is>
          <t>🧬 PATTERNS PSYCHOLOGIQUES OBSERVÉS  ·  Biais documentés</t>
        </is>
      </c>
      <c r="J325" s="1665" t="n"/>
      <c r="K325" s="1665" t="n"/>
      <c r="L325" s="1665" t="n"/>
      <c r="M325" s="1665" t="n"/>
      <c r="N325" s="1665" t="n"/>
      <c r="O325" s="1665" t="n"/>
      <c r="P325" s="1665" t="n"/>
      <c r="Q325" s="1665" t="n"/>
      <c r="R325" s="1665" t="n"/>
      <c r="S325" s="1665" t="n"/>
      <c r="T325" s="1665" t="n"/>
      <c r="U325" s="1665" t="n"/>
      <c r="V325" s="1665" t="n"/>
      <c r="W325" s="1665" t="n"/>
      <c r="X325" s="1665" t="n"/>
      <c r="Y325" s="1665" t="n"/>
      <c r="Z325" s="1665" t="n"/>
    </row>
    <row r="326" ht="18" customHeight="1" s="1666">
      <c r="A326" s="1848" t="inlineStr">
        <is>
          <t>BUY-THE-DIP</t>
        </is>
      </c>
      <c r="B326" s="1665" t="inlineStr">
        <is>
          <t>Fort (COVID prouvé) · achète agressivement en crash</t>
        </is>
      </c>
      <c r="C326" s="1665" t="inlineStr">
        <is>
          <t>Point fort confirmé</t>
        </is>
      </c>
      <c r="J326" s="1665" t="n"/>
      <c r="K326" s="1665" t="n"/>
      <c r="L326" s="1665" t="n"/>
      <c r="M326" s="1665" t="n"/>
      <c r="N326" s="1665" t="n"/>
      <c r="O326" s="1665" t="n"/>
      <c r="P326" s="1665" t="n"/>
      <c r="Q326" s="1665" t="n"/>
      <c r="R326" s="1665" t="n"/>
      <c r="S326" s="1665" t="n"/>
      <c r="T326" s="1665" t="n"/>
      <c r="U326" s="1665" t="n"/>
      <c r="V326" s="1665" t="n"/>
      <c r="W326" s="1665" t="n"/>
      <c r="X326" s="1665" t="n"/>
      <c r="Y326" s="1665" t="n"/>
      <c r="Z326" s="1665" t="n"/>
    </row>
    <row r="327" ht="18" customHeight="1" s="1666">
      <c r="A327" s="1848" t="inlineStr">
        <is>
          <t>CONTRIBUTIONS AUTO</t>
        </is>
      </c>
      <c r="B327" s="1665" t="inlineStr">
        <is>
          <t>Friction sur plans automatiques planifiés</t>
        </is>
      </c>
      <c r="C327" s="1665" t="inlineStr">
        <is>
          <t>Risque: le plan $3,500/mois dérive sans automatisation</t>
        </is>
      </c>
      <c r="J327" s="1665" t="n"/>
      <c r="K327" s="1665" t="n"/>
      <c r="L327" s="1665" t="n"/>
      <c r="M327" s="1665" t="n"/>
      <c r="N327" s="1665" t="n"/>
      <c r="O327" s="1665" t="n"/>
      <c r="P327" s="1665" t="n"/>
      <c r="Q327" s="1665" t="n"/>
      <c r="R327" s="1665" t="n"/>
      <c r="S327" s="1665" t="n"/>
      <c r="T327" s="1665" t="n"/>
      <c r="U327" s="1665" t="n"/>
      <c r="V327" s="1665" t="n"/>
      <c r="W327" s="1665" t="n"/>
      <c r="X327" s="1665" t="n"/>
      <c r="Y327" s="1665" t="n"/>
      <c r="Z327" s="1665" t="n"/>
    </row>
    <row r="328" ht="18" customHeight="1" s="1666">
      <c r="A328" s="1848" t="inlineStr">
        <is>
          <t>→ Implication</t>
        </is>
      </c>
      <c r="B328" s="1665" t="inlineStr">
        <is>
          <t>Traiter chaque contribution comme un trade obligatoire</t>
        </is>
      </c>
      <c r="C328" s="1665" t="inlineStr">
        <is>
          <t>Pas une décision à reprendre chaque mois</t>
        </is>
      </c>
      <c r="J328" s="1665" t="n"/>
      <c r="K328" s="1665" t="n"/>
      <c r="L328" s="1665" t="n"/>
      <c r="M328" s="1665" t="n"/>
      <c r="N328" s="1665" t="n"/>
      <c r="O328" s="1665" t="n"/>
      <c r="P328" s="1665" t="n"/>
      <c r="Q328" s="1665" t="n"/>
      <c r="R328" s="1665" t="n"/>
      <c r="S328" s="1665" t="n"/>
      <c r="T328" s="1665" t="n"/>
      <c r="U328" s="1665" t="n"/>
      <c r="V328" s="1665" t="n"/>
      <c r="W328" s="1665" t="n"/>
      <c r="X328" s="1665" t="n"/>
      <c r="Y328" s="1665" t="n"/>
      <c r="Z328" s="1665" t="n"/>
    </row>
    <row r="329" ht="18" customHeight="1" s="1666">
      <c r="A329" s="1848" t="inlineStr">
        <is>
          <t>TIMING ADDICTION</t>
        </is>
      </c>
      <c r="B329" s="1665" t="inlineStr">
        <is>
          <t>Tendance à vouloir timer même les achats récurrents</t>
        </is>
      </c>
      <c r="C329" s="1665" t="inlineStr">
        <is>
          <t>Antidote: règle explicite no-timing sur DCA</t>
        </is>
      </c>
      <c r="J329" s="1665" t="n"/>
      <c r="K329" s="1665" t="n"/>
      <c r="L329" s="1665" t="n"/>
      <c r="M329" s="1665" t="n"/>
      <c r="N329" s="1665" t="n"/>
      <c r="O329" s="1665" t="n"/>
      <c r="P329" s="1665" t="n"/>
      <c r="Q329" s="1665" t="n"/>
      <c r="R329" s="1665" t="n"/>
      <c r="S329" s="1665" t="n"/>
      <c r="T329" s="1665" t="n"/>
      <c r="U329" s="1665" t="n"/>
      <c r="V329" s="1665" t="n"/>
      <c r="W329" s="1665" t="n"/>
      <c r="X329" s="1665" t="n"/>
      <c r="Y329" s="1665" t="n"/>
      <c r="Z329" s="1665" t="n"/>
    </row>
    <row r="330" ht="18" customHeight="1" s="1666">
      <c r="J330" s="1665" t="n"/>
      <c r="K330" s="1665" t="n"/>
      <c r="L330" s="1665" t="n"/>
      <c r="M330" s="1665" t="n"/>
      <c r="N330" s="1665" t="n"/>
      <c r="O330" s="1665" t="n"/>
      <c r="P330" s="1665" t="n"/>
      <c r="Q330" s="1665" t="n"/>
      <c r="R330" s="1665" t="n"/>
      <c r="S330" s="1665" t="n"/>
      <c r="T330" s="1665" t="n"/>
      <c r="U330" s="1665" t="n"/>
      <c r="V330" s="1665" t="n"/>
      <c r="W330" s="1665" t="n"/>
      <c r="X330" s="1665" t="n"/>
      <c r="Y330" s="1665" t="n"/>
      <c r="Z330" s="1665" t="n"/>
    </row>
    <row r="331" ht="18" customHeight="1" s="1666">
      <c r="A331" s="1851" t="inlineStr">
        <is>
          <t>📈 APPRENTISSAGE META  ·  Sur notre collaboration</t>
        </is>
      </c>
      <c r="J331" s="1665" t="n"/>
      <c r="K331" s="1665" t="n"/>
      <c r="L331" s="1665" t="n"/>
      <c r="M331" s="1665" t="n"/>
      <c r="N331" s="1665" t="n"/>
      <c r="O331" s="1665" t="n"/>
      <c r="P331" s="1665" t="n"/>
      <c r="Q331" s="1665" t="n"/>
      <c r="R331" s="1665" t="n"/>
      <c r="S331" s="1665" t="n"/>
      <c r="T331" s="1665" t="n"/>
      <c r="U331" s="1665" t="n"/>
      <c r="V331" s="1665" t="n"/>
      <c r="W331" s="1665" t="n"/>
      <c r="X331" s="1665" t="n"/>
      <c r="Y331" s="1665" t="n"/>
      <c r="Z331" s="1665" t="n"/>
    </row>
    <row r="332" ht="18" customHeight="1" s="1666">
      <c r="A332" s="1852" t="inlineStr">
        <is>
          <t>NOUVEAU PROTOCOLE</t>
        </is>
      </c>
      <c r="B332" s="1665" t="inlineStr">
        <is>
          <t>Bloc RAISONNEMENT ajouté à chaque fin de session</t>
        </is>
      </c>
      <c r="C332" s="1665" t="inlineStr">
        <is>
          <t>Claude génère · Hey copie → apprentissage exponentiel</t>
        </is>
      </c>
      <c r="J332" s="1665" t="n"/>
      <c r="K332" s="1665" t="n"/>
      <c r="L332" s="1665" t="n"/>
      <c r="M332" s="1665" t="n"/>
      <c r="N332" s="1665" t="n"/>
      <c r="O332" s="1665" t="n"/>
      <c r="P332" s="1665" t="n"/>
      <c r="Q332" s="1665" t="n"/>
      <c r="R332" s="1665" t="n"/>
      <c r="S332" s="1665" t="n"/>
      <c r="T332" s="1665" t="n"/>
      <c r="U332" s="1665" t="n"/>
      <c r="V332" s="1665" t="n"/>
      <c r="W332" s="1665" t="n"/>
      <c r="X332" s="1665" t="n"/>
      <c r="Y332" s="1665" t="n"/>
      <c r="Z332" s="1665" t="n"/>
    </row>
    <row r="333" ht="18" customHeight="1" s="1666">
      <c r="A333" s="1848" t="inlineStr">
        <is>
          <t>→ Objectif</t>
        </is>
      </c>
      <c r="B333" s="1853" t="inlineStr">
        <is>
          <t>Dans 6-12 mois: Claude connaît ton process décisionnel</t>
        </is>
      </c>
      <c r="C333" s="1665" t="inlineStr">
        <is>
          <t>Pas juste les chiffres · le pourquoi derrière</t>
        </is>
      </c>
      <c r="J333" s="1665" t="n"/>
      <c r="K333" s="1665" t="n"/>
      <c r="L333" s="1665" t="n"/>
      <c r="M333" s="1665" t="n"/>
      <c r="N333" s="1665" t="n"/>
      <c r="O333" s="1665" t="n"/>
      <c r="P333" s="1665" t="n"/>
      <c r="Q333" s="1665" t="n"/>
      <c r="R333" s="1665" t="n"/>
      <c r="S333" s="1665" t="n"/>
      <c r="T333" s="1665" t="n"/>
      <c r="U333" s="1665" t="n"/>
      <c r="V333" s="1665" t="n"/>
      <c r="W333" s="1665" t="n"/>
      <c r="X333" s="1665" t="n"/>
      <c r="Y333" s="1665" t="n"/>
      <c r="Z333" s="1665" t="n"/>
    </row>
    <row r="334" ht="18" customHeight="1" s="1666">
      <c r="A334" s="1848" t="inlineStr">
        <is>
          <t>→ Format</t>
        </is>
      </c>
      <c r="B334" s="1854" t="inlineStr">
        <is>
          <t>Faits + Raisonnement + Tensions + Patterns + Actions</t>
        </is>
      </c>
      <c r="C334" s="1665" t="inlineStr">
        <is>
          <t>Standard établi ce soir · S15</t>
        </is>
      </c>
      <c r="J334" s="1665" t="n"/>
      <c r="K334" s="1665" t="n"/>
      <c r="L334" s="1665" t="n"/>
      <c r="M334" s="1665" t="n"/>
      <c r="N334" s="1665" t="n"/>
      <c r="O334" s="1665" t="n"/>
      <c r="P334" s="1665" t="n"/>
      <c r="Q334" s="1665" t="n"/>
      <c r="R334" s="1665" t="n"/>
      <c r="S334" s="1665" t="n"/>
      <c r="T334" s="1665" t="n"/>
      <c r="U334" s="1665" t="n"/>
      <c r="V334" s="1665" t="n"/>
      <c r="W334" s="1665" t="n"/>
      <c r="X334" s="1665" t="n"/>
      <c r="Y334" s="1665" t="n"/>
      <c r="Z334" s="1665" t="n"/>
    </row>
    <row r="335" ht="18" customHeight="1" s="1666">
      <c r="A335" s="1848" t="inlineStr">
        <is>
          <t>OUBLI RÈGLE #11</t>
        </is>
      </c>
      <c r="B335" s="1853" t="inlineStr">
        <is>
          <t>Claude a oublié de MAJ le fichier sans être rappelé</t>
        </is>
      </c>
      <c r="C335" s="1665" t="inlineStr">
        <is>
          <t>Corriger: règle #11 = automatique · pas sur demande</t>
        </is>
      </c>
      <c r="J335" s="1665" t="n"/>
      <c r="K335" s="1665" t="n"/>
      <c r="L335" s="1665" t="n"/>
      <c r="M335" s="1665" t="n"/>
      <c r="N335" s="1665" t="n"/>
      <c r="O335" s="1665" t="n"/>
      <c r="P335" s="1665" t="n"/>
      <c r="Q335" s="1665" t="n"/>
      <c r="R335" s="1665" t="n"/>
      <c r="S335" s="1665" t="n"/>
      <c r="T335" s="1665" t="n"/>
      <c r="U335" s="1665" t="n"/>
      <c r="V335" s="1665" t="n"/>
      <c r="W335" s="1665" t="n"/>
      <c r="X335" s="1665" t="n"/>
      <c r="Y335" s="1665" t="n"/>
      <c r="Z335" s="1665" t="n"/>
    </row>
    <row r="336" ht="18" customHeight="1" s="1666">
      <c r="B336" s="1854" t="inlineStr">
        <is>
          <t>[ ] Ajouter décisions dans 📓 JOURNAL DÉCISIONS</t>
        </is>
      </c>
      <c r="J336" s="1665" t="n"/>
      <c r="K336" s="1665" t="n"/>
      <c r="L336" s="1665" t="n"/>
      <c r="M336" s="1665" t="n"/>
      <c r="N336" s="1665" t="n"/>
      <c r="O336" s="1665" t="n"/>
      <c r="P336" s="1665" t="n"/>
      <c r="Q336" s="1665" t="n"/>
      <c r="R336" s="1665" t="n"/>
      <c r="S336" s="1665" t="n"/>
      <c r="T336" s="1665" t="n"/>
      <c r="U336" s="1665" t="n"/>
      <c r="V336" s="1665" t="n"/>
      <c r="W336" s="1665" t="n"/>
      <c r="X336" s="1665" t="n"/>
      <c r="Y336" s="1665" t="n"/>
      <c r="Z336" s="1665" t="n"/>
    </row>
    <row r="337" ht="18" customHeight="1" s="1666">
      <c r="A337" s="1847" t="inlineStr">
        <is>
          <t>🎯 ACTIONS OUVERTES  ·  Verdicts requis · Dates cibles</t>
        </is>
      </c>
      <c r="B337" s="1853" t="inlineStr">
        <is>
          <t>[ ] Ajouter leçons apprises si nouvelle friction identifiée</t>
        </is>
      </c>
      <c r="J337" s="1665" t="n"/>
      <c r="K337" s="1665" t="n"/>
      <c r="L337" s="1665" t="n"/>
      <c r="M337" s="1665" t="n"/>
      <c r="N337" s="1665" t="n"/>
      <c r="O337" s="1665" t="n"/>
      <c r="P337" s="1665" t="n"/>
      <c r="Q337" s="1665" t="n"/>
      <c r="R337" s="1665" t="n"/>
      <c r="S337" s="1665" t="n"/>
      <c r="T337" s="1665" t="n"/>
      <c r="U337" s="1665" t="n"/>
      <c r="V337" s="1665" t="n"/>
      <c r="W337" s="1665" t="n"/>
      <c r="X337" s="1665" t="n"/>
      <c r="Y337" s="1665" t="n"/>
      <c r="Z337" s="1665" t="n"/>
    </row>
    <row r="338" ht="18" customHeight="1" s="1666">
      <c r="A338" s="1848" t="inlineStr">
        <is>
          <t>🔴 EQ Bank HISA</t>
        </is>
      </c>
      <c r="B338" s="1854" t="inlineStr">
        <is>
          <t>$15-20K · ouvrir cette semaine</t>
        </is>
      </c>
      <c r="C338" s="1665" t="inlineStr">
        <is>
          <t>eqbank.ca · ~20 min en ligne</t>
        </is>
      </c>
      <c r="J338" s="1665" t="n"/>
      <c r="K338" s="1665" t="n"/>
      <c r="L338" s="1665" t="n"/>
      <c r="M338" s="1665" t="n"/>
      <c r="N338" s="1665" t="n"/>
      <c r="O338" s="1665" t="n"/>
      <c r="P338" s="1665" t="n"/>
      <c r="Q338" s="1665" t="n"/>
      <c r="R338" s="1665" t="n"/>
      <c r="S338" s="1665" t="n"/>
      <c r="T338" s="1665" t="n"/>
      <c r="U338" s="1665" t="n"/>
      <c r="V338" s="1665" t="n"/>
      <c r="W338" s="1665" t="n"/>
      <c r="X338" s="1665" t="n"/>
      <c r="Y338" s="1665" t="n"/>
      <c r="Z338" s="1665" t="n"/>
    </row>
    <row r="339" ht="18" customHeight="1" s="1666">
      <c r="A339" s="1848" t="inlineStr">
        <is>
          <t>🟡 ZRE+XIC+VDU</t>
        </is>
      </c>
      <c r="B339" s="1853" t="inlineStr">
        <is>
          <t>Post-BdC 18 mars · ~$1,878 T4→T1</t>
        </is>
      </c>
      <c r="C339" s="1665" t="inlineStr">
        <is>
          <t>Attendre annonce BdC</t>
        </is>
      </c>
      <c r="J339" s="1665" t="n"/>
      <c r="K339" s="1665" t="n"/>
      <c r="L339" s="1665" t="n"/>
      <c r="M339" s="1665" t="n"/>
      <c r="N339" s="1665" t="n"/>
      <c r="O339" s="1665" t="n"/>
      <c r="P339" s="1665" t="n"/>
      <c r="Q339" s="1665" t="n"/>
      <c r="R339" s="1665" t="n"/>
      <c r="S339" s="1665" t="n"/>
      <c r="T339" s="1665" t="n"/>
      <c r="U339" s="1665" t="n"/>
      <c r="V339" s="1665" t="n"/>
      <c r="W339" s="1665" t="n"/>
      <c r="X339" s="1665" t="n"/>
      <c r="Y339" s="1665" t="n"/>
      <c r="Z339" s="1665" t="n"/>
    </row>
    <row r="340" ht="18" customHeight="1" s="1666">
      <c r="A340" s="1848" t="inlineStr">
        <is>
          <t>📅 Verdicts J+30</t>
        </is>
      </c>
      <c r="B340" s="1854" t="inlineStr">
        <is>
          <t>11 avril 2026 · alarme téléphone</t>
        </is>
      </c>
      <c r="C340" s="1665" t="inlineStr">
        <is>
          <t>Évaluer tous trades depuis 11 mars</t>
        </is>
      </c>
      <c r="J340" s="1665" t="n"/>
      <c r="K340" s="1665" t="n"/>
      <c r="L340" s="1665" t="n"/>
      <c r="M340" s="1665" t="n"/>
      <c r="N340" s="1665" t="n"/>
      <c r="O340" s="1665" t="n"/>
      <c r="P340" s="1665" t="n"/>
      <c r="Q340" s="1665" t="n"/>
      <c r="R340" s="1665" t="n"/>
      <c r="S340" s="1665" t="n"/>
      <c r="T340" s="1665" t="n"/>
      <c r="U340" s="1665" t="n"/>
      <c r="V340" s="1665" t="n"/>
      <c r="W340" s="1665" t="n"/>
      <c r="X340" s="1665" t="n"/>
      <c r="Y340" s="1665" t="n"/>
      <c r="Z340" s="1665" t="n"/>
    </row>
    <row r="341" ht="18" customHeight="1" s="1666">
      <c r="A341" s="1855" t="inlineStr">
        <is>
          <t>🔄 Contributions</t>
        </is>
      </c>
      <c r="B341" s="1856" t="inlineStr">
        <is>
          <t>Automatiser $3,500/mois · mécanisme à définir</t>
        </is>
      </c>
      <c r="C341" s="1857" t="inlineStr">
        <is>
          <t>REER $2K · FHSA $1K · TFSA $500</t>
        </is>
      </c>
      <c r="J341" s="1665" t="n"/>
      <c r="K341" s="1665" t="n"/>
      <c r="L341" s="1665" t="n"/>
      <c r="M341" s="1665" t="n"/>
      <c r="N341" s="1665" t="n"/>
      <c r="O341" s="1665" t="n"/>
      <c r="P341" s="1665" t="n"/>
      <c r="Q341" s="1665" t="n"/>
      <c r="R341" s="1665" t="n"/>
      <c r="S341" s="1665" t="n"/>
      <c r="T341" s="1665" t="n"/>
      <c r="U341" s="1665" t="n"/>
      <c r="V341" s="1665" t="n"/>
      <c r="W341" s="1665" t="n"/>
      <c r="X341" s="1665" t="n"/>
      <c r="Y341" s="1665" t="n"/>
      <c r="Z341" s="1665" t="n"/>
    </row>
    <row r="342" ht="18" customHeight="1" s="1666">
      <c r="A342" s="1858" t="inlineStr">
        <is>
          <t>R15</t>
        </is>
      </c>
      <c r="B342" s="1856" t="inlineStr">
        <is>
          <t>Signaler tout changement de vie/profil dès le début de session</t>
        </is>
      </c>
      <c r="C342" s="1857" t="inlineStr">
        <is>
          <t>Aspect #15 — stratégie calibrée sur le profil · si profil change → tout recalibrer</t>
        </is>
      </c>
      <c r="J342" s="1665" t="n"/>
      <c r="K342" s="1665" t="n"/>
      <c r="L342" s="1665" t="n"/>
      <c r="M342" s="1665" t="n"/>
      <c r="N342" s="1665" t="n"/>
      <c r="O342" s="1665" t="n"/>
      <c r="P342" s="1665" t="n"/>
      <c r="Q342" s="1665" t="n"/>
      <c r="R342" s="1665" t="n"/>
      <c r="S342" s="1665" t="n"/>
      <c r="T342" s="1665" t="n"/>
      <c r="U342" s="1665" t="n"/>
      <c r="V342" s="1665" t="n"/>
      <c r="W342" s="1665" t="n"/>
      <c r="X342" s="1665" t="n"/>
      <c r="Y342" s="1665" t="n"/>
      <c r="Z342" s="1665" t="n"/>
    </row>
    <row r="343" ht="18" customHeight="1" s="1666">
      <c r="A343" s="1858" t="inlineStr">
        <is>
          <t>R16</t>
        </is>
      </c>
      <c r="B343" s="1856" t="inlineStr">
        <is>
          <t>Remplir CONFIG Étendue avant de démarrer l'analyse</t>
        </is>
      </c>
      <c r="J343" s="1665" t="n"/>
      <c r="K343" s="1665" t="n"/>
      <c r="L343" s="1665" t="n"/>
      <c r="M343" s="1665" t="n"/>
      <c r="N343" s="1665" t="n"/>
      <c r="O343" s="1665" t="n"/>
      <c r="P343" s="1665" t="n"/>
      <c r="Q343" s="1665" t="n"/>
      <c r="R343" s="1665" t="n"/>
      <c r="S343" s="1665" t="n"/>
      <c r="T343" s="1665" t="n"/>
      <c r="U343" s="1665" t="n"/>
      <c r="V343" s="1665" t="n"/>
      <c r="W343" s="1665" t="n"/>
      <c r="X343" s="1665" t="n"/>
      <c r="Y343" s="1665" t="n"/>
      <c r="Z343" s="1665" t="n"/>
    </row>
    <row r="344" ht="18" customHeight="1" s="1666">
      <c r="A344" s="1838" t="inlineStr">
        <is>
          <t>R17</t>
        </is>
      </c>
      <c r="B344" s="1859" t="inlineStr">
        <is>
          <t>💱  USD/CAD LIVE AVANT ACHAT USD</t>
        </is>
      </c>
      <c r="C344" s="1860" t="inlineStr">
        <is>
          <t>Chercher taux USD/CAD réel avant tout achat USD · Ne jamais utiliser CONFIG!B3 si &gt; 24h · Erreur 2¢ = ~$400 distorsion portfolio (expo USD 44%)</t>
        </is>
      </c>
      <c r="D344" s="1861" t="inlineStr">
        <is>
          <t>Aspect #3 · Critique expo USD</t>
        </is>
      </c>
      <c r="J344" s="1665" t="n"/>
      <c r="K344" s="1665" t="n"/>
      <c r="L344" s="1665" t="n"/>
      <c r="M344" s="1665" t="n"/>
      <c r="N344" s="1665" t="n"/>
      <c r="O344" s="1665" t="n"/>
      <c r="P344" s="1665" t="n"/>
      <c r="Q344" s="1665" t="n"/>
      <c r="R344" s="1665" t="n"/>
      <c r="S344" s="1665" t="n"/>
      <c r="T344" s="1665" t="n"/>
      <c r="U344" s="1665" t="n"/>
      <c r="V344" s="1665" t="n"/>
      <c r="W344" s="1665" t="n"/>
      <c r="X344" s="1665" t="n"/>
      <c r="Y344" s="1665" t="n"/>
      <c r="Z344" s="1665" t="n"/>
    </row>
    <row r="345" ht="18" customHeight="1" s="1666">
      <c r="J345" s="1665" t="n"/>
      <c r="K345" s="1665" t="n"/>
      <c r="L345" s="1665" t="n"/>
      <c r="M345" s="1665" t="n"/>
      <c r="N345" s="1665" t="n"/>
      <c r="O345" s="1665" t="n"/>
      <c r="P345" s="1665" t="n"/>
      <c r="Q345" s="1665" t="n"/>
      <c r="R345" s="1665" t="n"/>
      <c r="S345" s="1665" t="n"/>
      <c r="T345" s="1665" t="n"/>
      <c r="U345" s="1665" t="n"/>
      <c r="V345" s="1665" t="n"/>
      <c r="W345" s="1665" t="n"/>
      <c r="X345" s="1665" t="n"/>
      <c r="Y345" s="1665" t="n"/>
      <c r="Z345" s="1665" t="n"/>
    </row>
    <row r="346" ht="18" customHeight="1" s="1666">
      <c r="J346" s="1665" t="n"/>
      <c r="K346" s="1665" t="n"/>
      <c r="L346" s="1665" t="n"/>
      <c r="M346" s="1665" t="n"/>
      <c r="N346" s="1665" t="n"/>
      <c r="O346" s="1665" t="n"/>
      <c r="P346" s="1665" t="n"/>
      <c r="Q346" s="1665" t="n"/>
      <c r="R346" s="1665" t="n"/>
      <c r="S346" s="1665" t="n"/>
      <c r="T346" s="1665" t="n"/>
      <c r="U346" s="1665" t="n"/>
      <c r="V346" s="1665" t="n"/>
      <c r="W346" s="1665" t="n"/>
      <c r="X346" s="1665" t="n"/>
      <c r="Y346" s="1665" t="n"/>
      <c r="Z346" s="1665" t="n"/>
    </row>
    <row r="347" ht="18" customHeight="1" s="1666">
      <c r="J347" s="1665" t="n"/>
      <c r="K347" s="1665" t="n"/>
      <c r="L347" s="1665" t="n"/>
      <c r="M347" s="1665" t="n"/>
      <c r="N347" s="1665" t="n"/>
      <c r="O347" s="1665" t="n"/>
      <c r="P347" s="1665" t="n"/>
      <c r="Q347" s="1665" t="n"/>
      <c r="R347" s="1665" t="n"/>
      <c r="S347" s="1665" t="n"/>
      <c r="T347" s="1665" t="n"/>
      <c r="U347" s="1665" t="n"/>
      <c r="V347" s="1665" t="n"/>
      <c r="W347" s="1665" t="n"/>
      <c r="X347" s="1665" t="n"/>
      <c r="Y347" s="1665" t="n"/>
      <c r="Z347" s="1665" t="n"/>
    </row>
    <row r="348" ht="18" customHeight="1" s="1666">
      <c r="B348" s="1766" t="inlineStr">
        <is>
          <t>─── Mise à jour CONFIG Étendue (aspects 7-15) ───</t>
        </is>
      </c>
      <c r="J348" s="1665" t="n"/>
      <c r="K348" s="1665" t="n"/>
      <c r="L348" s="1665" t="n"/>
      <c r="M348" s="1665" t="n"/>
      <c r="N348" s="1665" t="n"/>
      <c r="O348" s="1665" t="n"/>
      <c r="P348" s="1665" t="n"/>
      <c r="Q348" s="1665" t="n"/>
      <c r="R348" s="1665" t="n"/>
      <c r="S348" s="1665" t="n"/>
      <c r="T348" s="1665" t="n"/>
      <c r="U348" s="1665" t="n"/>
      <c r="V348" s="1665" t="n"/>
      <c r="W348" s="1665" t="n"/>
      <c r="X348" s="1665" t="n"/>
      <c r="Y348" s="1665" t="n"/>
      <c r="Z348" s="1665" t="n"/>
    </row>
    <row r="349" ht="18" customHeight="1" s="1666">
      <c r="B349" s="1862" t="inlineStr">
        <is>
          <t>[ ] MAJ CONFIG Étendue → macro du jour (aspect #7) · intention (aspect #8)</t>
        </is>
      </c>
      <c r="J349" s="1665" t="n"/>
      <c r="K349" s="1665" t="n"/>
      <c r="L349" s="1665" t="n"/>
      <c r="M349" s="1665" t="n"/>
      <c r="N349" s="1665" t="n"/>
      <c r="O349" s="1665" t="n"/>
      <c r="P349" s="1665" t="n"/>
      <c r="Q349" s="1665" t="n"/>
      <c r="R349" s="1665" t="n"/>
      <c r="S349" s="1665" t="n"/>
      <c r="T349" s="1665" t="n"/>
      <c r="U349" s="1665" t="n"/>
      <c r="V349" s="1665" t="n"/>
      <c r="W349" s="1665" t="n"/>
      <c r="X349" s="1665" t="n"/>
      <c r="Y349" s="1665" t="n"/>
      <c r="Z349" s="1665" t="n"/>
    </row>
    <row r="350" ht="18" customHeight="1" s="1666">
      <c r="B350" s="1862" t="inlineStr">
        <is>
          <t>[ ] MAJ CONFIG → calendrier 30j si changement (aspect #13)</t>
        </is>
      </c>
      <c r="J350" s="1665" t="n"/>
      <c r="K350" s="1665" t="n"/>
      <c r="L350" s="1665" t="n"/>
      <c r="M350" s="1665" t="n"/>
      <c r="N350" s="1665" t="n"/>
      <c r="O350" s="1665" t="n"/>
      <c r="P350" s="1665" t="n"/>
      <c r="Q350" s="1665" t="n"/>
      <c r="R350" s="1665" t="n"/>
      <c r="S350" s="1665" t="n"/>
      <c r="T350" s="1665" t="n"/>
      <c r="U350" s="1665" t="n"/>
      <c r="V350" s="1665" t="n"/>
      <c r="W350" s="1665" t="n"/>
      <c r="X350" s="1665" t="n"/>
      <c r="Y350" s="1665" t="n"/>
      <c r="Z350" s="1665" t="n"/>
    </row>
    <row r="351" ht="18" customHeight="1" s="1666">
      <c r="B351" s="1862" t="inlineStr">
        <is>
          <t>[ ] MAJ CONFIG → dividendes reçus ✅ (aspect #14)</t>
        </is>
      </c>
      <c r="J351" s="1665" t="n"/>
      <c r="K351" s="1665" t="n"/>
      <c r="L351" s="1665" t="n"/>
      <c r="M351" s="1665" t="n"/>
      <c r="N351" s="1665" t="n"/>
      <c r="O351" s="1665" t="n"/>
      <c r="P351" s="1665" t="n"/>
      <c r="Q351" s="1665" t="n"/>
      <c r="R351" s="1665" t="n"/>
      <c r="S351" s="1665" t="n"/>
      <c r="T351" s="1665" t="n"/>
      <c r="U351" s="1665" t="n"/>
      <c r="V351" s="1665" t="n"/>
      <c r="W351" s="1665" t="n"/>
      <c r="X351" s="1665" t="n"/>
      <c r="Y351" s="1665" t="n"/>
      <c r="Z351" s="1665" t="n"/>
    </row>
    <row r="352" ht="18" customHeight="1" s="1666">
      <c r="B352" s="1862" t="inlineStr">
        <is>
          <t>[ ] MAJ CONFIG → changements vie si applicable (aspect #15)</t>
        </is>
      </c>
      <c r="J352" s="1665" t="n"/>
      <c r="K352" s="1665" t="n"/>
      <c r="L352" s="1665" t="n"/>
      <c r="M352" s="1665" t="n"/>
      <c r="N352" s="1665" t="n"/>
      <c r="O352" s="1665" t="n"/>
      <c r="P352" s="1665" t="n"/>
      <c r="Q352" s="1665" t="n"/>
      <c r="R352" s="1665" t="n"/>
      <c r="S352" s="1665" t="n"/>
      <c r="T352" s="1665" t="n"/>
      <c r="U352" s="1665" t="n"/>
      <c r="V352" s="1665" t="n"/>
      <c r="W352" s="1665" t="n"/>
      <c r="X352" s="1665" t="n"/>
      <c r="Y352" s="1665" t="n"/>
      <c r="Z352" s="1665" t="n"/>
    </row>
    <row r="353" ht="18" customHeight="1" s="1666">
      <c r="B353" s="1862" t="inlineStr">
        <is>
          <t>[ ] MAJ BENCHMARK → valeur portfolio dans HISTORIQUE (aspect #11)</t>
        </is>
      </c>
      <c r="J353" s="1665" t="n"/>
      <c r="K353" s="1665" t="n"/>
      <c r="L353" s="1665" t="n"/>
      <c r="M353" s="1665" t="n"/>
      <c r="N353" s="1665" t="n"/>
      <c r="O353" s="1665" t="n"/>
      <c r="P353" s="1665" t="n"/>
      <c r="Q353" s="1665" t="n"/>
      <c r="R353" s="1665" t="n"/>
      <c r="S353" s="1665" t="n"/>
      <c r="T353" s="1665" t="n"/>
      <c r="U353" s="1665" t="n"/>
      <c r="V353" s="1665" t="n"/>
      <c r="W353" s="1665" t="n"/>
      <c r="X353" s="1665" t="n"/>
      <c r="Y353" s="1665" t="n"/>
      <c r="Z353" s="1665" t="n"/>
    </row>
    <row r="354" ht="18" customHeight="1" s="1666">
      <c r="B354" s="1862" t="inlineStr">
        <is>
          <t>[ ] MAJ CONFIG → drawdown/mode Claude (aspect #10)</t>
        </is>
      </c>
      <c r="J354" s="1665" t="n"/>
      <c r="K354" s="1665" t="n"/>
      <c r="L354" s="1665" t="n"/>
      <c r="M354" s="1665" t="n"/>
      <c r="N354" s="1665" t="n"/>
      <c r="O354" s="1665" t="n"/>
      <c r="P354" s="1665" t="n"/>
      <c r="Q354" s="1665" t="n"/>
      <c r="R354" s="1665" t="n"/>
      <c r="S354" s="1665" t="n"/>
      <c r="T354" s="1665" t="n"/>
      <c r="U354" s="1665" t="n"/>
      <c r="V354" s="1665" t="n"/>
      <c r="W354" s="1665" t="n"/>
      <c r="X354" s="1665" t="n"/>
      <c r="Y354" s="1665" t="n"/>
      <c r="Z354" s="1665" t="n"/>
    </row>
    <row r="355" ht="18" customHeight="1" s="1666">
      <c r="B355" s="1862" t="inlineStr">
        <is>
          <t>[ ] Remplir score session Section 12 (10 critères)</t>
        </is>
      </c>
      <c r="J355" s="1665" t="n"/>
      <c r="K355" s="1665" t="n"/>
      <c r="L355" s="1665" t="n"/>
      <c r="M355" s="1665" t="n"/>
      <c r="N355" s="1665" t="n"/>
      <c r="O355" s="1665" t="n"/>
      <c r="P355" s="1665" t="n"/>
      <c r="Q355" s="1665" t="n"/>
      <c r="R355" s="1665" t="n"/>
      <c r="S355" s="1665" t="n"/>
      <c r="T355" s="1665" t="n"/>
      <c r="U355" s="1665" t="n"/>
      <c r="V355" s="1665" t="n"/>
      <c r="W355" s="1665" t="n"/>
      <c r="X355" s="1665" t="n"/>
      <c r="Y355" s="1665" t="n"/>
      <c r="Z355" s="1665" t="n"/>
    </row>
    <row r="356" ht="18" customHeight="1" s="1666">
      <c r="B356" s="1862" t="inlineStr">
        <is>
          <t>[ ] Préparer message démarrage pour prochaine session (copier template Section 11)</t>
        </is>
      </c>
      <c r="J356" s="1665" t="n"/>
      <c r="K356" s="1665" t="n"/>
      <c r="L356" s="1665" t="n"/>
      <c r="M356" s="1665" t="n"/>
      <c r="N356" s="1665" t="n"/>
      <c r="O356" s="1665" t="n"/>
      <c r="P356" s="1665" t="n"/>
      <c r="Q356" s="1665" t="n"/>
      <c r="R356" s="1665" t="n"/>
      <c r="S356" s="1665" t="n"/>
      <c r="T356" s="1665" t="n"/>
      <c r="U356" s="1665" t="n"/>
      <c r="V356" s="1665" t="n"/>
      <c r="W356" s="1665" t="n"/>
      <c r="X356" s="1665" t="n"/>
      <c r="Y356" s="1665" t="n"/>
      <c r="Z356" s="1665" t="n"/>
    </row>
    <row r="357" ht="18" customHeight="1" s="1666">
      <c r="B357" s="1863" t="inlineStr">
        <is>
          <t>🚀 v36 S12 COMPLET  ·  17 règles  ·  15 aspects couverts  ·  17 règles  ·  14 sections  ·  4 onglets enrichis  ·  13 mars 2026 soir  ·  Upload: Wallet v36 + dump Questrade + 3 phrases contexte → Claude prêt en &lt;5 min</t>
        </is>
      </c>
      <c r="J357" s="1665" t="n"/>
      <c r="K357" s="1665" t="n"/>
      <c r="L357" s="1665" t="n"/>
      <c r="M357" s="1665" t="n"/>
      <c r="N357" s="1665" t="n"/>
      <c r="O357" s="1665" t="n"/>
      <c r="P357" s="1665" t="n"/>
      <c r="Q357" s="1665" t="n"/>
      <c r="R357" s="1665" t="n"/>
      <c r="S357" s="1665" t="n"/>
      <c r="T357" s="1665" t="n"/>
      <c r="U357" s="1665" t="n"/>
      <c r="V357" s="1665" t="n"/>
      <c r="W357" s="1665" t="n"/>
      <c r="X357" s="1665" t="n"/>
      <c r="Y357" s="1665" t="n"/>
      <c r="Z357" s="1665" t="n"/>
    </row>
    <row r="358" ht="18" customHeight="1" s="1666">
      <c r="J358" s="1665" t="n"/>
      <c r="K358" s="1665" t="n"/>
      <c r="L358" s="1665" t="n"/>
      <c r="M358" s="1665" t="n"/>
      <c r="N358" s="1665" t="n"/>
      <c r="O358" s="1665" t="n"/>
      <c r="P358" s="1665" t="n"/>
      <c r="Q358" s="1665" t="n"/>
      <c r="R358" s="1665" t="n"/>
      <c r="S358" s="1665" t="n"/>
      <c r="T358" s="1665" t="n"/>
      <c r="U358" s="1665" t="n"/>
      <c r="V358" s="1665" t="n"/>
      <c r="W358" s="1665" t="n"/>
      <c r="X358" s="1665" t="n"/>
      <c r="Y358" s="1665" t="n"/>
      <c r="Z358" s="1665" t="n"/>
    </row>
    <row r="359" ht="18" customHeight="1" s="1666">
      <c r="A359" s="1689" t="inlineStr">
        <is>
          <t>🔒  RÈGLE FONDAMENTALE — PHILOSOPHIE D'AMÉLIORATION DU FICHIER  ·  Permanente · Sans exception</t>
        </is>
      </c>
      <c r="J359" s="1665" t="n"/>
      <c r="K359" s="1665" t="n"/>
      <c r="L359" s="1665" t="n"/>
      <c r="M359" s="1665" t="n"/>
      <c r="N359" s="1665" t="n"/>
      <c r="O359" s="1665" t="n"/>
      <c r="P359" s="1665" t="n"/>
      <c r="Q359" s="1665" t="n"/>
      <c r="R359" s="1665" t="n"/>
      <c r="S359" s="1665" t="n"/>
      <c r="T359" s="1665" t="n"/>
      <c r="U359" s="1665" t="n"/>
      <c r="V359" s="1665" t="n"/>
      <c r="W359" s="1665" t="n"/>
      <c r="X359" s="1665" t="n"/>
      <c r="Y359" s="1665" t="n"/>
      <c r="Z359" s="1665" t="n"/>
    </row>
    <row r="360" ht="18" customHeight="1" s="1666">
      <c r="B360" s="1864" t="inlineStr">
        <is>
          <t>⚠️  PRINCIPE ABSOLU</t>
        </is>
      </c>
      <c r="C360" s="1865" t="inlineStr">
        <is>
          <t>Chaque modification de ce fichier doit être un AVANTAGE NET — jamais un changement pour changer. Le fichier est bien structuré. Améliorer ≠ restructurer. Ajouter ≠ déplacer. Corriger ≠ reconstruire.</t>
        </is>
      </c>
      <c r="J360" s="1665" t="n"/>
      <c r="K360" s="1665" t="n"/>
      <c r="L360" s="1665" t="n"/>
      <c r="M360" s="1665" t="n"/>
      <c r="N360" s="1665" t="n"/>
      <c r="O360" s="1665" t="n"/>
      <c r="P360" s="1665" t="n"/>
      <c r="Q360" s="1665" t="n"/>
      <c r="R360" s="1665" t="n"/>
      <c r="S360" s="1665" t="n"/>
      <c r="T360" s="1665" t="n"/>
      <c r="U360" s="1665" t="n"/>
      <c r="V360" s="1665" t="n"/>
      <c r="W360" s="1665" t="n"/>
      <c r="X360" s="1665" t="n"/>
      <c r="Y360" s="1665" t="n"/>
      <c r="Z360" s="1665" t="n"/>
    </row>
    <row r="361" ht="18" customHeight="1" s="1666">
      <c r="B361" s="1690" t="inlineStr">
        <is>
          <t>RÈGLE</t>
        </is>
      </c>
      <c r="C361" s="1825" t="n"/>
      <c r="D361" s="1825" t="inlineStr">
        <is>
          <t>DESCRIPTION</t>
        </is>
      </c>
      <c r="J361" s="1665" t="n"/>
      <c r="K361" s="1665" t="n"/>
      <c r="L361" s="1665" t="n"/>
      <c r="M361" s="1665" t="n"/>
      <c r="N361" s="1665" t="n"/>
      <c r="O361" s="1665" t="n"/>
      <c r="P361" s="1665" t="n"/>
      <c r="Q361" s="1665" t="n"/>
      <c r="R361" s="1665" t="n"/>
      <c r="S361" s="1665" t="n"/>
      <c r="T361" s="1665" t="n"/>
      <c r="U361" s="1665" t="n"/>
      <c r="V361" s="1665" t="n"/>
      <c r="W361" s="1665" t="n"/>
      <c r="X361" s="1665" t="n"/>
      <c r="Y361" s="1665" t="n"/>
      <c r="Z361" s="1665" t="n"/>
    </row>
    <row r="362" ht="18" customHeight="1" s="1666">
      <c r="B362" s="1732" t="inlineStr">
        <is>
          <t>🔒 Avantage net obligatoire</t>
        </is>
      </c>
      <c r="C362" s="1736" t="n"/>
      <c r="D362" s="1715" t="inlineStr">
        <is>
          <t>Avant tout changement : se demander "est-ce que ça améliore concrètement une session réelle ?" · Si non → ne pas toucher</t>
        </is>
      </c>
      <c r="J362" s="1665" t="n"/>
      <c r="K362" s="1665" t="n"/>
      <c r="L362" s="1665" t="n"/>
      <c r="M362" s="1665" t="n"/>
      <c r="N362" s="1665" t="n"/>
      <c r="O362" s="1665" t="n"/>
      <c r="P362" s="1665" t="n"/>
      <c r="Q362" s="1665" t="n"/>
      <c r="R362" s="1665" t="n"/>
      <c r="S362" s="1665" t="n"/>
      <c r="T362" s="1665" t="n"/>
      <c r="U362" s="1665" t="n"/>
      <c r="V362" s="1665" t="n"/>
      <c r="W362" s="1665" t="n"/>
      <c r="X362" s="1665" t="n"/>
      <c r="Y362" s="1665" t="n"/>
      <c r="Z362" s="1665" t="n"/>
    </row>
    <row r="363" ht="18" customHeight="1" s="1666">
      <c r="B363" s="1733" t="inlineStr">
        <is>
          <t>📐 Structure préservée</t>
        </is>
      </c>
      <c r="C363" s="1737" t="n"/>
      <c r="D363" s="1734" t="inlineStr">
        <is>
          <t>Les onglets existants sont bien construits · ne pas déplacer, renommer ou restructurer sans raison critique</t>
        </is>
      </c>
      <c r="J363" s="1665" t="n"/>
      <c r="K363" s="1665" t="n"/>
      <c r="L363" s="1665" t="n"/>
      <c r="M363" s="1665" t="n"/>
      <c r="N363" s="1665" t="n"/>
      <c r="O363" s="1665" t="n"/>
      <c r="P363" s="1665" t="n"/>
      <c r="Q363" s="1665" t="n"/>
      <c r="R363" s="1665" t="n"/>
      <c r="S363" s="1665" t="n"/>
      <c r="T363" s="1665" t="n"/>
      <c r="U363" s="1665" t="n"/>
      <c r="V363" s="1665" t="n"/>
      <c r="W363" s="1665" t="n"/>
      <c r="X363" s="1665" t="n"/>
      <c r="Y363" s="1665" t="n"/>
      <c r="Z363" s="1665" t="n"/>
    </row>
    <row r="364" ht="18" customHeight="1" s="1666">
      <c r="B364" s="1732" t="inlineStr">
        <is>
          <t>➕ Ajouter, pas remplacer</t>
        </is>
      </c>
      <c r="C364" s="1736" t="n"/>
      <c r="D364" s="1715" t="inlineStr">
        <is>
          <t>Nouvelles infos → ajouter à la fin de la section concernée · jamais écraser ce qui fonctionne déjà</t>
        </is>
      </c>
      <c r="J364" s="1665" t="n"/>
      <c r="K364" s="1665" t="n"/>
      <c r="L364" s="1665" t="n"/>
      <c r="M364" s="1665" t="n"/>
      <c r="N364" s="1665" t="n"/>
      <c r="O364" s="1665" t="n"/>
      <c r="P364" s="1665" t="n"/>
      <c r="Q364" s="1665" t="n"/>
      <c r="R364" s="1665" t="n"/>
      <c r="S364" s="1665" t="n"/>
      <c r="T364" s="1665" t="n"/>
      <c r="U364" s="1665" t="n"/>
      <c r="V364" s="1665" t="n"/>
      <c r="W364" s="1665" t="n"/>
      <c r="X364" s="1665" t="n"/>
      <c r="Y364" s="1665" t="n"/>
      <c r="Z364" s="1665" t="n"/>
    </row>
    <row r="365" ht="18" customHeight="1" s="1666">
      <c r="B365" s="1733" t="inlineStr">
        <is>
          <t>🧪 Test avant commit</t>
        </is>
      </c>
      <c r="C365" s="1737" t="n"/>
      <c r="D365" s="1734" t="inlineStr">
        <is>
          <t>Toute modification testée contre : "est-ce que ça aide la prochaine session concrètement ?" · Si doute → ne pas faire</t>
        </is>
      </c>
      <c r="J365" s="1665" t="n"/>
      <c r="K365" s="1665" t="n"/>
      <c r="L365" s="1665" t="n"/>
      <c r="M365" s="1665" t="n"/>
      <c r="N365" s="1665" t="n"/>
      <c r="O365" s="1665" t="n"/>
      <c r="P365" s="1665" t="n"/>
      <c r="Q365" s="1665" t="n"/>
      <c r="R365" s="1665" t="n"/>
      <c r="S365" s="1665" t="n"/>
      <c r="T365" s="1665" t="n"/>
      <c r="U365" s="1665" t="n"/>
      <c r="V365" s="1665" t="n"/>
      <c r="W365" s="1665" t="n"/>
      <c r="X365" s="1665" t="n"/>
      <c r="Y365" s="1665" t="n"/>
      <c r="Z365" s="1665" t="n"/>
    </row>
    <row r="366" ht="18" customHeight="1" s="1666">
      <c r="B366" s="1732" t="inlineStr">
        <is>
          <t>📏 Minimalisme</t>
        </is>
      </c>
      <c r="C366" s="1736" t="n"/>
      <c r="D366" s="1715" t="inlineStr">
        <is>
          <t>Un ajout ciblé vaut mieux que 10 lignes vagues · chaque ligne doit gagner sa place · la densité &gt; le volume</t>
        </is>
      </c>
      <c r="J366" s="1665" t="n"/>
      <c r="K366" s="1665" t="n"/>
      <c r="L366" s="1665" t="n"/>
      <c r="M366" s="1665" t="n"/>
      <c r="N366" s="1665" t="n"/>
      <c r="O366" s="1665" t="n"/>
      <c r="P366" s="1665" t="n"/>
      <c r="Q366" s="1665" t="n"/>
      <c r="R366" s="1665" t="n"/>
      <c r="S366" s="1665" t="n"/>
      <c r="T366" s="1665" t="n"/>
      <c r="U366" s="1665" t="n"/>
      <c r="V366" s="1665" t="n"/>
      <c r="W366" s="1665" t="n"/>
      <c r="X366" s="1665" t="n"/>
      <c r="Y366" s="1665" t="n"/>
      <c r="Z366" s="1665" t="n"/>
    </row>
    <row r="367" ht="18" customHeight="1" s="1666">
      <c r="B367" s="1733" t="inlineStr">
        <is>
          <t>🚫 Zéro changement cosmétique</t>
        </is>
      </c>
      <c r="C367" s="1737" t="n"/>
      <c r="D367" s="1734" t="inlineStr">
        <is>
          <t>Reformuler, réorganiser, renommer = interdit sauf si la clarté opérationnelle est mesurably meilleure</t>
        </is>
      </c>
      <c r="J367" s="1665" t="n"/>
      <c r="K367" s="1665" t="n"/>
      <c r="L367" s="1665" t="n"/>
      <c r="M367" s="1665" t="n"/>
      <c r="N367" s="1665" t="n"/>
      <c r="O367" s="1665" t="n"/>
      <c r="P367" s="1665" t="n"/>
      <c r="Q367" s="1665" t="n"/>
      <c r="R367" s="1665" t="n"/>
      <c r="S367" s="1665" t="n"/>
      <c r="T367" s="1665" t="n"/>
      <c r="U367" s="1665" t="n"/>
      <c r="V367" s="1665" t="n"/>
      <c r="W367" s="1665" t="n"/>
      <c r="X367" s="1665" t="n"/>
      <c r="Y367" s="1665" t="n"/>
      <c r="Z367" s="1665" t="n"/>
    </row>
    <row r="368" ht="18" customHeight="1" s="1666">
      <c r="B368" s="1743" t="inlineStr">
        <is>
          <t>✅ Référence de validation</t>
        </is>
      </c>
      <c r="C368" s="1866" t="n"/>
      <c r="D368" s="1826" t="inlineStr">
        <is>
          <t>Avant S9 ce fichier = 8.5/10 · tout changement doit viser 9/10 ou plus · si incertain → session suivante</t>
        </is>
      </c>
      <c r="J368" s="1665" t="n"/>
      <c r="K368" s="1665" t="n"/>
      <c r="L368" s="1665" t="n"/>
      <c r="M368" s="1665" t="n"/>
      <c r="N368" s="1665" t="n"/>
      <c r="O368" s="1665" t="n"/>
      <c r="P368" s="1665" t="n"/>
      <c r="Q368" s="1665" t="n"/>
      <c r="R368" s="1665" t="n"/>
      <c r="S368" s="1665" t="n"/>
      <c r="T368" s="1665" t="n"/>
      <c r="U368" s="1665" t="n"/>
      <c r="V368" s="1665" t="n"/>
      <c r="W368" s="1665" t="n"/>
      <c r="X368" s="1665" t="n"/>
      <c r="Y368" s="1665" t="n"/>
      <c r="Z368" s="1665" t="n"/>
    </row>
    <row r="369" ht="18" customHeight="1" s="1666">
      <c r="J369" s="1665" t="n"/>
      <c r="K369" s="1665" t="n"/>
      <c r="L369" s="1665" t="n"/>
      <c r="M369" s="1665" t="n"/>
      <c r="N369" s="1665" t="n"/>
      <c r="O369" s="1665" t="n"/>
      <c r="P369" s="1665" t="n"/>
      <c r="Q369" s="1665" t="n"/>
      <c r="R369" s="1665" t="n"/>
      <c r="S369" s="1665" t="n"/>
      <c r="T369" s="1665" t="n"/>
      <c r="U369" s="1665" t="n"/>
      <c r="V369" s="1665" t="n"/>
      <c r="W369" s="1665" t="n"/>
      <c r="X369" s="1665" t="n"/>
      <c r="Y369" s="1665" t="n"/>
      <c r="Z369" s="1665" t="n"/>
    </row>
    <row r="370" ht="18" customHeight="1" s="1666">
      <c r="B370" s="1867" t="inlineStr">
        <is>
          <t>→ Ce fichier s'améliore par accumulation de petites victoires, pas par refonte. Chaque session laisse une trace utile. C'est ça le vrai auto-learning.</t>
        </is>
      </c>
      <c r="J370" s="1665" t="n"/>
      <c r="K370" s="1665" t="n"/>
      <c r="L370" s="1665" t="n"/>
      <c r="M370" s="1665" t="n"/>
      <c r="N370" s="1665" t="n"/>
      <c r="O370" s="1665" t="n"/>
      <c r="P370" s="1665" t="n"/>
      <c r="Q370" s="1665" t="n"/>
      <c r="R370" s="1665" t="n"/>
      <c r="S370" s="1665" t="n"/>
      <c r="T370" s="1665" t="n"/>
      <c r="U370" s="1665" t="n"/>
      <c r="V370" s="1665" t="n"/>
      <c r="W370" s="1665" t="n"/>
      <c r="X370" s="1665" t="n"/>
      <c r="Y370" s="1665" t="n"/>
      <c r="Z370" s="1665" t="n"/>
    </row>
    <row r="371" ht="15.75" customHeight="1" s="1666">
      <c r="J371" s="1665" t="n"/>
      <c r="K371" s="1665" t="n"/>
      <c r="L371" s="1665" t="n"/>
      <c r="M371" s="1665" t="n"/>
      <c r="N371" s="1665" t="n"/>
      <c r="O371" s="1665" t="n"/>
      <c r="P371" s="1665" t="n"/>
      <c r="Q371" s="1665" t="n"/>
      <c r="R371" s="1665" t="n"/>
      <c r="S371" s="1665" t="n"/>
      <c r="T371" s="1665" t="n"/>
      <c r="U371" s="1665" t="n"/>
      <c r="V371" s="1665" t="n"/>
      <c r="W371" s="1665" t="n"/>
      <c r="X371" s="1665" t="n"/>
      <c r="Y371" s="1665" t="n"/>
      <c r="Z371" s="1665" t="n"/>
    </row>
    <row r="372" ht="19.5" customHeight="1" s="1666">
      <c r="A372" s="1868" t="inlineStr">
        <is>
          <t>📊 MÉTRIQUES CALCULÉES S15  ·  Source: Questrade 12 mars 2026</t>
        </is>
      </c>
      <c r="J372" s="1665" t="n"/>
      <c r="K372" s="1665" t="n"/>
      <c r="L372" s="1665" t="n"/>
      <c r="M372" s="1665" t="n"/>
      <c r="N372" s="1665" t="n"/>
      <c r="O372" s="1665" t="n"/>
      <c r="P372" s="1665" t="n"/>
      <c r="Q372" s="1665" t="n"/>
      <c r="R372" s="1665" t="n"/>
      <c r="S372" s="1665" t="n"/>
      <c r="T372" s="1665" t="n"/>
      <c r="U372" s="1665" t="n"/>
      <c r="V372" s="1665" t="n"/>
      <c r="W372" s="1665" t="n"/>
      <c r="X372" s="1665" t="n"/>
      <c r="Y372" s="1665" t="n"/>
      <c r="Z372" s="1665" t="n"/>
    </row>
    <row r="373" ht="13.5" customHeight="1" s="1666">
      <c r="A373" s="1869" t="inlineStr">
        <is>
          <t>TOTAL PORTFOLIO</t>
        </is>
      </c>
      <c r="B373" s="1870" t="inlineStr">
        <is>
          <t>$86,670 CAD calculé</t>
        </is>
      </c>
      <c r="C373" s="1871" t="inlineStr">
        <is>
          <t>vs $86,869 Questrade — écart $199 = cash non inclus dans positions</t>
        </is>
      </c>
      <c r="J373" s="1665" t="n"/>
      <c r="K373" s="1665" t="n"/>
      <c r="L373" s="1665" t="n"/>
      <c r="M373" s="1665" t="n"/>
      <c r="N373" s="1665" t="n"/>
      <c r="O373" s="1665" t="n"/>
      <c r="P373" s="1665" t="n"/>
      <c r="Q373" s="1665" t="n"/>
      <c r="R373" s="1665" t="n"/>
      <c r="S373" s="1665" t="n"/>
      <c r="T373" s="1665" t="n"/>
      <c r="U373" s="1665" t="n"/>
      <c r="V373" s="1665" t="n"/>
      <c r="W373" s="1665" t="n"/>
      <c r="X373" s="1665" t="n"/>
      <c r="Y373" s="1665" t="n"/>
      <c r="Z373" s="1665" t="n"/>
    </row>
    <row r="374" ht="13.5" customHeight="1" s="1666">
      <c r="A374" s="1869" t="inlineStr">
        <is>
          <t>GAIN TOTAL</t>
        </is>
      </c>
      <c r="B374" s="1870" t="inlineStr">
        <is>
          <t>+$14,788 / +20.6%</t>
        </is>
      </c>
      <c r="C374" s="1871" t="inlineStr">
        <is>
          <t>Sur coût moyen de $71,882 investi</t>
        </is>
      </c>
      <c r="J374" s="1665" t="n"/>
      <c r="K374" s="1665" t="n"/>
      <c r="L374" s="1665" t="n"/>
      <c r="M374" s="1665" t="n"/>
      <c r="N374" s="1665" t="n"/>
      <c r="O374" s="1665" t="n"/>
      <c r="P374" s="1665" t="n"/>
      <c r="Q374" s="1665" t="n"/>
      <c r="R374" s="1665" t="n"/>
      <c r="S374" s="1665" t="n"/>
      <c r="T374" s="1665" t="n"/>
      <c r="U374" s="1665" t="n"/>
      <c r="V374" s="1665" t="n"/>
      <c r="W374" s="1665" t="n"/>
      <c r="X374" s="1665" t="n"/>
      <c r="Y374" s="1665" t="n"/>
      <c r="Z374" s="1665" t="n"/>
    </row>
    <row r="375" ht="13.5" customHeight="1" s="1666">
      <c r="A375" s="1869" t="inlineStr">
        <is>
          <t>T1 (conviction)</t>
        </is>
      </c>
      <c r="B375" s="1870" t="inlineStr">
        <is>
          <t>$48,011 / 55.4%</t>
        </is>
      </c>
      <c r="C375" s="1871" t="inlineStr">
        <is>
          <t>✅ Cible &gt;50% atteinte</t>
        </is>
      </c>
      <c r="J375" s="1665" t="n"/>
      <c r="K375" s="1665" t="n"/>
      <c r="L375" s="1665" t="n"/>
      <c r="M375" s="1665" t="n"/>
      <c r="N375" s="1665" t="n"/>
      <c r="O375" s="1665" t="n"/>
      <c r="P375" s="1665" t="n"/>
      <c r="Q375" s="1665" t="n"/>
      <c r="R375" s="1665" t="n"/>
      <c r="S375" s="1665" t="n"/>
      <c r="T375" s="1665" t="n"/>
      <c r="U375" s="1665" t="n"/>
      <c r="V375" s="1665" t="n"/>
      <c r="W375" s="1665" t="n"/>
      <c r="X375" s="1665" t="n"/>
      <c r="Y375" s="1665" t="n"/>
      <c r="Z375" s="1665" t="n"/>
    </row>
    <row r="376" ht="13.5" customHeight="1" s="1666">
      <c r="A376" s="1869" t="inlineStr">
        <is>
          <t>T3 (garder)</t>
        </is>
      </c>
      <c r="B376" s="1870" t="inlineStr">
        <is>
          <t>$19,229 / 22.2%</t>
        </is>
      </c>
      <c r="C376" s="1871" t="inlineStr">
        <is>
          <t>⚠️ Légèrement élevé — surtout TD.TO $11,337</t>
        </is>
      </c>
      <c r="J376" s="1665" t="n"/>
      <c r="K376" s="1665" t="n"/>
      <c r="L376" s="1665" t="n"/>
      <c r="M376" s="1665" t="n"/>
      <c r="N376" s="1665" t="n"/>
      <c r="O376" s="1665" t="n"/>
      <c r="P376" s="1665" t="n"/>
      <c r="Q376" s="1665" t="n"/>
      <c r="R376" s="1665" t="n"/>
      <c r="S376" s="1665" t="n"/>
      <c r="T376" s="1665" t="n"/>
      <c r="U376" s="1665" t="n"/>
      <c r="V376" s="1665" t="n"/>
      <c r="W376" s="1665" t="n"/>
      <c r="X376" s="1665" t="n"/>
      <c r="Y376" s="1665" t="n"/>
      <c r="Z376" s="1665" t="n"/>
    </row>
    <row r="377" ht="13.5" customHeight="1" s="1666">
      <c r="A377" s="1869" t="inlineStr">
        <is>
          <t>EXPO USD</t>
        </is>
      </c>
      <c r="B377" s="1870" t="inlineStr">
        <is>
          <t>44.8%</t>
        </is>
      </c>
      <c r="C377" s="1871" t="inlineStr">
        <is>
          <t>✅ Sous 65% — marge $17,900 CAD</t>
        </is>
      </c>
      <c r="J377" s="1665" t="n"/>
      <c r="K377" s="1665" t="n"/>
      <c r="L377" s="1665" t="n"/>
      <c r="M377" s="1665" t="n"/>
      <c r="N377" s="1665" t="n"/>
      <c r="O377" s="1665" t="n"/>
      <c r="P377" s="1665" t="n"/>
      <c r="Q377" s="1665" t="n"/>
      <c r="R377" s="1665" t="n"/>
      <c r="S377" s="1665" t="n"/>
      <c r="T377" s="1665" t="n"/>
      <c r="U377" s="1665" t="n"/>
      <c r="V377" s="1665" t="n"/>
      <c r="W377" s="1665" t="n"/>
      <c r="X377" s="1665" t="n"/>
      <c r="Y377" s="1665" t="n"/>
      <c r="Z377" s="1665" t="n"/>
    </row>
    <row r="378" ht="13.5" customHeight="1" s="1666">
      <c r="A378" s="1869" t="inlineStr">
        <is>
          <t>DIVIDENDES /AN</t>
        </is>
      </c>
      <c r="B378" s="1870" t="inlineStr">
        <is>
          <t>~$1,926 CAD / $160/mois</t>
        </is>
      </c>
      <c r="C378" s="1871" t="inlineStr">
        <is>
          <t>T.TO, XEI, SRU.UN, ENB, TD = principaux contributeurs</t>
        </is>
      </c>
      <c r="J378" s="1665" t="n"/>
      <c r="K378" s="1665" t="n"/>
      <c r="L378" s="1665" t="n"/>
      <c r="M378" s="1665" t="n"/>
      <c r="N378" s="1665" t="n"/>
      <c r="O378" s="1665" t="n"/>
      <c r="P378" s="1665" t="n"/>
      <c r="Q378" s="1665" t="n"/>
      <c r="R378" s="1665" t="n"/>
      <c r="S378" s="1665" t="n"/>
      <c r="T378" s="1665" t="n"/>
      <c r="U378" s="1665" t="n"/>
      <c r="V378" s="1665" t="n"/>
      <c r="W378" s="1665" t="n"/>
      <c r="X378" s="1665" t="n"/>
      <c r="Y378" s="1665" t="n"/>
      <c r="Z378" s="1665" t="n"/>
    </row>
    <row r="379" ht="13.5" customHeight="1" s="1666">
      <c r="A379" s="1869" t="inlineStr">
        <is>
          <t>FI RÉALISTE 8%</t>
        </is>
      </c>
      <c r="B379" s="1870" t="inlineStr">
        <is>
          <t>Âge 51 (2043)</t>
        </is>
      </c>
      <c r="C379" s="1871" t="inlineStr">
        <is>
          <t>$2.1M atteint avec $3,500/mois + $86,670 actuel</t>
        </is>
      </c>
      <c r="J379" s="1665" t="n"/>
      <c r="K379" s="1665" t="n"/>
      <c r="L379" s="1665" t="n"/>
      <c r="M379" s="1665" t="n"/>
      <c r="N379" s="1665" t="n"/>
      <c r="O379" s="1665" t="n"/>
      <c r="P379" s="1665" t="n"/>
      <c r="Q379" s="1665" t="n"/>
      <c r="R379" s="1665" t="n"/>
      <c r="S379" s="1665" t="n"/>
      <c r="T379" s="1665" t="n"/>
      <c r="U379" s="1665" t="n"/>
      <c r="V379" s="1665" t="n"/>
      <c r="W379" s="1665" t="n"/>
      <c r="X379" s="1665" t="n"/>
      <c r="Y379" s="1665" t="n"/>
      <c r="Z379" s="1665" t="n"/>
    </row>
    <row r="380" ht="13.5" customHeight="1" s="1666">
      <c r="A380" s="1869" t="inlineStr">
        <is>
          <t>FI OPTIMISTE 10%</t>
        </is>
      </c>
      <c r="B380" s="1870" t="inlineStr">
        <is>
          <t>Âge 48 (2040)</t>
        </is>
      </c>
      <c r="C380" s="1871" t="inlineStr">
        <is>
          <t>Possible si contributions augmentent avec salaire</t>
        </is>
      </c>
      <c r="J380" s="1665" t="n"/>
      <c r="K380" s="1665" t="n"/>
      <c r="L380" s="1665" t="n"/>
      <c r="M380" s="1665" t="n"/>
      <c r="N380" s="1665" t="n"/>
      <c r="O380" s="1665" t="n"/>
      <c r="P380" s="1665" t="n"/>
      <c r="Q380" s="1665" t="n"/>
      <c r="R380" s="1665" t="n"/>
      <c r="S380" s="1665" t="n"/>
      <c r="T380" s="1665" t="n"/>
      <c r="U380" s="1665" t="n"/>
      <c r="V380" s="1665" t="n"/>
      <c r="W380" s="1665" t="n"/>
      <c r="X380" s="1665" t="n"/>
      <c r="Y380" s="1665" t="n"/>
      <c r="Z380" s="1665" t="n"/>
    </row>
    <row r="381" ht="15.75" customHeight="1" s="1666">
      <c r="J381" s="1665" t="n"/>
      <c r="K381" s="1665" t="n"/>
      <c r="L381" s="1665" t="n"/>
      <c r="M381" s="1665" t="n"/>
      <c r="N381" s="1665" t="n"/>
      <c r="O381" s="1665" t="n"/>
      <c r="P381" s="1665" t="n"/>
      <c r="Q381" s="1665" t="n"/>
      <c r="R381" s="1665" t="n"/>
      <c r="S381" s="1665" t="n"/>
      <c r="T381" s="1665" t="n"/>
      <c r="U381" s="1665" t="n"/>
      <c r="V381" s="1665" t="n"/>
      <c r="W381" s="1665" t="n"/>
      <c r="X381" s="1665" t="n"/>
      <c r="Y381" s="1665" t="n"/>
      <c r="Z381" s="1665" t="n"/>
    </row>
    <row r="382" ht="19.5" customHeight="1" s="1666">
      <c r="A382" s="1872" t="inlineStr">
        <is>
          <t>🔴 ACTIONS S16 — SANS EXCEPTION AVANT PROCHAINE SESSION</t>
        </is>
      </c>
      <c r="J382" s="1665" t="n"/>
      <c r="K382" s="1665" t="n"/>
      <c r="L382" s="1665" t="n"/>
      <c r="M382" s="1665" t="n"/>
      <c r="N382" s="1665" t="n"/>
      <c r="O382" s="1665" t="n"/>
      <c r="P382" s="1665" t="n"/>
      <c r="Q382" s="1665" t="n"/>
      <c r="R382" s="1665" t="n"/>
      <c r="S382" s="1665" t="n"/>
      <c r="T382" s="1665" t="n"/>
      <c r="U382" s="1665" t="n"/>
      <c r="V382" s="1665" t="n"/>
      <c r="W382" s="1665" t="n"/>
      <c r="X382" s="1665" t="n"/>
      <c r="Y382" s="1665" t="n"/>
      <c r="Z382" s="1665" t="n"/>
    </row>
    <row r="383" ht="13.5" customHeight="1" s="1666">
      <c r="A383" s="1869" t="inlineStr">
        <is>
          <t>🔴 PRIORITÉ #1</t>
        </is>
      </c>
      <c r="B383" s="1870" t="inlineStr">
        <is>
          <t>EQ Bank HISA $15-20K</t>
        </is>
      </c>
      <c r="C383" s="1871" t="inlineStr">
        <is>
          <t>eqbank.ca — 20 min — $600/an en intérêts + éliminer risque opérationnel</t>
        </is>
      </c>
      <c r="J383" s="1665" t="n"/>
      <c r="K383" s="1665" t="n"/>
      <c r="L383" s="1665" t="n"/>
      <c r="M383" s="1665" t="n"/>
      <c r="N383" s="1665" t="n"/>
      <c r="O383" s="1665" t="n"/>
      <c r="P383" s="1665" t="n"/>
      <c r="Q383" s="1665" t="n"/>
      <c r="R383" s="1665" t="n"/>
      <c r="S383" s="1665" t="n"/>
      <c r="T383" s="1665" t="n"/>
      <c r="U383" s="1665" t="n"/>
      <c r="V383" s="1665" t="n"/>
      <c r="W383" s="1665" t="n"/>
      <c r="X383" s="1665" t="n"/>
      <c r="Y383" s="1665" t="n"/>
      <c r="Z383" s="1665" t="n"/>
    </row>
    <row r="384" ht="13.5" customHeight="1" s="1666">
      <c r="A384" s="1869" t="inlineStr">
        <is>
          <t>🔴 PRIORITÉ #2</t>
        </is>
      </c>
      <c r="B384" s="1870" t="inlineStr">
        <is>
          <t>Automatiser $3,500/mois le 15</t>
        </is>
      </c>
      <c r="C384" s="1871" t="inlineStr">
        <is>
          <t>REER $2K + FHSA $1K + TFSA $500 — virement auto</t>
        </is>
      </c>
      <c r="J384" s="1665" t="n"/>
      <c r="K384" s="1665" t="n"/>
      <c r="L384" s="1665" t="n"/>
      <c r="M384" s="1665" t="n"/>
      <c r="N384" s="1665" t="n"/>
      <c r="O384" s="1665" t="n"/>
      <c r="P384" s="1665" t="n"/>
      <c r="Q384" s="1665" t="n"/>
      <c r="R384" s="1665" t="n"/>
      <c r="S384" s="1665" t="n"/>
      <c r="T384" s="1665" t="n"/>
      <c r="U384" s="1665" t="n"/>
      <c r="V384" s="1665" t="n"/>
      <c r="W384" s="1665" t="n"/>
      <c r="X384" s="1665" t="n"/>
      <c r="Y384" s="1665" t="n"/>
      <c r="Z384" s="1665" t="n"/>
    </row>
    <row r="385" ht="13.5" customHeight="1" s="1666">
      <c r="A385" s="1869" t="inlineStr">
        <is>
          <t>🟡 PRIORITÉ #3</t>
        </is>
      </c>
      <c r="B385" s="1870" t="inlineStr">
        <is>
          <t>FHSA $4,000 room → VFV.TO</t>
        </is>
      </c>
      <c r="C385" s="1871" t="inlineStr">
        <is>
          <t>Avant BdC 18 mars si possible — ~24 unités</t>
        </is>
      </c>
      <c r="J385" s="1665" t="n"/>
      <c r="K385" s="1665" t="n"/>
      <c r="L385" s="1665" t="n"/>
      <c r="M385" s="1665" t="n"/>
      <c r="N385" s="1665" t="n"/>
      <c r="O385" s="1665" t="n"/>
      <c r="P385" s="1665" t="n"/>
      <c r="Q385" s="1665" t="n"/>
      <c r="R385" s="1665" t="n"/>
      <c r="S385" s="1665" t="n"/>
      <c r="T385" s="1665" t="n"/>
      <c r="U385" s="1665" t="n"/>
      <c r="V385" s="1665" t="n"/>
      <c r="W385" s="1665" t="n"/>
      <c r="X385" s="1665" t="n"/>
      <c r="Y385" s="1665" t="n"/>
      <c r="Z385" s="1665" t="n"/>
    </row>
    <row r="386" ht="13.5" customHeight="1" s="1666">
      <c r="A386" s="1869" t="inlineStr">
        <is>
          <t>🟡 PRIORITÉ #4</t>
        </is>
      </c>
      <c r="B386" s="1870" t="inlineStr">
        <is>
          <t>ZRE+XIC+VDU → T1 post-BdC</t>
        </is>
      </c>
      <c r="C386" s="1871" t="inlineStr">
        <is>
          <t>Semaine 18 mars — $1,878 recycler T4→T1</t>
        </is>
      </c>
      <c r="J386" s="1665" t="n"/>
      <c r="K386" s="1665" t="n"/>
      <c r="L386" s="1665" t="n"/>
      <c r="M386" s="1665" t="n"/>
      <c r="N386" s="1665" t="n"/>
      <c r="O386" s="1665" t="n"/>
      <c r="P386" s="1665" t="n"/>
      <c r="Q386" s="1665" t="n"/>
      <c r="R386" s="1665" t="n"/>
      <c r="S386" s="1665" t="n"/>
      <c r="T386" s="1665" t="n"/>
      <c r="U386" s="1665" t="n"/>
      <c r="V386" s="1665" t="n"/>
      <c r="W386" s="1665" t="n"/>
      <c r="X386" s="1665" t="n"/>
      <c r="Y386" s="1665" t="n"/>
      <c r="Z386" s="1665" t="n"/>
    </row>
    <row r="387" ht="13.5" customHeight="1" s="1666">
      <c r="A387" s="1869" t="inlineStr">
        <is>
          <t>📅 VERDICT</t>
        </is>
      </c>
      <c r="B387" s="1870" t="inlineStr">
        <is>
          <t>11 avril 2026 — J+30</t>
        </is>
      </c>
      <c r="C387" s="1871" t="inlineStr">
        <is>
          <t>Toutes décisions depuis 11 mars — benchmark vs VFV.TO</t>
        </is>
      </c>
      <c r="J387" s="1665" t="n"/>
      <c r="K387" s="1665" t="n"/>
      <c r="L387" s="1665" t="n"/>
      <c r="M387" s="1665" t="n"/>
      <c r="N387" s="1665" t="n"/>
      <c r="O387" s="1665" t="n"/>
      <c r="P387" s="1665" t="n"/>
      <c r="Q387" s="1665" t="n"/>
      <c r="R387" s="1665" t="n"/>
      <c r="S387" s="1665" t="n"/>
      <c r="T387" s="1665" t="n"/>
      <c r="U387" s="1665" t="n"/>
      <c r="V387" s="1665" t="n"/>
      <c r="W387" s="1665" t="n"/>
      <c r="X387" s="1665" t="n"/>
      <c r="Y387" s="1665" t="n"/>
      <c r="Z387" s="1665" t="n"/>
    </row>
    <row r="388" ht="15.75" customHeight="1" s="1666">
      <c r="J388" s="1665" t="n"/>
      <c r="K388" s="1665" t="n"/>
      <c r="L388" s="1665" t="n"/>
      <c r="M388" s="1665" t="n"/>
      <c r="N388" s="1665" t="n"/>
      <c r="O388" s="1665" t="n"/>
      <c r="P388" s="1665" t="n"/>
      <c r="Q388" s="1665" t="n"/>
      <c r="R388" s="1665" t="n"/>
      <c r="S388" s="1665" t="n"/>
      <c r="T388" s="1665" t="n"/>
      <c r="U388" s="1665" t="n"/>
      <c r="V388" s="1665" t="n"/>
      <c r="W388" s="1665" t="n"/>
      <c r="X388" s="1665" t="n"/>
      <c r="Y388" s="1665" t="n"/>
      <c r="Z388" s="1665" t="n"/>
    </row>
    <row r="389" ht="15.75" customHeight="1" s="1666">
      <c r="J389" s="1665" t="n"/>
      <c r="K389" s="1665" t="n"/>
      <c r="L389" s="1665" t="n"/>
      <c r="M389" s="1665" t="n"/>
      <c r="N389" s="1665" t="n"/>
      <c r="O389" s="1665" t="n"/>
      <c r="P389" s="1665" t="n"/>
      <c r="Q389" s="1665" t="n"/>
      <c r="R389" s="1665" t="n"/>
      <c r="S389" s="1665" t="n"/>
      <c r="T389" s="1665" t="n"/>
      <c r="U389" s="1665" t="n"/>
      <c r="V389" s="1665" t="n"/>
      <c r="W389" s="1665" t="n"/>
      <c r="X389" s="1665" t="n"/>
      <c r="Y389" s="1665" t="n"/>
      <c r="Z389" s="1665" t="n"/>
    </row>
    <row r="390" ht="21.75" customHeight="1" s="1666">
      <c r="A390" s="1873" t="inlineStr">
        <is>
          <t>🧠  BLOC RAISONNEMENT S16  ·  13 mars 2026  ·  Session analyse financière + budget réel</t>
        </is>
      </c>
      <c r="J390" s="1665" t="n"/>
      <c r="K390" s="1665" t="n"/>
      <c r="L390" s="1665" t="n"/>
      <c r="M390" s="1665" t="n"/>
      <c r="N390" s="1665" t="n"/>
      <c r="O390" s="1665" t="n"/>
      <c r="P390" s="1665" t="n"/>
      <c r="Q390" s="1665" t="n"/>
      <c r="R390" s="1665" t="n"/>
      <c r="S390" s="1665" t="n"/>
      <c r="T390" s="1665" t="n"/>
      <c r="U390" s="1665" t="n"/>
      <c r="V390" s="1665" t="n"/>
      <c r="W390" s="1665" t="n"/>
      <c r="X390" s="1665" t="n"/>
      <c r="Y390" s="1665" t="n"/>
      <c r="Z390" s="1665" t="n"/>
    </row>
    <row r="391" ht="30" customHeight="1" s="1666">
      <c r="A391" s="1874" t="inlineStr">
        <is>
          <t>▸ BUDGET RÉEL CONFIRMÉ</t>
        </is>
      </c>
      <c r="B391" s="1875" t="inlineStr">
        <is>
          <t>Revenu net $7,950/mois ($3,000×26÷12 + $1,450 prime Nunavik) · Dépenses $1,182/mois · Disponible $6,768/mois · Plan structuré $5,000/mois · Surplus libre $1,768/mois intentionnel. Ancien chiffre $700/mois dépenses était faux — réalité = $1,182.</t>
        </is>
      </c>
      <c r="J391" s="1665" t="n"/>
      <c r="K391" s="1665" t="n"/>
      <c r="L391" s="1665" t="n"/>
      <c r="M391" s="1665" t="n"/>
      <c r="N391" s="1665" t="n"/>
      <c r="O391" s="1665" t="n"/>
      <c r="P391" s="1665" t="n"/>
      <c r="Q391" s="1665" t="n"/>
      <c r="R391" s="1665" t="n"/>
      <c r="S391" s="1665" t="n"/>
      <c r="T391" s="1665" t="n"/>
      <c r="U391" s="1665" t="n"/>
      <c r="V391" s="1665" t="n"/>
      <c r="W391" s="1665" t="n"/>
      <c r="X391" s="1665" t="n"/>
      <c r="Y391" s="1665" t="n"/>
      <c r="Z391" s="1665" t="n"/>
    </row>
    <row r="392" ht="30" customHeight="1" s="1666">
      <c r="A392" s="1874" t="inlineStr">
        <is>
          <t>▸ NOUVEAU PLAN $5,000/MOIS</t>
        </is>
      </c>
      <c r="B392" s="1875" t="inlineStr">
        <is>
          <t>REER $2,000 + FHSA $1,000 + TFSA $500 + EQ Bank $1,500. EQ Bank intégré dans le plan mensuel — $15,000 atteint en 10 mois sans toucher aux investissements existants. Taux épargne 63% du revenu net.</t>
        </is>
      </c>
      <c r="J392" s="1665" t="n"/>
      <c r="K392" s="1665" t="n"/>
      <c r="L392" s="1665" t="n"/>
      <c r="M392" s="1665" t="n"/>
      <c r="N392" s="1665" t="n"/>
      <c r="O392" s="1665" t="n"/>
      <c r="P392" s="1665" t="n"/>
      <c r="Q392" s="1665" t="n"/>
      <c r="R392" s="1665" t="n"/>
      <c r="S392" s="1665" t="n"/>
      <c r="T392" s="1665" t="n"/>
      <c r="U392" s="1665" t="n"/>
      <c r="V392" s="1665" t="n"/>
      <c r="W392" s="1665" t="n"/>
      <c r="X392" s="1665" t="n"/>
      <c r="Y392" s="1665" t="n"/>
      <c r="Z392" s="1665" t="n"/>
    </row>
    <row r="393" ht="30" customHeight="1" s="1666">
      <c r="A393" s="1874" t="inlineStr">
        <is>
          <t>▸ TIERS CONFIRMÉS FINAUX</t>
        </is>
      </c>
      <c r="B393" s="1875" t="inlineStr">
        <is>
          <t>H.TO → T3 (hold, pas accumuler) · XIC.TO → T4 (diluer naturellement). Tentative de changement repoussée — critères objectifs supportent les classifications originales. Règle: ne pas changer de tier sans argument fondamental, pas juste émotionnel.</t>
        </is>
      </c>
      <c r="J393" s="1665" t="n"/>
      <c r="K393" s="1665" t="n"/>
      <c r="L393" s="1665" t="n"/>
      <c r="M393" s="1665" t="n"/>
      <c r="N393" s="1665" t="n"/>
      <c r="O393" s="1665" t="n"/>
      <c r="P393" s="1665" t="n"/>
      <c r="Q393" s="1665" t="n"/>
      <c r="R393" s="1665" t="n"/>
      <c r="S393" s="1665" t="n"/>
      <c r="T393" s="1665" t="n"/>
      <c r="U393" s="1665" t="n"/>
      <c r="V393" s="1665" t="n"/>
      <c r="W393" s="1665" t="n"/>
      <c r="X393" s="1665" t="n"/>
      <c r="Y393" s="1665" t="n"/>
      <c r="Z393" s="1665" t="n"/>
    </row>
    <row r="394" ht="30" customHeight="1" s="1666">
      <c r="A394" s="1874" t="inlineStr">
        <is>
          <t>▸ PATTERN PSY IDENTIFIÉ S16</t>
        </is>
      </c>
      <c r="B394" s="1875" t="inlineStr">
        <is>
          <t>Hey questionne les classifications de tiers quand il les trouve conservatrices. Biais confirmé: veut upgrader des titres défensifs vers conviction plus haute. Antidote: grille scorecard /10 avec critères objectifs gravés — le score décide, pas l'humeur du moment.</t>
        </is>
      </c>
      <c r="J394" s="1665" t="n"/>
      <c r="K394" s="1665" t="n"/>
      <c r="L394" s="1665" t="n"/>
      <c r="M394" s="1665" t="n"/>
      <c r="N394" s="1665" t="n"/>
      <c r="O394" s="1665" t="n"/>
      <c r="P394" s="1665" t="n"/>
      <c r="Q394" s="1665" t="n"/>
      <c r="R394" s="1665" t="n"/>
      <c r="S394" s="1665" t="n"/>
      <c r="T394" s="1665" t="n"/>
      <c r="U394" s="1665" t="n"/>
      <c r="V394" s="1665" t="n"/>
      <c r="W394" s="1665" t="n"/>
      <c r="X394" s="1665" t="n"/>
      <c r="Y394" s="1665" t="n"/>
      <c r="Z394" s="1665" t="n"/>
    </row>
    <row r="395" ht="30" customHeight="1" s="1666">
      <c r="A395" s="1874" t="inlineStr">
        <is>
          <t>▸ PLAN ANALYSE BOURSIÈRE</t>
        </is>
      </c>
      <c r="B395" s="1875" t="inlineStr">
        <is>
          <t>Objectif S17+: analyser chaque titre du portfolio avec grille 8 critères (valorisation, momentum, dividende, fondamentaux, catalyseurs, risques, macro, fit portfolio). Scorecard /10 automatique. Onglet ANALYSE TITRES à créer. Verdicts J+30 pour mesurer fiabilité des analyses.</t>
        </is>
      </c>
      <c r="J395" s="1665" t="n"/>
      <c r="K395" s="1665" t="n"/>
      <c r="L395" s="1665" t="n"/>
      <c r="M395" s="1665" t="n"/>
      <c r="N395" s="1665" t="n"/>
      <c r="O395" s="1665" t="n"/>
      <c r="P395" s="1665" t="n"/>
      <c r="Q395" s="1665" t="n"/>
      <c r="R395" s="1665" t="n"/>
      <c r="S395" s="1665" t="n"/>
      <c r="T395" s="1665" t="n"/>
      <c r="U395" s="1665" t="n"/>
      <c r="V395" s="1665" t="n"/>
      <c r="W395" s="1665" t="n"/>
      <c r="X395" s="1665" t="n"/>
      <c r="Y395" s="1665" t="n"/>
      <c r="Z395" s="1665" t="n"/>
    </row>
    <row r="396" ht="30" customHeight="1" s="1666">
      <c r="A396" s="1874" t="inlineStr">
        <is>
          <t>▸ FIABILITÉ CONSEILS</t>
        </is>
      </c>
      <c r="B396" s="1875" t="inlineStr">
        <is>
          <t>Conseil fiscal/mathématique = très fiable (règles CRA vérifiables). Classification tiers = subjectif, système de Hey. Prédiction marché = impossible pour tout le monde. Amélioration: web search systématique + 8 critères + ne pas changer position sous pression émotionnelle.</t>
        </is>
      </c>
      <c r="J396" s="1665" t="n"/>
      <c r="K396" s="1665" t="n"/>
      <c r="L396" s="1665" t="n"/>
      <c r="M396" s="1665" t="n"/>
      <c r="N396" s="1665" t="n"/>
      <c r="O396" s="1665" t="n"/>
      <c r="P396" s="1665" t="n"/>
      <c r="Q396" s="1665" t="n"/>
      <c r="R396" s="1665" t="n"/>
      <c r="S396" s="1665" t="n"/>
      <c r="T396" s="1665" t="n"/>
      <c r="U396" s="1665" t="n"/>
      <c r="V396" s="1665" t="n"/>
      <c r="W396" s="1665" t="n"/>
      <c r="X396" s="1665" t="n"/>
      <c r="Y396" s="1665" t="n"/>
      <c r="Z396" s="1665" t="n"/>
    </row>
    <row r="397" ht="30" customHeight="1" s="1666">
      <c r="A397" s="1874" t="inlineStr">
        <is>
          <t>▸ ACTIONS OUVERTES S16→S17</t>
        </is>
      </c>
      <c r="B397" s="1875" t="inlineStr">
        <is>
          <t>🔴 EQ Bank ouvrir + $1,500 dès prochaine paie (cette semaine) · 🔴 Bénéficiaires TFSA/REER/FHSA sur Questrade (30 min) · 🟡 ZRE+XIC+VDU TFSA → T1 post-BdC 18 mars · 🟡 Régime retraite employeur — appeler · 📅 Verdicts J+30 = 11 avril 2026</t>
        </is>
      </c>
      <c r="J397" s="1665" t="n"/>
      <c r="K397" s="1665" t="n"/>
      <c r="L397" s="1665" t="n"/>
      <c r="M397" s="1665" t="n"/>
      <c r="N397" s="1665" t="n"/>
      <c r="O397" s="1665" t="n"/>
      <c r="P397" s="1665" t="n"/>
      <c r="Q397" s="1665" t="n"/>
      <c r="R397" s="1665" t="n"/>
      <c r="S397" s="1665" t="n"/>
      <c r="T397" s="1665" t="n"/>
      <c r="U397" s="1665" t="n"/>
      <c r="V397" s="1665" t="n"/>
      <c r="W397" s="1665" t="n"/>
      <c r="X397" s="1665" t="n"/>
      <c r="Y397" s="1665" t="n"/>
      <c r="Z397" s="1665" t="n"/>
    </row>
    <row r="398" ht="30" customHeight="1" s="1666">
      <c r="A398" s="1874" t="inlineStr">
        <is>
          <t>▸ PROCHAINE SESSION S17</t>
        </is>
      </c>
      <c r="B398" s="1875" t="inlineStr">
        <is>
          <t>Commencer par: 1) Confirmer EQ Bank ouvert 2) Analyser 3-5 titres avec nouvelle grille scorecard /10 3) Créer onglet ANALYSE TITRES dans fichier 4) Définir critères objectifs T1/T2/T3/T4 une fois pour toutes</t>
        </is>
      </c>
      <c r="J398" s="1665" t="n"/>
      <c r="K398" s="1665" t="n"/>
      <c r="L398" s="1665" t="n"/>
      <c r="M398" s="1665" t="n"/>
      <c r="N398" s="1665" t="n"/>
      <c r="O398" s="1665" t="n"/>
      <c r="P398" s="1665" t="n"/>
      <c r="Q398" s="1665" t="n"/>
      <c r="R398" s="1665" t="n"/>
      <c r="S398" s="1665" t="n"/>
      <c r="T398" s="1665" t="n"/>
      <c r="U398" s="1665" t="n"/>
      <c r="V398" s="1665" t="n"/>
      <c r="W398" s="1665" t="n"/>
      <c r="X398" s="1665" t="n"/>
      <c r="Y398" s="1665" t="n"/>
      <c r="Z398" s="1665" t="n"/>
    </row>
    <row r="399" ht="15.75" customHeight="1" s="1666">
      <c r="J399" s="1665" t="n"/>
      <c r="K399" s="1665" t="n"/>
      <c r="L399" s="1665" t="n"/>
      <c r="M399" s="1665" t="n"/>
      <c r="N399" s="1665" t="n"/>
      <c r="O399" s="1665" t="n"/>
      <c r="P399" s="1665" t="n"/>
      <c r="Q399" s="1665" t="n"/>
      <c r="R399" s="1665" t="n"/>
      <c r="S399" s="1665" t="n"/>
      <c r="T399" s="1665" t="n"/>
      <c r="U399" s="1665" t="n"/>
      <c r="V399" s="1665" t="n"/>
      <c r="W399" s="1665" t="n"/>
      <c r="X399" s="1665" t="n"/>
      <c r="Y399" s="1665" t="n"/>
      <c r="Z399" s="1665" t="n"/>
    </row>
    <row r="400" ht="15.75" customHeight="1" s="1666">
      <c r="J400" s="1665" t="n"/>
      <c r="K400" s="1665" t="n"/>
      <c r="L400" s="1665" t="n"/>
      <c r="M400" s="1665" t="n"/>
      <c r="N400" s="1665" t="n"/>
      <c r="O400" s="1665" t="n"/>
      <c r="P400" s="1665" t="n"/>
      <c r="Q400" s="1665" t="n"/>
      <c r="R400" s="1665" t="n"/>
      <c r="S400" s="1665" t="n"/>
      <c r="T400" s="1665" t="n"/>
      <c r="U400" s="1665" t="n"/>
      <c r="V400" s="1665" t="n"/>
      <c r="W400" s="1665" t="n"/>
      <c r="X400" s="1665" t="n"/>
      <c r="Y400" s="1665" t="n"/>
      <c r="Z400" s="1665" t="n"/>
    </row>
    <row r="401" ht="24.75" customHeight="1" s="1666">
      <c r="A401" s="1876" t="inlineStr">
        <is>
          <t>🤖  INSTRUCTION AUTO-DÉMARRAGE  ·  Lire en PREMIER à chaque ouverture du fichier</t>
        </is>
      </c>
      <c r="J401" s="1665" t="n"/>
      <c r="K401" s="1665" t="n"/>
      <c r="L401" s="1665" t="n"/>
      <c r="M401" s="1665" t="n"/>
      <c r="N401" s="1665" t="n"/>
      <c r="O401" s="1665" t="n"/>
      <c r="P401" s="1665" t="n"/>
      <c r="Q401" s="1665" t="n"/>
      <c r="R401" s="1665" t="n"/>
      <c r="S401" s="1665" t="n"/>
      <c r="T401" s="1665" t="n"/>
      <c r="U401" s="1665" t="n"/>
      <c r="V401" s="1665" t="n"/>
      <c r="W401" s="1665" t="n"/>
      <c r="X401" s="1665" t="n"/>
      <c r="Y401" s="1665" t="n"/>
      <c r="Z401" s="1665" t="n"/>
    </row>
    <row r="402" ht="19.5" customHeight="1" s="1666">
      <c r="A402" s="1877" t="inlineStr">
        <is>
          <t>CE FICHIER EST LE CERVEAU DU PORTFOLIO DE HEY. Dès que tu le reçois, exécute le protocole ci-dessous SANS ATTENDRE de message supplémentaire.</t>
        </is>
      </c>
      <c r="J402" s="1665" t="n"/>
      <c r="K402" s="1665" t="n"/>
      <c r="L402" s="1665" t="n"/>
      <c r="M402" s="1665" t="n"/>
      <c r="N402" s="1665" t="n"/>
      <c r="O402" s="1665" t="n"/>
      <c r="P402" s="1665" t="n"/>
      <c r="Q402" s="1665" t="n"/>
      <c r="R402" s="1665" t="n"/>
      <c r="S402" s="1665" t="n"/>
      <c r="T402" s="1665" t="n"/>
      <c r="U402" s="1665" t="n"/>
      <c r="V402" s="1665" t="n"/>
      <c r="W402" s="1665" t="n"/>
      <c r="X402" s="1665" t="n"/>
      <c r="Y402" s="1665" t="n"/>
      <c r="Z402" s="1665" t="n"/>
    </row>
    <row r="403" ht="45" customHeight="1" s="1666">
      <c r="A403" s="1878" t="inlineStr">
        <is>
          <t>ÉTAPE 1 — IDENTIFIER LA SESSION</t>
        </is>
      </c>
      <c r="C403" s="1879" t="inlineStr">
        <is>
          <t>Cherche la version dans CONFIG!B19 ou en haut de cet onglet. Incrémente: si fichier = v42-S16 → cette session = S17. Annonce: "📂 Fichier v42-S16 détecté → Session S17 démarrée"</t>
        </is>
      </c>
      <c r="J403" s="1665" t="n"/>
      <c r="K403" s="1665" t="n"/>
      <c r="L403" s="1665" t="n"/>
      <c r="M403" s="1665" t="n"/>
      <c r="N403" s="1665" t="n"/>
      <c r="O403" s="1665" t="n"/>
      <c r="P403" s="1665" t="n"/>
      <c r="Q403" s="1665" t="n"/>
      <c r="R403" s="1665" t="n"/>
      <c r="S403" s="1665" t="n"/>
      <c r="T403" s="1665" t="n"/>
      <c r="U403" s="1665" t="n"/>
      <c r="V403" s="1665" t="n"/>
      <c r="W403" s="1665" t="n"/>
      <c r="X403" s="1665" t="n"/>
      <c r="Y403" s="1665" t="n"/>
      <c r="Z403" s="1665" t="n"/>
    </row>
    <row r="404" ht="45" customHeight="1" s="1666">
      <c r="A404" s="1878" t="inlineStr">
        <is>
          <t>ÉTAPE 2 — CHARGER LE CONTEXTE</t>
        </is>
      </c>
      <c r="C404" s="1879" t="inlineStr">
        <is>
          <t>Lis les blocs RAISONNEMENT de cet onglet (bas de page). Lis les ACTIONS OUVERTES (lignes 14-18). Note les 3 actions prioritaires. NE PAS poser de questions de contexte — tout est dans le fichier.</t>
        </is>
      </c>
      <c r="J404" s="1665" t="n"/>
      <c r="K404" s="1665" t="n"/>
      <c r="L404" s="1665" t="n"/>
      <c r="M404" s="1665" t="n"/>
      <c r="N404" s="1665" t="n"/>
      <c r="O404" s="1665" t="n"/>
      <c r="P404" s="1665" t="n"/>
      <c r="Q404" s="1665" t="n"/>
      <c r="R404" s="1665" t="n"/>
      <c r="S404" s="1665" t="n"/>
      <c r="T404" s="1665" t="n"/>
      <c r="U404" s="1665" t="n"/>
      <c r="V404" s="1665" t="n"/>
      <c r="W404" s="1665" t="n"/>
      <c r="X404" s="1665" t="n"/>
      <c r="Y404" s="1665" t="n"/>
      <c r="Z404" s="1665" t="n"/>
    </row>
    <row r="405" ht="45" customHeight="1" s="1666">
      <c r="A405" s="1878" t="inlineStr">
        <is>
          <t>ÉTAPE 3 — WEB SEARCH AUTOMATIQUE</t>
        </is>
      </c>
      <c r="C405" s="1879" t="inlineStr">
        <is>
          <t>Sans attendre: recherche S&amp;P 500 + TSX + VIX + news tarifs US/CA + USD/CAD live. Si annonce BdC dans &lt;7 jours → chercher prévisions taux. Chercher prix live: AVGO · VFV.TO · SCHD · GEV · ENB.TO</t>
        </is>
      </c>
      <c r="J405" s="1665" t="n"/>
      <c r="K405" s="1665" t="n"/>
      <c r="L405" s="1665" t="n"/>
      <c r="M405" s="1665" t="n"/>
      <c r="N405" s="1665" t="n"/>
      <c r="O405" s="1665" t="n"/>
      <c r="P405" s="1665" t="n"/>
      <c r="Q405" s="1665" t="n"/>
      <c r="R405" s="1665" t="n"/>
      <c r="S405" s="1665" t="n"/>
      <c r="T405" s="1665" t="n"/>
      <c r="U405" s="1665" t="n"/>
      <c r="V405" s="1665" t="n"/>
      <c r="W405" s="1665" t="n"/>
      <c r="X405" s="1665" t="n"/>
      <c r="Y405" s="1665" t="n"/>
      <c r="Z405" s="1665" t="n"/>
    </row>
    <row r="406" ht="45" customHeight="1" s="1666">
      <c r="A406" s="1878" t="inlineStr">
        <is>
          <t>ÉTAPE 4 — LIRE GOOGLE SHEETS</t>
        </is>
      </c>
      <c r="C406" s="1879" t="inlineStr">
        <is>
          <t>Tenter web_fetch sur: https://docs.google.com/spreadsheets/d/1LamFoKULSVfOWCUizBTVabBbuAyPOhLuvuk0fzBgJZA/edit?usp=sharing — Si succès: utiliser prix en temps réel. Si échec: utiliser données du fichier uploadé.</t>
        </is>
      </c>
      <c r="J406" s="1665" t="n"/>
      <c r="K406" s="1665" t="n"/>
      <c r="L406" s="1665" t="n"/>
      <c r="M406" s="1665" t="n"/>
      <c r="N406" s="1665" t="n"/>
      <c r="O406" s="1665" t="n"/>
      <c r="P406" s="1665" t="n"/>
      <c r="Q406" s="1665" t="n"/>
      <c r="R406" s="1665" t="n"/>
      <c r="S406" s="1665" t="n"/>
      <c r="T406" s="1665" t="n"/>
      <c r="U406" s="1665" t="n"/>
      <c r="V406" s="1665" t="n"/>
      <c r="W406" s="1665" t="n"/>
      <c r="X406" s="1665" t="n"/>
      <c r="Y406" s="1665" t="n"/>
      <c r="Z406" s="1665" t="n"/>
    </row>
    <row r="407" ht="45" customHeight="1" s="1666">
      <c r="A407" s="1878" t="inlineStr">
        <is>
          <t>ÉTAPE 5 — MESSAGE DE DÉMARRAGE</t>
        </is>
      </c>
      <c r="C407" s="1879" t="inlineStr">
        <is>
          <t>Envoyer EXACTEMENT ce format:
"📂 Session S[X] démarrée · Portfolio ~$[TOTAL] CAD · ATH $87,252
📈 Marché: S&amp;P [valeur] · TSX [valeur] · USD/CAD [taux]
🔴 Action #1: [plus urgente] · 🟡 Action #2: [deuxième] · 📅 Action #3: [troisième]
💬 Prêt. Qu'est-ce qu'on fait aujourd'hui?"</t>
        </is>
      </c>
      <c r="J407" s="1665" t="n"/>
      <c r="K407" s="1665" t="n"/>
      <c r="L407" s="1665" t="n"/>
      <c r="M407" s="1665" t="n"/>
      <c r="N407" s="1665" t="n"/>
      <c r="O407" s="1665" t="n"/>
      <c r="P407" s="1665" t="n"/>
      <c r="Q407" s="1665" t="n"/>
      <c r="R407" s="1665" t="n"/>
      <c r="S407" s="1665" t="n"/>
      <c r="T407" s="1665" t="n"/>
      <c r="U407" s="1665" t="n"/>
      <c r="V407" s="1665" t="n"/>
      <c r="W407" s="1665" t="n"/>
      <c r="X407" s="1665" t="n"/>
      <c r="Y407" s="1665" t="n"/>
      <c r="Z407" s="1665" t="n"/>
    </row>
    <row r="408" ht="45" customHeight="1" s="1666">
      <c r="A408" s="1878" t="inlineStr">
        <is>
          <t>RÈGLE ABSOLUE</t>
        </is>
      </c>
      <c r="C408" s="1879" t="inlineStr">
        <is>
          <t>Ne jamais dire "je n'ai pas accès à..." ou "peux-tu me dire...". Tout le contexte est dans ce fichier + mémoire Claude. Démarrer immédiatement. Zéro question de contexte. Si données manquantes → web search.</t>
        </is>
      </c>
      <c r="J408" s="1665" t="n"/>
      <c r="K408" s="1665" t="n"/>
      <c r="L408" s="1665" t="n"/>
      <c r="M408" s="1665" t="n"/>
      <c r="N408" s="1665" t="n"/>
      <c r="O408" s="1665" t="n"/>
      <c r="P408" s="1665" t="n"/>
      <c r="Q408" s="1665" t="n"/>
      <c r="R408" s="1665" t="n"/>
      <c r="S408" s="1665" t="n"/>
      <c r="T408" s="1665" t="n"/>
      <c r="U408" s="1665" t="n"/>
      <c r="V408" s="1665" t="n"/>
      <c r="W408" s="1665" t="n"/>
      <c r="X408" s="1665" t="n"/>
      <c r="Y408" s="1665" t="n"/>
      <c r="Z408" s="1665" t="n"/>
    </row>
    <row r="409" ht="15.75" customHeight="1" s="1666">
      <c r="J409" s="1665" t="n"/>
      <c r="K409" s="1665" t="n"/>
      <c r="L409" s="1665" t="n"/>
      <c r="M409" s="1665" t="n"/>
      <c r="N409" s="1665" t="n"/>
      <c r="O409" s="1665" t="n"/>
      <c r="P409" s="1665" t="n"/>
      <c r="Q409" s="1665" t="n"/>
      <c r="R409" s="1665" t="n"/>
      <c r="S409" s="1665" t="n"/>
      <c r="T409" s="1665" t="n"/>
      <c r="U409" s="1665" t="n"/>
      <c r="V409" s="1665" t="n"/>
      <c r="W409" s="1665" t="n"/>
      <c r="X409" s="1665" t="n"/>
      <c r="Y409" s="1665" t="n"/>
      <c r="Z409" s="1665" t="n"/>
    </row>
    <row r="410" ht="18" customHeight="1" s="1666">
      <c r="A410" s="1880" t="inlineStr">
        <is>
          <t>⚡ FIN PROTOCOLE AUTO-DÉMARRAGE — Exécuter sans exception à chaque session · Version gravée S16 · 13 mars 2026</t>
        </is>
      </c>
      <c r="J410" s="1665" t="n"/>
      <c r="K410" s="1665" t="n"/>
      <c r="L410" s="1665" t="n"/>
      <c r="M410" s="1665" t="n"/>
      <c r="N410" s="1665" t="n"/>
      <c r="O410" s="1665" t="n"/>
      <c r="P410" s="1665" t="n"/>
      <c r="Q410" s="1665" t="n"/>
      <c r="R410" s="1665" t="n"/>
      <c r="S410" s="1665" t="n"/>
      <c r="T410" s="1665" t="n"/>
      <c r="U410" s="1665" t="n"/>
      <c r="V410" s="1665" t="n"/>
      <c r="W410" s="1665" t="n"/>
      <c r="X410" s="1665" t="n"/>
      <c r="Y410" s="1665" t="n"/>
      <c r="Z410" s="1665" t="n"/>
    </row>
    <row r="411" ht="15.75" customHeight="1" s="1666">
      <c r="J411" s="1665" t="n"/>
      <c r="K411" s="1665" t="n"/>
      <c r="L411" s="1665" t="n"/>
      <c r="M411" s="1665" t="n"/>
      <c r="N411" s="1665" t="n"/>
      <c r="O411" s="1665" t="n"/>
      <c r="P411" s="1665" t="n"/>
      <c r="Q411" s="1665" t="n"/>
      <c r="R411" s="1665" t="n"/>
      <c r="S411" s="1665" t="n"/>
      <c r="T411" s="1665" t="n"/>
      <c r="U411" s="1665" t="n"/>
      <c r="V411" s="1665" t="n"/>
      <c r="W411" s="1665" t="n"/>
      <c r="X411" s="1665" t="n"/>
      <c r="Y411" s="1665" t="n"/>
      <c r="Z411" s="1665" t="n"/>
    </row>
    <row r="412" ht="15.75" customHeight="1" s="1666">
      <c r="A412" s="1881" t="inlineStr">
        <is>
          <t>🔄  FLOW S20+ — SYMBIOSE XLSX ↔ DASHBOARD  ·  Actif depuis S20 · 12 Mar 2026</t>
        </is>
      </c>
      <c r="J412" s="1665" t="n"/>
      <c r="K412" s="1665" t="n"/>
      <c r="L412" s="1665" t="n"/>
      <c r="M412" s="1665" t="n"/>
      <c r="N412" s="1665" t="n"/>
      <c r="O412" s="1665" t="n"/>
      <c r="P412" s="1665" t="n"/>
      <c r="Q412" s="1665" t="n"/>
      <c r="R412" s="1665" t="n"/>
      <c r="S412" s="1665" t="n"/>
      <c r="T412" s="1665" t="n"/>
      <c r="U412" s="1665" t="n"/>
      <c r="V412" s="1665" t="n"/>
      <c r="W412" s="1665" t="n"/>
      <c r="X412" s="1665" t="n"/>
      <c r="Y412" s="1665" t="n"/>
      <c r="Z412" s="1665" t="n"/>
    </row>
    <row r="413" ht="15.75" customHeight="1" s="1666">
      <c r="A413" s="1882" t="inlineStr">
        <is>
          <t>ÉTAPE</t>
        </is>
      </c>
      <c r="B413" s="1882" t="inlineStr">
        <is>
          <t>ACTION</t>
        </is>
      </c>
      <c r="C413" s="1882" t="inlineStr">
        <is>
          <t>RÉSULTAT</t>
        </is>
      </c>
      <c r="J413" s="1665" t="n"/>
      <c r="K413" s="1665" t="n"/>
      <c r="L413" s="1665" t="n"/>
      <c r="M413" s="1665" t="n"/>
      <c r="N413" s="1665" t="n"/>
      <c r="O413" s="1665" t="n"/>
      <c r="P413" s="1665" t="n"/>
      <c r="Q413" s="1665" t="n"/>
      <c r="R413" s="1665" t="n"/>
      <c r="S413" s="1665" t="n"/>
      <c r="T413" s="1665" t="n"/>
      <c r="U413" s="1665" t="n"/>
      <c r="V413" s="1665" t="n"/>
      <c r="W413" s="1665" t="n"/>
      <c r="X413" s="1665" t="n"/>
      <c r="Y413" s="1665" t="n"/>
      <c r="Z413" s="1665" t="n"/>
    </row>
    <row r="414" ht="15.75" customHeight="1" s="1666">
      <c r="A414" s="1665" t="inlineStr">
        <is>
          <t>① Début session</t>
        </is>
      </c>
      <c r="B414" s="1665" t="inlineStr">
        <is>
          <t>Uploader ce xlsx à Claude</t>
        </is>
      </c>
      <c r="C414" s="1665" t="inlineStr">
        <is>
          <t>Claude connaît ton état exact — zéro question de contexte</t>
        </is>
      </c>
      <c r="J414" s="1665" t="n"/>
      <c r="K414" s="1665" t="n"/>
      <c r="L414" s="1665" t="n"/>
      <c r="M414" s="1665" t="n"/>
      <c r="N414" s="1665" t="n"/>
      <c r="O414" s="1665" t="n"/>
      <c r="P414" s="1665" t="n"/>
      <c r="Q414" s="1665" t="n"/>
      <c r="R414" s="1665" t="n"/>
      <c r="S414" s="1665" t="n"/>
      <c r="T414" s="1665" t="n"/>
      <c r="U414" s="1665" t="n"/>
      <c r="V414" s="1665" t="n"/>
      <c r="W414" s="1665" t="n"/>
      <c r="X414" s="1665" t="n"/>
      <c r="Y414" s="1665" t="n"/>
      <c r="Z414" s="1665" t="n"/>
    </row>
    <row r="415" ht="15.75" customHeight="1" s="1666">
      <c r="A415" s="1665" t="inlineStr">
        <is>
          <t>② Trade / décision</t>
        </is>
      </c>
      <c r="B415" s="1665" t="inlineStr">
        <is>
          <t>Dire à Claude ce qui a changé</t>
        </is>
      </c>
      <c r="C415" s="1665" t="inlineStr">
        <is>
          <t>Claude met à jour xlsx IMMÉDIATEMENT + livre nouveau fichier</t>
        </is>
      </c>
      <c r="J415" s="1665" t="n"/>
      <c r="K415" s="1665" t="n"/>
      <c r="L415" s="1665" t="n"/>
      <c r="M415" s="1665" t="n"/>
      <c r="N415" s="1665" t="n"/>
      <c r="O415" s="1665" t="n"/>
      <c r="P415" s="1665" t="n"/>
      <c r="Q415" s="1665" t="n"/>
      <c r="R415" s="1665" t="n"/>
      <c r="S415" s="1665" t="n"/>
      <c r="T415" s="1665" t="n"/>
      <c r="U415" s="1665" t="n"/>
      <c r="V415" s="1665" t="n"/>
      <c r="W415" s="1665" t="n"/>
      <c r="X415" s="1665" t="n"/>
      <c r="Y415" s="1665" t="n"/>
      <c r="Z415" s="1665" t="n"/>
    </row>
    <row r="416" ht="15.75" customHeight="1" s="1666">
      <c r="A416" s="1665" t="inlineStr">
        <is>
          <t>③ Dashboard</t>
        </is>
      </c>
      <c r="B416" s="1665" t="inlineStr">
        <is>
          <t>Glisser le nouveau xlsx dans Chrome</t>
        </is>
      </c>
      <c r="C416" s="1665" t="inlineStr">
        <is>
          <t>Dashboard se rafraîchit SANS recharger (bouton Recharger)</t>
        </is>
      </c>
      <c r="J416" s="1665" t="n"/>
      <c r="K416" s="1665" t="n"/>
      <c r="L416" s="1665" t="n"/>
      <c r="M416" s="1665" t="n"/>
      <c r="N416" s="1665" t="n"/>
      <c r="O416" s="1665" t="n"/>
      <c r="P416" s="1665" t="n"/>
      <c r="Q416" s="1665" t="n"/>
      <c r="R416" s="1665" t="n"/>
      <c r="S416" s="1665" t="n"/>
      <c r="T416" s="1665" t="n"/>
      <c r="U416" s="1665" t="n"/>
      <c r="V416" s="1665" t="n"/>
      <c r="W416" s="1665" t="n"/>
      <c r="X416" s="1665" t="n"/>
      <c r="Y416" s="1665" t="n"/>
      <c r="Z416" s="1665" t="n"/>
    </row>
    <row r="417" ht="15.75" customHeight="1" s="1666">
      <c r="A417" s="1665" t="inlineStr">
        <is>
          <t>④ Prix live</t>
        </is>
      </c>
      <c r="B417" s="1665" t="inlineStr">
        <is>
          <t>Automatique au chargement</t>
        </is>
      </c>
      <c r="C417" s="1665" t="inlineStr">
        <is>
          <t>Yahoo Finance fetché → P&amp;L réel par position</t>
        </is>
      </c>
      <c r="J417" s="1665" t="n"/>
      <c r="K417" s="1665" t="n"/>
      <c r="L417" s="1665" t="n"/>
      <c r="M417" s="1665" t="n"/>
      <c r="N417" s="1665" t="n"/>
      <c r="O417" s="1665" t="n"/>
      <c r="P417" s="1665" t="n"/>
      <c r="Q417" s="1665" t="n"/>
      <c r="R417" s="1665" t="n"/>
      <c r="S417" s="1665" t="n"/>
      <c r="T417" s="1665" t="n"/>
      <c r="U417" s="1665" t="n"/>
      <c r="V417" s="1665" t="n"/>
      <c r="W417" s="1665" t="n"/>
      <c r="X417" s="1665" t="n"/>
      <c r="Y417" s="1665" t="n"/>
      <c r="Z417" s="1665" t="n"/>
    </row>
    <row r="418" ht="15.75" customHeight="1" s="1666">
      <c r="A418" s="1665" t="inlineStr">
        <is>
          <t>⑤ Fin session</t>
        </is>
      </c>
      <c r="B418" s="1665" t="inlineStr">
        <is>
          <t>Claude update 🚀 DÉMARRAGE + livre xlsx</t>
        </is>
      </c>
      <c r="C418" s="1665" t="inlineStr">
        <is>
          <t>Prochain Claude reprend exactement où on en est</t>
        </is>
      </c>
      <c r="J418" s="1665" t="n"/>
      <c r="K418" s="1665" t="n"/>
      <c r="L418" s="1665" t="n"/>
      <c r="M418" s="1665" t="n"/>
      <c r="N418" s="1665" t="n"/>
      <c r="O418" s="1665" t="n"/>
      <c r="P418" s="1665" t="n"/>
      <c r="Q418" s="1665" t="n"/>
      <c r="R418" s="1665" t="n"/>
      <c r="S418" s="1665" t="n"/>
      <c r="T418" s="1665" t="n"/>
      <c r="U418" s="1665" t="n"/>
      <c r="V418" s="1665" t="n"/>
      <c r="W418" s="1665" t="n"/>
      <c r="X418" s="1665" t="n"/>
      <c r="Y418" s="1665" t="n"/>
      <c r="Z418" s="1665" t="n"/>
    </row>
    <row r="419" ht="15.75" customHeight="1" s="1666">
      <c r="J419" s="1665" t="n"/>
      <c r="K419" s="1665" t="n"/>
      <c r="L419" s="1665" t="n"/>
      <c r="M419" s="1665" t="n"/>
      <c r="N419" s="1665" t="n"/>
      <c r="O419" s="1665" t="n"/>
      <c r="P419" s="1665" t="n"/>
      <c r="Q419" s="1665" t="n"/>
      <c r="R419" s="1665" t="n"/>
      <c r="S419" s="1665" t="n"/>
      <c r="T419" s="1665" t="n"/>
      <c r="U419" s="1665" t="n"/>
      <c r="V419" s="1665" t="n"/>
      <c r="W419" s="1665" t="n"/>
      <c r="X419" s="1665" t="n"/>
      <c r="Y419" s="1665" t="n"/>
      <c r="Z419" s="1665" t="n"/>
    </row>
    <row r="420" ht="28" customHeight="1" s="1666">
      <c r="A420" s="3274" t="inlineStr">
        <is>
          <t>🆕  PROTOCOLE S38+ — 2 FICHIERS SEULEMENT · CLAUDE.md INTÉGRÉ ICI</t>
        </is>
      </c>
      <c r="J420" s="1665" t="n"/>
      <c r="K420" s="1665" t="n"/>
      <c r="L420" s="1665" t="n"/>
      <c r="M420" s="1665" t="n"/>
      <c r="N420" s="1665" t="n"/>
      <c r="O420" s="1665" t="n"/>
      <c r="P420" s="1665" t="n"/>
      <c r="Q420" s="1665" t="n"/>
      <c r="R420" s="1665" t="n"/>
      <c r="S420" s="1665" t="n"/>
      <c r="T420" s="1665" t="n"/>
      <c r="U420" s="1665" t="n"/>
      <c r="V420" s="1665" t="n"/>
      <c r="W420" s="1665" t="n"/>
      <c r="X420" s="1665" t="n"/>
      <c r="Y420" s="1665" t="n"/>
      <c r="Z420" s="1665" t="n"/>
    </row>
    <row r="421" ht="22" customHeight="1" s="1666">
      <c r="A421" s="3275" t="inlineStr">
        <is>
          <t>⚡ DÉMARRAGE: uploade (1) xlsx  (2) data.json → dis "go" · Plus de CLAUDE.md. Plus de dashboard.html.</t>
        </is>
      </c>
      <c r="J421" s="1665" t="n"/>
      <c r="K421" s="1665" t="n"/>
      <c r="L421" s="1665" t="n"/>
      <c r="M421" s="1665" t="n"/>
      <c r="N421" s="1665" t="n"/>
      <c r="O421" s="1665" t="n"/>
      <c r="P421" s="1665" t="n"/>
      <c r="Q421" s="1665" t="n"/>
      <c r="R421" s="1665" t="n"/>
      <c r="S421" s="1665" t="n"/>
      <c r="T421" s="1665" t="n"/>
      <c r="U421" s="1665" t="n"/>
      <c r="V421" s="1665" t="n"/>
      <c r="W421" s="1665" t="n"/>
      <c r="X421" s="1665" t="n"/>
      <c r="Y421" s="1665" t="n"/>
      <c r="Z421" s="1665" t="n"/>
    </row>
    <row r="422" ht="15.75" customHeight="1" s="1666">
      <c r="J422" s="1665" t="n"/>
      <c r="K422" s="1665" t="n"/>
      <c r="L422" s="1665" t="n"/>
      <c r="M422" s="1665" t="n"/>
      <c r="N422" s="1665" t="n"/>
      <c r="O422" s="1665" t="n"/>
      <c r="P422" s="1665" t="n"/>
      <c r="Q422" s="1665" t="n"/>
      <c r="R422" s="1665" t="n"/>
      <c r="S422" s="1665" t="n"/>
      <c r="T422" s="1665" t="n"/>
      <c r="U422" s="1665" t="n"/>
      <c r="V422" s="1665" t="n"/>
      <c r="W422" s="1665" t="n"/>
      <c r="X422" s="1665" t="n"/>
      <c r="Y422" s="1665" t="n"/>
      <c r="Z422" s="1665" t="n"/>
    </row>
    <row r="423" ht="22" customHeight="1" s="1666">
      <c r="A423" s="3276" t="inlineStr">
        <is>
          <t>🧠  QUI EST HEY · Profil permanent</t>
        </is>
      </c>
      <c r="J423" s="1665" t="n"/>
      <c r="K423" s="1665" t="n"/>
      <c r="L423" s="1665" t="n"/>
      <c r="M423" s="1665" t="n"/>
      <c r="N423" s="1665" t="n"/>
      <c r="O423" s="1665" t="n"/>
      <c r="P423" s="1665" t="n"/>
      <c r="Q423" s="1665" t="n"/>
      <c r="R423" s="1665" t="n"/>
      <c r="S423" s="1665" t="n"/>
      <c r="T423" s="1665" t="n"/>
      <c r="U423" s="1665" t="n"/>
      <c r="V423" s="1665" t="n"/>
      <c r="W423" s="1665" t="n"/>
      <c r="X423" s="1665" t="n"/>
      <c r="Y423" s="1665" t="n"/>
      <c r="Z423" s="1665" t="n"/>
    </row>
    <row r="424" ht="20" customHeight="1" s="1666">
      <c r="A424" s="3277" t="inlineStr">
        <is>
          <t>Identité</t>
        </is>
      </c>
      <c r="B424" s="3278" t="inlineStr">
        <is>
          <t>Hey (Laurent) · 34 ans · Nunavik QC · HNE · Policier 2on/2off · Mode OFF mars 2026</t>
        </is>
      </c>
      <c r="J424" s="1665" t="n"/>
      <c r="K424" s="1665" t="n"/>
      <c r="L424" s="1665" t="n"/>
      <c r="M424" s="1665" t="n"/>
      <c r="N424" s="1665" t="n"/>
      <c r="O424" s="1665" t="n"/>
      <c r="P424" s="1665" t="n"/>
      <c r="Q424" s="1665" t="n"/>
      <c r="R424" s="1665" t="n"/>
      <c r="S424" s="1665" t="n"/>
      <c r="T424" s="1665" t="n"/>
      <c r="U424" s="1665" t="n"/>
      <c r="V424" s="1665" t="n"/>
      <c r="W424" s="1665" t="n"/>
      <c r="X424" s="1665" t="n"/>
      <c r="Y424" s="1665" t="n"/>
      <c r="Z424" s="1665" t="n"/>
    </row>
    <row r="425" ht="20" customHeight="1" s="1666">
      <c r="A425" s="3277" t="inlineStr">
        <is>
          <t>Vision 10 ans</t>
        </is>
      </c>
      <c r="B425" s="3278" t="inlineStr">
        <is>
          <t>Travailler par choix · Famille · Maison 2030 solo · FI = liberté totale</t>
        </is>
      </c>
      <c r="J425" s="1665" t="n"/>
      <c r="K425" s="1665" t="n"/>
      <c r="L425" s="1665" t="n"/>
      <c r="M425" s="1665" t="n"/>
      <c r="N425" s="1665" t="n"/>
      <c r="O425" s="1665" t="n"/>
      <c r="P425" s="1665" t="n"/>
      <c r="Q425" s="1665" t="n"/>
      <c r="R425" s="1665" t="n"/>
      <c r="S425" s="1665" t="n"/>
      <c r="T425" s="1665" t="n"/>
      <c r="U425" s="1665" t="n"/>
      <c r="V425" s="1665" t="n"/>
      <c r="W425" s="1665" t="n"/>
      <c r="X425" s="1665" t="n"/>
      <c r="Y425" s="1665" t="n"/>
      <c r="Z425" s="1665" t="n"/>
    </row>
    <row r="426" ht="20" customHeight="1" s="1666">
      <c r="A426" s="3277" t="inlineStr">
        <is>
          <t>Personnalité</t>
        </is>
      </c>
      <c r="B426" s="3278" t="inlineStr">
        <is>
          <t>Gaming · Lecture · BJJ · PPL · Yoga · Motos · Autodidacte investissement</t>
        </is>
      </c>
      <c r="J426" s="1665" t="n"/>
      <c r="K426" s="1665" t="n"/>
      <c r="L426" s="1665" t="n"/>
      <c r="M426" s="1665" t="n"/>
      <c r="N426" s="1665" t="n"/>
      <c r="O426" s="1665" t="n"/>
      <c r="P426" s="1665" t="n"/>
      <c r="Q426" s="1665" t="n"/>
      <c r="R426" s="1665" t="n"/>
      <c r="S426" s="1665" t="n"/>
      <c r="T426" s="1665" t="n"/>
      <c r="U426" s="1665" t="n"/>
      <c r="V426" s="1665" t="n"/>
      <c r="W426" s="1665" t="n"/>
      <c r="X426" s="1665" t="n"/>
      <c r="Y426" s="1665" t="n"/>
      <c r="Z426" s="1665" t="n"/>
    </row>
    <row r="427" ht="20" customHeight="1" s="1666">
      <c r="A427" s="3277" t="inlineStr">
        <is>
          <t>Psychologie</t>
        </is>
      </c>
      <c r="B427" s="3278" t="inlineStr">
        <is>
          <t>Accumulateur pur · buy-the-dip fort · timing addiction à surveiller · chiffres &gt; abstrait</t>
        </is>
      </c>
      <c r="J427" s="1665" t="n"/>
      <c r="K427" s="1665" t="n"/>
      <c r="L427" s="1665" t="n"/>
      <c r="M427" s="1665" t="n"/>
      <c r="N427" s="1665" t="n"/>
      <c r="O427" s="1665" t="n"/>
      <c r="P427" s="1665" t="n"/>
      <c r="Q427" s="1665" t="n"/>
      <c r="R427" s="1665" t="n"/>
      <c r="S427" s="1665" t="n"/>
      <c r="T427" s="1665" t="n"/>
      <c r="U427" s="1665" t="n"/>
      <c r="V427" s="1665" t="n"/>
      <c r="W427" s="1665" t="n"/>
      <c r="X427" s="1665" t="n"/>
      <c r="Y427" s="1665" t="n"/>
      <c r="Z427" s="1665" t="n"/>
    </row>
    <row r="428" ht="20" customHeight="1" s="1666">
      <c r="A428" s="3277" t="inlineStr">
        <is>
          <t>Contraintes</t>
        </is>
      </c>
      <c r="B428" s="3278" t="inlineStr">
        <is>
          <t>Liquidités mi-mois · paie ~$7,950/mois net · dépenses $1,182/mois · surplus $1,768 libre</t>
        </is>
      </c>
      <c r="J428" s="1665" t="n"/>
      <c r="K428" s="1665" t="n"/>
      <c r="L428" s="1665" t="n"/>
      <c r="M428" s="1665" t="n"/>
      <c r="N428" s="1665" t="n"/>
      <c r="O428" s="1665" t="n"/>
      <c r="P428" s="1665" t="n"/>
      <c r="Q428" s="1665" t="n"/>
      <c r="R428" s="1665" t="n"/>
      <c r="S428" s="1665" t="n"/>
      <c r="T428" s="1665" t="n"/>
      <c r="U428" s="1665" t="n"/>
      <c r="V428" s="1665" t="n"/>
      <c r="W428" s="1665" t="n"/>
      <c r="X428" s="1665" t="n"/>
      <c r="Y428" s="1665" t="n"/>
      <c r="Z428" s="1665" t="n"/>
    </row>
    <row r="429" ht="20" customHeight="1" s="1666">
      <c r="A429" s="3277" t="inlineStr">
        <is>
          <t>Rôle Claude</t>
        </is>
      </c>
      <c r="B429" s="3278" t="inlineStr">
        <is>
          <t>Partenaire de formation · challenger angles morts · quantifier toujours · devil's advocate auto</t>
        </is>
      </c>
      <c r="J429" s="1665" t="n"/>
      <c r="K429" s="1665" t="n"/>
      <c r="L429" s="1665" t="n"/>
      <c r="M429" s="1665" t="n"/>
      <c r="N429" s="1665" t="n"/>
      <c r="O429" s="1665" t="n"/>
      <c r="P429" s="1665" t="n"/>
      <c r="Q429" s="1665" t="n"/>
      <c r="R429" s="1665" t="n"/>
      <c r="S429" s="1665" t="n"/>
      <c r="T429" s="1665" t="n"/>
      <c r="U429" s="1665" t="n"/>
      <c r="V429" s="1665" t="n"/>
      <c r="W429" s="1665" t="n"/>
      <c r="X429" s="1665" t="n"/>
      <c r="Y429" s="1665" t="n"/>
      <c r="Z429" s="1665" t="n"/>
    </row>
    <row r="430" ht="15.75" customHeight="1" s="1666">
      <c r="J430" s="1665" t="n"/>
      <c r="K430" s="1665" t="n"/>
      <c r="L430" s="1665" t="n"/>
      <c r="M430" s="1665" t="n"/>
      <c r="N430" s="1665" t="n"/>
      <c r="O430" s="1665" t="n"/>
      <c r="P430" s="1665" t="n"/>
      <c r="Q430" s="1665" t="n"/>
      <c r="R430" s="1665" t="n"/>
      <c r="S430" s="1665" t="n"/>
      <c r="T430" s="1665" t="n"/>
      <c r="U430" s="1665" t="n"/>
      <c r="V430" s="1665" t="n"/>
      <c r="W430" s="1665" t="n"/>
      <c r="X430" s="1665" t="n"/>
      <c r="Y430" s="1665" t="n"/>
      <c r="Z430" s="1665" t="n"/>
    </row>
    <row r="431" ht="22" customHeight="1" s="1666">
      <c r="A431" s="3279" t="inlineStr">
        <is>
          <t>📊  ÉTAT PORTFOLIO S38 · 13 mars 2026</t>
        </is>
      </c>
      <c r="J431" s="1665" t="n"/>
      <c r="K431" s="1665" t="n"/>
      <c r="L431" s="1665" t="n"/>
      <c r="M431" s="1665" t="n"/>
      <c r="N431" s="1665" t="n"/>
      <c r="O431" s="1665" t="n"/>
      <c r="P431" s="1665" t="n"/>
      <c r="Q431" s="1665" t="n"/>
      <c r="R431" s="1665" t="n"/>
      <c r="S431" s="1665" t="n"/>
      <c r="T431" s="1665" t="n"/>
      <c r="U431" s="1665" t="n"/>
      <c r="V431" s="1665" t="n"/>
      <c r="W431" s="1665" t="n"/>
      <c r="X431" s="1665" t="n"/>
      <c r="Y431" s="1665" t="n"/>
      <c r="Z431" s="1665" t="n"/>
    </row>
    <row r="432" ht="20" customHeight="1" s="1666">
      <c r="A432" s="3280" t="inlineStr">
        <is>
          <t>TFSA 📈</t>
        </is>
      </c>
      <c r="B432" s="3278" t="inlineStr">
        <is>
          <t>$68,137 CAD · 26 positions · ATH $87,252 (10 mars) · AVGO/VFV/XEQT leaders</t>
        </is>
      </c>
      <c r="J432" s="1665" t="n"/>
      <c r="K432" s="1665" t="n"/>
      <c r="L432" s="1665" t="n"/>
      <c r="M432" s="1665" t="n"/>
      <c r="N432" s="1665" t="n"/>
      <c r="O432" s="1665" t="n"/>
      <c r="P432" s="1665" t="n"/>
      <c r="Q432" s="1665" t="n"/>
      <c r="R432" s="1665" t="n"/>
      <c r="S432" s="1665" t="n"/>
      <c r="T432" s="1665" t="n"/>
      <c r="U432" s="1665" t="n"/>
      <c r="V432" s="1665" t="n"/>
      <c r="W432" s="1665" t="n"/>
      <c r="X432" s="1665" t="n"/>
      <c r="Y432" s="1665" t="n"/>
      <c r="Z432" s="1665" t="n"/>
    </row>
    <row r="433" ht="20" customHeight="1" s="1666">
      <c r="A433" s="3280" t="inlineStr">
        <is>
          <t>FHSA 🏠</t>
        </is>
      </c>
      <c r="B433" s="3278" t="inlineStr">
        <is>
          <t>$18,772 CAD · 12 positions · XEQT 100u @$39.93 · room ~$9,700 restant</t>
        </is>
      </c>
      <c r="J433" s="1665" t="n"/>
      <c r="K433" s="1665" t="n"/>
      <c r="L433" s="1665" t="n"/>
      <c r="M433" s="1665" t="n"/>
      <c r="N433" s="1665" t="n"/>
      <c r="O433" s="1665" t="n"/>
      <c r="P433" s="1665" t="n"/>
      <c r="Q433" s="1665" t="n"/>
      <c r="R433" s="1665" t="n"/>
      <c r="S433" s="1665" t="n"/>
      <c r="T433" s="1665" t="n"/>
      <c r="U433" s="1665" t="n"/>
      <c r="V433" s="1665" t="n"/>
      <c r="W433" s="1665" t="n"/>
      <c r="X433" s="1665" t="n"/>
      <c r="Y433" s="1665" t="n"/>
      <c r="Z433" s="1665" t="n"/>
    </row>
    <row r="434" ht="20" customHeight="1" s="1666">
      <c r="A434" s="3280" t="inlineStr">
        <is>
          <t>REER ❄️</t>
        </is>
      </c>
      <c r="B434" s="3278" t="inlineStr">
        <is>
          <t>$2,765 CAD · SCHD 64.3053u · $2K/mois → SCHD · snowball ARC +$1,060/mois</t>
        </is>
      </c>
      <c r="J434" s="1665" t="n"/>
      <c r="K434" s="1665" t="n"/>
      <c r="L434" s="1665" t="n"/>
      <c r="M434" s="1665" t="n"/>
      <c r="N434" s="1665" t="n"/>
      <c r="O434" s="1665" t="n"/>
      <c r="P434" s="1665" t="n"/>
      <c r="Q434" s="1665" t="n"/>
      <c r="R434" s="1665" t="n"/>
      <c r="S434" s="1665" t="n"/>
      <c r="T434" s="1665" t="n"/>
      <c r="U434" s="1665" t="n"/>
      <c r="V434" s="1665" t="n"/>
      <c r="W434" s="1665" t="n"/>
      <c r="X434" s="1665" t="n"/>
      <c r="Y434" s="1665" t="n"/>
      <c r="Z434" s="1665" t="n"/>
    </row>
    <row r="435" ht="20" customHeight="1" s="1666">
      <c r="A435" s="3280" t="inlineStr">
        <is>
          <t>TOTAL</t>
        </is>
      </c>
      <c r="B435" s="3278" t="inlineStr">
        <is>
          <t>~$89,674 CAD · P&amp;L +$13,904 (+18.4%) · USD expo ~44.7% ✅ · IA expo ~37% ✅</t>
        </is>
      </c>
      <c r="J435" s="1665" t="n"/>
      <c r="K435" s="1665" t="n"/>
      <c r="L435" s="1665" t="n"/>
      <c r="M435" s="1665" t="n"/>
      <c r="N435" s="1665" t="n"/>
      <c r="O435" s="1665" t="n"/>
      <c r="P435" s="1665" t="n"/>
      <c r="Q435" s="1665" t="n"/>
      <c r="R435" s="1665" t="n"/>
      <c r="S435" s="1665" t="n"/>
      <c r="T435" s="1665" t="n"/>
      <c r="U435" s="1665" t="n"/>
      <c r="V435" s="1665" t="n"/>
      <c r="W435" s="1665" t="n"/>
      <c r="X435" s="1665" t="n"/>
      <c r="Y435" s="1665" t="n"/>
      <c r="Z435" s="1665" t="n"/>
    </row>
    <row r="436" ht="15.75" customHeight="1" s="1666">
      <c r="J436" s="1665" t="n"/>
      <c r="K436" s="1665" t="n"/>
      <c r="L436" s="1665" t="n"/>
      <c r="M436" s="1665" t="n"/>
      <c r="N436" s="1665" t="n"/>
      <c r="O436" s="1665" t="n"/>
      <c r="P436" s="1665" t="n"/>
      <c r="Q436" s="1665" t="n"/>
      <c r="R436" s="1665" t="n"/>
      <c r="S436" s="1665" t="n"/>
      <c r="T436" s="1665" t="n"/>
      <c r="U436" s="1665" t="n"/>
      <c r="V436" s="1665" t="n"/>
      <c r="W436" s="1665" t="n"/>
      <c r="X436" s="1665" t="n"/>
      <c r="Y436" s="1665" t="n"/>
      <c r="Z436" s="1665" t="n"/>
    </row>
    <row r="437" ht="22" customHeight="1" s="1666">
      <c r="A437" s="3281" t="inlineStr">
        <is>
          <t>🚨  URGENCES OUVERTES · Adresser en PREMIER · Coût d'inaction réel</t>
        </is>
      </c>
      <c r="J437" s="1665" t="n"/>
      <c r="K437" s="1665" t="n"/>
      <c r="L437" s="1665" t="n"/>
      <c r="M437" s="1665" t="n"/>
      <c r="N437" s="1665" t="n"/>
      <c r="O437" s="1665" t="n"/>
      <c r="P437" s="1665" t="n"/>
      <c r="Q437" s="1665" t="n"/>
      <c r="R437" s="1665" t="n"/>
      <c r="S437" s="1665" t="n"/>
      <c r="T437" s="1665" t="n"/>
      <c r="U437" s="1665" t="n"/>
      <c r="V437" s="1665" t="n"/>
      <c r="W437" s="1665" t="n"/>
      <c r="X437" s="1665" t="n"/>
      <c r="Y437" s="1665" t="n"/>
      <c r="Z437" s="1665" t="n"/>
    </row>
    <row r="438" ht="20" customHeight="1" s="1666">
      <c r="A438" s="3282" t="inlineStr">
        <is>
          <t>🔴 EQ Bank HISA</t>
        </is>
      </c>
      <c r="B438" s="3278" t="inlineStr">
        <is>
          <t>JAMAIS OUVERT · S17→S38 · eqbank.ca → 15 min → ~$600/an · ÉLIMINER CE PATTERN</t>
        </is>
      </c>
      <c r="J438" s="1665" t="n"/>
      <c r="K438" s="1665" t="n"/>
      <c r="L438" s="1665" t="n"/>
      <c r="M438" s="1665" t="n"/>
      <c r="N438" s="1665" t="n"/>
      <c r="O438" s="1665" t="n"/>
      <c r="P438" s="1665" t="n"/>
      <c r="Q438" s="1665" t="n"/>
      <c r="R438" s="1665" t="n"/>
      <c r="S438" s="1665" t="n"/>
      <c r="T438" s="1665" t="n"/>
      <c r="U438" s="1665" t="n"/>
      <c r="V438" s="1665" t="n"/>
      <c r="W438" s="1665" t="n"/>
      <c r="X438" s="1665" t="n"/>
      <c r="Y438" s="1665" t="n"/>
      <c r="Z438" s="1665" t="n"/>
    </row>
    <row r="439" ht="20" customHeight="1" s="1666">
      <c r="A439" s="3282" t="inlineStr">
        <is>
          <t>🔴 Bénéficiaires Questrade</t>
        </is>
      </c>
      <c r="B439" s="3278" t="inlineStr">
        <is>
          <t>~$90K non protégé · My Account → Beneficiaries → 5 min · URGENT</t>
        </is>
      </c>
      <c r="J439" s="1665" t="n"/>
      <c r="K439" s="1665" t="n"/>
      <c r="L439" s="1665" t="n"/>
      <c r="M439" s="1665" t="n"/>
      <c r="N439" s="1665" t="n"/>
      <c r="O439" s="1665" t="n"/>
      <c r="P439" s="1665" t="n"/>
      <c r="Q439" s="1665" t="n"/>
      <c r="R439" s="1665" t="n"/>
      <c r="S439" s="1665" t="n"/>
      <c r="T439" s="1665" t="n"/>
      <c r="U439" s="1665" t="n"/>
      <c r="V439" s="1665" t="n"/>
      <c r="W439" s="1665" t="n"/>
      <c r="X439" s="1665" t="n"/>
      <c r="Y439" s="1665" t="n"/>
      <c r="Z439" s="1665" t="n"/>
    </row>
    <row r="440" ht="20" customHeight="1" s="1666">
      <c r="A440" s="3282" t="inlineStr">
        <is>
          <t>💰 Analyse $12K rétro</t>
        </is>
      </c>
      <c r="B440" s="3278" t="inlineStr">
        <is>
          <t>PRIORITÉ #1 S38 · FHSA room ~$9,700 d'abord · puis TFSA · prix live requis</t>
        </is>
      </c>
      <c r="J440" s="1665" t="n"/>
      <c r="K440" s="1665" t="n"/>
      <c r="L440" s="1665" t="n"/>
      <c r="M440" s="1665" t="n"/>
      <c r="N440" s="1665" t="n"/>
      <c r="O440" s="1665" t="n"/>
      <c r="P440" s="1665" t="n"/>
      <c r="Q440" s="1665" t="n"/>
      <c r="R440" s="1665" t="n"/>
      <c r="S440" s="1665" t="n"/>
      <c r="T440" s="1665" t="n"/>
      <c r="U440" s="1665" t="n"/>
      <c r="V440" s="1665" t="n"/>
      <c r="W440" s="1665" t="n"/>
      <c r="X440" s="1665" t="n"/>
      <c r="Y440" s="1665" t="n"/>
      <c r="Z440" s="1665" t="n"/>
    </row>
    <row r="441" ht="20" customHeight="1" s="1666">
      <c r="A441" s="3282" t="inlineStr">
        <is>
          <t>📅 BdC 18 mars</t>
        </is>
      </c>
      <c r="B441" s="3278" t="inlineStr">
        <is>
          <t>Attendre verdict avant recyclage FHSA T4 (~$4,318 : REI+SRU+XEI+ZLB → VFV/XEQT)</t>
        </is>
      </c>
      <c r="J441" s="1665" t="n"/>
      <c r="K441" s="1665" t="n"/>
      <c r="L441" s="1665" t="n"/>
      <c r="M441" s="1665" t="n"/>
      <c r="N441" s="1665" t="n"/>
      <c r="O441" s="1665" t="n"/>
      <c r="P441" s="1665" t="n"/>
      <c r="Q441" s="1665" t="n"/>
      <c r="R441" s="1665" t="n"/>
      <c r="S441" s="1665" t="n"/>
      <c r="T441" s="1665" t="n"/>
      <c r="U441" s="1665" t="n"/>
      <c r="V441" s="1665" t="n"/>
      <c r="W441" s="1665" t="n"/>
      <c r="X441" s="1665" t="n"/>
      <c r="Y441" s="1665" t="n"/>
      <c r="Z441" s="1665" t="n"/>
    </row>
    <row r="442" ht="20" customHeight="1" s="1666">
      <c r="A442" s="3282" t="inlineStr">
        <is>
          <t>🔔 Verdicts J+30</t>
        </is>
      </c>
      <c r="B442" s="3278" t="inlineStr">
        <is>
          <t>11 avril (AVGO·SMH·GEV·SCHD) · 13 avril (XEQT) · alarmes posées?</t>
        </is>
      </c>
      <c r="J442" s="1665" t="n"/>
      <c r="K442" s="1665" t="n"/>
      <c r="L442" s="1665" t="n"/>
      <c r="M442" s="1665" t="n"/>
      <c r="N442" s="1665" t="n"/>
      <c r="O442" s="1665" t="n"/>
      <c r="P442" s="1665" t="n"/>
      <c r="Q442" s="1665" t="n"/>
      <c r="R442" s="1665" t="n"/>
      <c r="S442" s="1665" t="n"/>
      <c r="T442" s="1665" t="n"/>
      <c r="U442" s="1665" t="n"/>
      <c r="V442" s="1665" t="n"/>
      <c r="W442" s="1665" t="n"/>
      <c r="X442" s="1665" t="n"/>
      <c r="Y442" s="1665" t="n"/>
      <c r="Z442" s="1665" t="n"/>
    </row>
    <row r="443" ht="15.75" customHeight="1" s="1666">
      <c r="J443" s="1665" t="n"/>
      <c r="K443" s="1665" t="n"/>
      <c r="L443" s="1665" t="n"/>
      <c r="M443" s="1665" t="n"/>
      <c r="N443" s="1665" t="n"/>
      <c r="O443" s="1665" t="n"/>
      <c r="P443" s="1665" t="n"/>
      <c r="Q443" s="1665" t="n"/>
      <c r="R443" s="1665" t="n"/>
      <c r="S443" s="1665" t="n"/>
      <c r="T443" s="1665" t="n"/>
      <c r="U443" s="1665" t="n"/>
      <c r="V443" s="1665" t="n"/>
      <c r="W443" s="1665" t="n"/>
      <c r="X443" s="1665" t="n"/>
      <c r="Y443" s="1665" t="n"/>
      <c r="Z443" s="1665" t="n"/>
    </row>
    <row r="444" ht="22" customHeight="1" s="1666">
      <c r="A444" s="3283" t="inlineStr">
        <is>
          <t>💰  PLAN MENSUEL $5,000 · Automatique · S16 confirmé</t>
        </is>
      </c>
      <c r="J444" s="1665" t="n"/>
      <c r="K444" s="1665" t="n"/>
      <c r="L444" s="1665" t="n"/>
      <c r="M444" s="1665" t="n"/>
      <c r="N444" s="1665" t="n"/>
      <c r="O444" s="1665" t="n"/>
      <c r="P444" s="1665" t="n"/>
      <c r="Q444" s="1665" t="n"/>
      <c r="R444" s="1665" t="n"/>
      <c r="S444" s="1665" t="n"/>
      <c r="T444" s="1665" t="n"/>
      <c r="U444" s="1665" t="n"/>
      <c r="V444" s="1665" t="n"/>
      <c r="W444" s="1665" t="n"/>
      <c r="X444" s="1665" t="n"/>
      <c r="Y444" s="1665" t="n"/>
      <c r="Z444" s="1665" t="n"/>
    </row>
    <row r="445" ht="20" customHeight="1" s="1666">
      <c r="A445" s="3284" t="inlineStr">
        <is>
          <t>REER $2,000</t>
        </is>
      </c>
      <c r="B445" s="3278" t="inlineStr">
        <is>
          <t>→ SCHD · le 15 chaque mois · snowball ARC +$1,060/mois (52.98%)</t>
        </is>
      </c>
      <c r="J445" s="1665" t="n"/>
      <c r="K445" s="1665" t="n"/>
      <c r="L445" s="1665" t="n"/>
      <c r="M445" s="1665" t="n"/>
      <c r="N445" s="1665" t="n"/>
      <c r="O445" s="1665" t="n"/>
      <c r="P445" s="1665" t="n"/>
      <c r="Q445" s="1665" t="n"/>
      <c r="R445" s="1665" t="n"/>
      <c r="S445" s="1665" t="n"/>
      <c r="T445" s="1665" t="n"/>
      <c r="U445" s="1665" t="n"/>
      <c r="V445" s="1665" t="n"/>
      <c r="W445" s="1665" t="n"/>
      <c r="X445" s="1665" t="n"/>
      <c r="Y445" s="1665" t="n"/>
      <c r="Z445" s="1665" t="n"/>
    </row>
    <row r="446" ht="20" customHeight="1" s="1666">
      <c r="A446" s="3284" t="inlineStr">
        <is>
          <t>FHSA $1,000</t>
        </is>
      </c>
      <c r="B446" s="3278" t="inlineStr">
        <is>
          <t>→ VFV.TO · double exonération · priorité absolue d'allocation</t>
        </is>
      </c>
      <c r="J446" s="1665" t="n"/>
      <c r="K446" s="1665" t="n"/>
      <c r="L446" s="1665" t="n"/>
      <c r="M446" s="1665" t="n"/>
      <c r="N446" s="1665" t="n"/>
      <c r="O446" s="1665" t="n"/>
      <c r="P446" s="1665" t="n"/>
      <c r="Q446" s="1665" t="n"/>
      <c r="R446" s="1665" t="n"/>
      <c r="S446" s="1665" t="n"/>
      <c r="T446" s="1665" t="n"/>
      <c r="U446" s="1665" t="n"/>
      <c r="V446" s="1665" t="n"/>
      <c r="W446" s="1665" t="n"/>
      <c r="X446" s="1665" t="n"/>
      <c r="Y446" s="1665" t="n"/>
      <c r="Z446" s="1665" t="n"/>
    </row>
    <row r="447" ht="20" customHeight="1" s="1666">
      <c r="A447" s="3284" t="inlineStr">
        <is>
          <t>TFSA $500</t>
        </is>
      </c>
      <c r="B447" s="3278" t="inlineStr">
        <is>
          <t>→ AVGO fractional · T1 concentration</t>
        </is>
      </c>
      <c r="J447" s="1665" t="n"/>
      <c r="K447" s="1665" t="n"/>
      <c r="L447" s="1665" t="n"/>
      <c r="M447" s="1665" t="n"/>
      <c r="N447" s="1665" t="n"/>
      <c r="O447" s="1665" t="n"/>
      <c r="P447" s="1665" t="n"/>
      <c r="Q447" s="1665" t="n"/>
      <c r="R447" s="1665" t="n"/>
      <c r="S447" s="1665" t="n"/>
      <c r="T447" s="1665" t="n"/>
      <c r="U447" s="1665" t="n"/>
      <c r="V447" s="1665" t="n"/>
      <c r="W447" s="1665" t="n"/>
      <c r="X447" s="1665" t="n"/>
      <c r="Y447" s="1665" t="n"/>
      <c r="Z447" s="1665" t="n"/>
    </row>
    <row r="448" ht="20" customHeight="1" s="1666">
      <c r="A448" s="3284" t="inlineStr">
        <is>
          <t>EQ Bank $1,500</t>
        </is>
      </c>
      <c r="B448" s="3278" t="inlineStr">
        <is>
          <t>→ fonds urgence · cible $15K · 🔴 PAS ENCORE OUVERT · ouvrir CETTE SEMAINE</t>
        </is>
      </c>
      <c r="J448" s="1665" t="n"/>
      <c r="K448" s="1665" t="n"/>
      <c r="L448" s="1665" t="n"/>
      <c r="M448" s="1665" t="n"/>
      <c r="N448" s="1665" t="n"/>
      <c r="O448" s="1665" t="n"/>
      <c r="P448" s="1665" t="n"/>
      <c r="Q448" s="1665" t="n"/>
      <c r="R448" s="1665" t="n"/>
      <c r="S448" s="1665" t="n"/>
      <c r="T448" s="1665" t="n"/>
      <c r="U448" s="1665" t="n"/>
      <c r="V448" s="1665" t="n"/>
      <c r="W448" s="1665" t="n"/>
      <c r="X448" s="1665" t="n"/>
      <c r="Y448" s="1665" t="n"/>
      <c r="Z448" s="1665" t="n"/>
    </row>
    <row r="449" ht="20" customHeight="1" s="1666">
      <c r="A449" s="3284" t="inlineStr">
        <is>
          <t>Surplus $1,768</t>
        </is>
      </c>
      <c r="B449" s="3278" t="inlineStr">
        <is>
          <t>→ chèque intentionnel · disponible pour opportunités ou dip exceptionnel</t>
        </is>
      </c>
      <c r="J449" s="1665" t="n"/>
      <c r="K449" s="1665" t="n"/>
      <c r="L449" s="1665" t="n"/>
      <c r="M449" s="1665" t="n"/>
      <c r="N449" s="1665" t="n"/>
      <c r="O449" s="1665" t="n"/>
      <c r="P449" s="1665" t="n"/>
      <c r="Q449" s="1665" t="n"/>
      <c r="R449" s="1665" t="n"/>
      <c r="S449" s="1665" t="n"/>
      <c r="T449" s="1665" t="n"/>
      <c r="U449" s="1665" t="n"/>
      <c r="V449" s="1665" t="n"/>
      <c r="W449" s="1665" t="n"/>
      <c r="X449" s="1665" t="n"/>
      <c r="Y449" s="1665" t="n"/>
      <c r="Z449" s="1665" t="n"/>
    </row>
    <row r="450" ht="15.75" customHeight="1" s="1666">
      <c r="J450" s="1665" t="n"/>
      <c r="K450" s="1665" t="n"/>
      <c r="L450" s="1665" t="n"/>
      <c r="M450" s="1665" t="n"/>
      <c r="N450" s="1665" t="n"/>
      <c r="O450" s="1665" t="n"/>
      <c r="P450" s="1665" t="n"/>
      <c r="Q450" s="1665" t="n"/>
      <c r="R450" s="1665" t="n"/>
      <c r="S450" s="1665" t="n"/>
      <c r="T450" s="1665" t="n"/>
      <c r="U450" s="1665" t="n"/>
      <c r="V450" s="1665" t="n"/>
      <c r="W450" s="1665" t="n"/>
      <c r="X450" s="1665" t="n"/>
      <c r="Y450" s="1665" t="n"/>
      <c r="Z450" s="1665" t="n"/>
    </row>
    <row r="451" ht="22" customHeight="1" s="1666">
      <c r="A451" s="3285" t="inlineStr">
        <is>
          <t>🎯  SYSTÈME DE TIERS · Objectif · Jamais subjectif</t>
        </is>
      </c>
      <c r="J451" s="1665" t="n"/>
      <c r="K451" s="1665" t="n"/>
      <c r="L451" s="1665" t="n"/>
      <c r="M451" s="1665" t="n"/>
      <c r="N451" s="1665" t="n"/>
      <c r="O451" s="1665" t="n"/>
      <c r="P451" s="1665" t="n"/>
      <c r="Q451" s="1665" t="n"/>
      <c r="R451" s="1665" t="n"/>
      <c r="S451" s="1665" t="n"/>
      <c r="T451" s="1665" t="n"/>
      <c r="U451" s="1665" t="n"/>
      <c r="V451" s="1665" t="n"/>
      <c r="W451" s="1665" t="n"/>
      <c r="X451" s="1665" t="n"/>
      <c r="Y451" s="1665" t="n"/>
      <c r="Z451" s="1665" t="n"/>
    </row>
    <row r="452" ht="20" customHeight="1" s="1666">
      <c r="A452" s="3286" t="inlineStr">
        <is>
          <t>T1 — Conviction</t>
        </is>
      </c>
      <c r="B452" s="3278" t="inlineStr">
        <is>
          <t>AVGO · SMH · VFV.TO · GOOG · AMZN · META · ENB.TO · GEV · SCHD · XEQT.TO</t>
        </is>
      </c>
      <c r="J452" s="1665" t="n"/>
      <c r="K452" s="1665" t="n"/>
      <c r="L452" s="1665" t="n"/>
      <c r="M452" s="1665" t="n"/>
      <c r="N452" s="1665" t="n"/>
      <c r="O452" s="1665" t="n"/>
      <c r="P452" s="1665" t="n"/>
      <c r="Q452" s="1665" t="n"/>
      <c r="R452" s="1665" t="n"/>
      <c r="S452" s="1665" t="n"/>
      <c r="T452" s="1665" t="n"/>
      <c r="U452" s="1665" t="n"/>
      <c r="V452" s="1665" t="n"/>
      <c r="W452" s="1665" t="n"/>
      <c r="X452" s="1665" t="n"/>
      <c r="Y452" s="1665" t="n"/>
      <c r="Z452" s="1665" t="n"/>
    </row>
    <row r="453" ht="20" customHeight="1" s="1666">
      <c r="A453" s="3286" t="inlineStr">
        <is>
          <t>T2 — Dip seulement</t>
        </is>
      </c>
      <c r="B453" s="3278" t="inlineStr">
        <is>
          <t>MSFT · NVDA · QQQM · SPGI · JEPI · TSLA</t>
        </is>
      </c>
      <c r="J453" s="1665" t="n"/>
      <c r="K453" s="1665" t="n"/>
      <c r="L453" s="1665" t="n"/>
      <c r="M453" s="1665" t="n"/>
      <c r="N453" s="1665" t="n"/>
      <c r="O453" s="1665" t="n"/>
      <c r="P453" s="1665" t="n"/>
      <c r="Q453" s="1665" t="n"/>
      <c r="R453" s="1665" t="n"/>
      <c r="S453" s="1665" t="n"/>
      <c r="T453" s="1665" t="n"/>
      <c r="U453" s="1665" t="n"/>
      <c r="V453" s="1665" t="n"/>
      <c r="W453" s="1665" t="n"/>
      <c r="X453" s="1665" t="n"/>
      <c r="Y453" s="1665" t="n"/>
      <c r="Z453" s="1665" t="n"/>
    </row>
    <row r="454" ht="20" customHeight="1" s="1666">
      <c r="A454" s="3286" t="inlineStr">
        <is>
          <t>T3 — Hold, no accumulate</t>
        </is>
      </c>
      <c r="B454" s="3278" t="inlineStr">
        <is>
          <t>H.TO · TD.TO · HURA.TO · QTUM · ZLB.TO</t>
        </is>
      </c>
      <c r="J454" s="1665" t="n"/>
      <c r="K454" s="1665" t="n"/>
      <c r="L454" s="1665" t="n"/>
      <c r="M454" s="1665" t="n"/>
      <c r="N454" s="1665" t="n"/>
      <c r="O454" s="1665" t="n"/>
      <c r="P454" s="1665" t="n"/>
      <c r="Q454" s="1665" t="n"/>
      <c r="R454" s="1665" t="n"/>
      <c r="S454" s="1665" t="n"/>
      <c r="T454" s="1665" t="n"/>
      <c r="U454" s="1665" t="n"/>
      <c r="V454" s="1665" t="n"/>
      <c r="W454" s="1665" t="n"/>
      <c r="X454" s="1665" t="n"/>
      <c r="Y454" s="1665" t="n"/>
      <c r="Z454" s="1665" t="n"/>
    </row>
    <row r="455" ht="20" customHeight="1" s="1666">
      <c r="A455" s="3286" t="inlineStr">
        <is>
          <t>T4 — Diluer naturellement</t>
        </is>
      </c>
      <c r="B455" s="3278" t="inlineStr">
        <is>
          <t>REI.UN.TO · ZRE.TO · SRU.UN.TO · XEI.TO · XIC.TO · VDU.TO</t>
        </is>
      </c>
      <c r="J455" s="1665" t="n"/>
      <c r="K455" s="1665" t="n"/>
      <c r="L455" s="1665" t="n"/>
      <c r="M455" s="1665" t="n"/>
      <c r="N455" s="1665" t="n"/>
      <c r="O455" s="1665" t="n"/>
      <c r="P455" s="1665" t="n"/>
      <c r="Q455" s="1665" t="n"/>
      <c r="R455" s="1665" t="n"/>
      <c r="S455" s="1665" t="n"/>
      <c r="T455" s="1665" t="n"/>
      <c r="U455" s="1665" t="n"/>
      <c r="V455" s="1665" t="n"/>
      <c r="W455" s="1665" t="n"/>
      <c r="X455" s="1665" t="n"/>
      <c r="Y455" s="1665" t="n"/>
      <c r="Z455" s="1665" t="n"/>
    </row>
    <row r="456" ht="20" customHeight="1" s="1666">
      <c r="A456" s="3286" t="inlineStr">
        <is>
          <t>JAMAIS VENDRE</t>
        </is>
      </c>
      <c r="B456" s="3278" t="inlineStr">
        <is>
          <t>T.TO + MFC.TO TFSA · room contribution perdu si vendu · règle absolue</t>
        </is>
      </c>
      <c r="J456" s="1665" t="n"/>
      <c r="K456" s="1665" t="n"/>
      <c r="L456" s="1665" t="n"/>
      <c r="M456" s="1665" t="n"/>
      <c r="N456" s="1665" t="n"/>
      <c r="O456" s="1665" t="n"/>
      <c r="P456" s="1665" t="n"/>
      <c r="Q456" s="1665" t="n"/>
      <c r="R456" s="1665" t="n"/>
      <c r="S456" s="1665" t="n"/>
      <c r="T456" s="1665" t="n"/>
      <c r="U456" s="1665" t="n"/>
      <c r="V456" s="1665" t="n"/>
      <c r="W456" s="1665" t="n"/>
      <c r="X456" s="1665" t="n"/>
      <c r="Y456" s="1665" t="n"/>
      <c r="Z456" s="1665" t="n"/>
    </row>
    <row r="457" ht="15.75" customHeight="1" s="1666">
      <c r="J457" s="1665" t="n"/>
      <c r="K457" s="1665" t="n"/>
      <c r="L457" s="1665" t="n"/>
      <c r="M457" s="1665" t="n"/>
      <c r="N457" s="1665" t="n"/>
      <c r="O457" s="1665" t="n"/>
      <c r="P457" s="1665" t="n"/>
      <c r="Q457" s="1665" t="n"/>
      <c r="R457" s="1665" t="n"/>
      <c r="S457" s="1665" t="n"/>
      <c r="T457" s="1665" t="n"/>
      <c r="U457" s="1665" t="n"/>
      <c r="V457" s="1665" t="n"/>
      <c r="W457" s="1665" t="n"/>
      <c r="X457" s="1665" t="n"/>
      <c r="Y457" s="1665" t="n"/>
      <c r="Z457" s="1665" t="n"/>
    </row>
    <row r="458" ht="22" customHeight="1" s="1666">
      <c r="A458" s="3287" t="inlineStr">
        <is>
          <t>🔭  UNIVERS S37 · 46 tickers scorés /100 · Onglet dédié dans ce fichier</t>
        </is>
      </c>
      <c r="J458" s="1665" t="n"/>
      <c r="K458" s="1665" t="n"/>
      <c r="L458" s="1665" t="n"/>
      <c r="M458" s="1665" t="n"/>
      <c r="N458" s="1665" t="n"/>
      <c r="O458" s="1665" t="n"/>
      <c r="P458" s="1665" t="n"/>
      <c r="Q458" s="1665" t="n"/>
      <c r="R458" s="1665" t="n"/>
      <c r="S458" s="1665" t="n"/>
      <c r="T458" s="1665" t="n"/>
      <c r="U458" s="1665" t="n"/>
      <c r="V458" s="1665" t="n"/>
      <c r="W458" s="1665" t="n"/>
      <c r="X458" s="1665" t="n"/>
      <c r="Y458" s="1665" t="n"/>
      <c r="Z458" s="1665" t="n"/>
    </row>
    <row r="459" ht="20" customHeight="1" s="1666">
      <c r="A459" s="3288" t="inlineStr">
        <is>
          <t>Top T1 scores</t>
        </is>
      </c>
      <c r="B459" s="3278" t="inlineStr">
        <is>
          <t>VFV.TO 94 · SCHD 91 · XEQT.TO 90 · AVGO 89 · GOOG 88 · SMH 87</t>
        </is>
      </c>
      <c r="J459" s="1665" t="n"/>
      <c r="K459" s="1665" t="n"/>
      <c r="L459" s="1665" t="n"/>
      <c r="M459" s="1665" t="n"/>
      <c r="N459" s="1665" t="n"/>
      <c r="O459" s="1665" t="n"/>
      <c r="P459" s="1665" t="n"/>
      <c r="Q459" s="1665" t="n"/>
      <c r="R459" s="1665" t="n"/>
      <c r="S459" s="1665" t="n"/>
      <c r="T459" s="1665" t="n"/>
      <c r="U459" s="1665" t="n"/>
      <c r="V459" s="1665" t="n"/>
      <c r="W459" s="1665" t="n"/>
      <c r="X459" s="1665" t="n"/>
      <c r="Y459" s="1665" t="n"/>
      <c r="Z459" s="1665" t="n"/>
    </row>
    <row r="460" ht="20" customHeight="1" s="1666">
      <c r="A460" s="3288" t="inlineStr">
        <is>
          <t>Candidats top</t>
        </is>
      </c>
      <c r="B460" s="3278" t="inlineStr">
        <is>
          <t>VEQT.TO 91 · VIG 86 · CGDV 85 · SOXX 84 · BN.TO 83 · DGRO 82</t>
        </is>
      </c>
      <c r="J460" s="1665" t="n"/>
      <c r="K460" s="1665" t="n"/>
      <c r="L460" s="1665" t="n"/>
      <c r="M460" s="1665" t="n"/>
      <c r="N460" s="1665" t="n"/>
      <c r="O460" s="1665" t="n"/>
      <c r="P460" s="1665" t="n"/>
      <c r="Q460" s="1665" t="n"/>
      <c r="R460" s="1665" t="n"/>
      <c r="S460" s="1665" t="n"/>
      <c r="T460" s="1665" t="n"/>
      <c r="U460" s="1665" t="n"/>
      <c r="V460" s="1665" t="n"/>
      <c r="W460" s="1665" t="n"/>
      <c r="X460" s="1665" t="n"/>
      <c r="Y460" s="1665" t="n"/>
      <c r="Z460" s="1665" t="n"/>
    </row>
    <row r="461" ht="20" customHeight="1" s="1666">
      <c r="A461" s="3288" t="inlineStr">
        <is>
          <t>T4 scores faibles</t>
        </is>
      </c>
      <c r="B461" s="3278" t="inlineStr">
        <is>
          <t>T.TO 58 · MFC.TO 56 · REI.UN.TO 53 · ZRE.TO 54 · SRU.UN.TO 55</t>
        </is>
      </c>
      <c r="J461" s="1665" t="n"/>
      <c r="K461" s="1665" t="n"/>
      <c r="L461" s="1665" t="n"/>
      <c r="M461" s="1665" t="n"/>
      <c r="N461" s="1665" t="n"/>
      <c r="O461" s="1665" t="n"/>
      <c r="P461" s="1665" t="n"/>
      <c r="Q461" s="1665" t="n"/>
      <c r="R461" s="1665" t="n"/>
      <c r="S461" s="1665" t="n"/>
      <c r="T461" s="1665" t="n"/>
      <c r="U461" s="1665" t="n"/>
      <c r="V461" s="1665" t="n"/>
      <c r="W461" s="1665" t="n"/>
      <c r="X461" s="1665" t="n"/>
      <c r="Y461" s="1665" t="n"/>
      <c r="Z461" s="1665" t="n"/>
    </row>
    <row r="462" ht="20" customHeight="1" s="1666">
      <c r="A462" s="3288" t="inlineStr">
        <is>
          <t>Règle R-ANA-04</t>
        </is>
      </c>
      <c r="B462" s="3278" t="inlineStr">
        <is>
          <t>Avant toute reco → vérifier UNIVERS si alternatif score &gt; position actuelle</t>
        </is>
      </c>
      <c r="J462" s="1665" t="n"/>
      <c r="K462" s="1665" t="n"/>
      <c r="L462" s="1665" t="n"/>
      <c r="M462" s="1665" t="n"/>
      <c r="N462" s="1665" t="n"/>
      <c r="O462" s="1665" t="n"/>
      <c r="P462" s="1665" t="n"/>
      <c r="Q462" s="1665" t="n"/>
      <c r="R462" s="1665" t="n"/>
      <c r="S462" s="1665" t="n"/>
      <c r="T462" s="1665" t="n"/>
      <c r="U462" s="1665" t="n"/>
      <c r="V462" s="1665" t="n"/>
      <c r="W462" s="1665" t="n"/>
      <c r="X462" s="1665" t="n"/>
      <c r="Y462" s="1665" t="n"/>
      <c r="Z462" s="1665" t="n"/>
    </row>
    <row r="463" ht="20" customHeight="1" s="1666">
      <c r="A463" s="3288" t="inlineStr">
        <is>
          <t>Recyclage FHSA T4</t>
        </is>
      </c>
      <c r="B463" s="3278" t="inlineStr">
        <is>
          <t>REI 80u~$1,522 + SRU 63u~$1,690 + XEI 26u~$930 + ZLB 3u~$176 = ~$4,318 → VFV/XEQT</t>
        </is>
      </c>
      <c r="J463" s="1665" t="n"/>
      <c r="K463" s="1665" t="n"/>
      <c r="L463" s="1665" t="n"/>
      <c r="M463" s="1665" t="n"/>
      <c r="N463" s="1665" t="n"/>
      <c r="O463" s="1665" t="n"/>
      <c r="P463" s="1665" t="n"/>
      <c r="Q463" s="1665" t="n"/>
      <c r="R463" s="1665" t="n"/>
      <c r="S463" s="1665" t="n"/>
      <c r="T463" s="1665" t="n"/>
      <c r="U463" s="1665" t="n"/>
      <c r="V463" s="1665" t="n"/>
      <c r="W463" s="1665" t="n"/>
      <c r="X463" s="1665" t="n"/>
      <c r="Y463" s="1665" t="n"/>
      <c r="Z463" s="1665" t="n"/>
    </row>
    <row r="464" ht="20" customHeight="1" s="1666">
      <c r="A464" s="3288" t="inlineStr">
        <is>
          <t>Rescan UNIVERS</t>
        </is>
      </c>
      <c r="B464" s="3278" t="inlineStr">
        <is>
          <t>1x/mois · prochain S40</t>
        </is>
      </c>
      <c r="J464" s="1665" t="n"/>
      <c r="K464" s="1665" t="n"/>
      <c r="L464" s="1665" t="n"/>
      <c r="M464" s="1665" t="n"/>
      <c r="N464" s="1665" t="n"/>
      <c r="O464" s="1665" t="n"/>
      <c r="P464" s="1665" t="n"/>
      <c r="Q464" s="1665" t="n"/>
      <c r="R464" s="1665" t="n"/>
      <c r="S464" s="1665" t="n"/>
      <c r="T464" s="1665" t="n"/>
      <c r="U464" s="1665" t="n"/>
      <c r="V464" s="1665" t="n"/>
      <c r="W464" s="1665" t="n"/>
      <c r="X464" s="1665" t="n"/>
      <c r="Y464" s="1665" t="n"/>
      <c r="Z464" s="1665" t="n"/>
    </row>
    <row r="465" ht="15.75" customHeight="1" s="1666">
      <c r="J465" s="1665" t="n"/>
      <c r="K465" s="1665" t="n"/>
      <c r="L465" s="1665" t="n"/>
      <c r="M465" s="1665" t="n"/>
      <c r="N465" s="1665" t="n"/>
      <c r="O465" s="1665" t="n"/>
      <c r="P465" s="1665" t="n"/>
      <c r="Q465" s="1665" t="n"/>
      <c r="R465" s="1665" t="n"/>
      <c r="S465" s="1665" t="n"/>
      <c r="T465" s="1665" t="n"/>
      <c r="U465" s="1665" t="n"/>
      <c r="V465" s="1665" t="n"/>
      <c r="W465" s="1665" t="n"/>
      <c r="X465" s="1665" t="n"/>
      <c r="Y465" s="1665" t="n"/>
      <c r="Z465" s="1665" t="n"/>
    </row>
    <row r="466" ht="22" customHeight="1" s="1666">
      <c r="A466" s="3289" t="inlineStr">
        <is>
          <t>⚙️  RÈGLES AUTOMATIQUES CLAUDE · Sans exception · Sans attendre</t>
        </is>
      </c>
      <c r="J466" s="1665" t="n"/>
      <c r="K466" s="1665" t="n"/>
      <c r="L466" s="1665" t="n"/>
      <c r="M466" s="1665" t="n"/>
      <c r="N466" s="1665" t="n"/>
      <c r="O466" s="1665" t="n"/>
      <c r="P466" s="1665" t="n"/>
      <c r="Q466" s="1665" t="n"/>
      <c r="R466" s="1665" t="n"/>
      <c r="S466" s="1665" t="n"/>
      <c r="T466" s="1665" t="n"/>
      <c r="U466" s="1665" t="n"/>
      <c r="V466" s="1665" t="n"/>
      <c r="W466" s="1665" t="n"/>
      <c r="X466" s="1665" t="n"/>
      <c r="Y466" s="1665" t="n"/>
      <c r="Z466" s="1665" t="n"/>
    </row>
    <row r="467" ht="20" customHeight="1" s="1666">
      <c r="A467" s="3290" t="inlineStr">
        <is>
          <t>R-FIN-01</t>
        </is>
      </c>
      <c r="B467" s="3278" t="inlineStr">
        <is>
          <t>Devil's advocate avant toute validation</t>
        </is>
      </c>
      <c r="J467" s="1665" t="n"/>
      <c r="K467" s="1665" t="n"/>
      <c r="L467" s="1665" t="n"/>
      <c r="M467" s="1665" t="n"/>
      <c r="N467" s="1665" t="n"/>
      <c r="O467" s="1665" t="n"/>
      <c r="P467" s="1665" t="n"/>
      <c r="Q467" s="1665" t="n"/>
      <c r="R467" s="1665" t="n"/>
      <c r="S467" s="1665" t="n"/>
      <c r="T467" s="1665" t="n"/>
      <c r="U467" s="1665" t="n"/>
      <c r="V467" s="1665" t="n"/>
      <c r="W467" s="1665" t="n"/>
      <c r="X467" s="1665" t="n"/>
      <c r="Y467" s="1665" t="n"/>
      <c r="Z467" s="1665" t="n"/>
    </row>
    <row r="468" ht="20" customHeight="1" s="1666">
      <c r="A468" s="3290" t="inlineStr">
        <is>
          <t>R-FIN-02</t>
        </is>
      </c>
      <c r="B468" s="3278" t="inlineStr">
        <is>
          <t>Web search complet avant toute recommandation (prix + news + macro)</t>
        </is>
      </c>
      <c r="J468" s="1665" t="n"/>
      <c r="K468" s="1665" t="n"/>
      <c r="L468" s="1665" t="n"/>
      <c r="M468" s="1665" t="n"/>
      <c r="N468" s="1665" t="n"/>
      <c r="O468" s="1665" t="n"/>
      <c r="P468" s="1665" t="n"/>
      <c r="Q468" s="1665" t="n"/>
      <c r="R468" s="1665" t="n"/>
      <c r="S468" s="1665" t="n"/>
      <c r="T468" s="1665" t="n"/>
      <c r="U468" s="1665" t="n"/>
      <c r="V468" s="1665" t="n"/>
      <c r="W468" s="1665" t="n"/>
      <c r="X468" s="1665" t="n"/>
      <c r="Y468" s="1665" t="n"/>
      <c r="Z468" s="1665" t="n"/>
    </row>
    <row r="469" ht="20" customHeight="1" s="1666">
      <c r="A469" s="3290" t="inlineStr">
        <is>
          <t>R-FIN-03</t>
        </is>
      </c>
      <c r="B469" s="3278" t="inlineStr">
        <is>
          <t>USD ≤65% · IA ≤45% · vérifier avant tout achat</t>
        </is>
      </c>
      <c r="J469" s="1665" t="n"/>
      <c r="K469" s="1665" t="n"/>
      <c r="L469" s="1665" t="n"/>
      <c r="M469" s="1665" t="n"/>
      <c r="N469" s="1665" t="n"/>
      <c r="O469" s="1665" t="n"/>
      <c r="P469" s="1665" t="n"/>
      <c r="Q469" s="1665" t="n"/>
      <c r="R469" s="1665" t="n"/>
      <c r="S469" s="1665" t="n"/>
      <c r="T469" s="1665" t="n"/>
      <c r="U469" s="1665" t="n"/>
      <c r="V469" s="1665" t="n"/>
      <c r="W469" s="1665" t="n"/>
      <c r="X469" s="1665" t="n"/>
      <c r="Y469" s="1665" t="n"/>
      <c r="Z469" s="1665" t="n"/>
    </row>
    <row r="470" ht="20" customHeight="1" s="1666">
      <c r="A470" s="3290" t="inlineStr">
        <is>
          <t>R-FIN-04</t>
        </is>
      </c>
      <c r="B470" s="3278" t="inlineStr">
        <is>
          <t>FHSA → REER → TFSA → HISA · ordre strict d'allocation</t>
        </is>
      </c>
      <c r="J470" s="1665" t="n"/>
      <c r="K470" s="1665" t="n"/>
      <c r="L470" s="1665" t="n"/>
      <c r="M470" s="1665" t="n"/>
      <c r="N470" s="1665" t="n"/>
      <c r="O470" s="1665" t="n"/>
      <c r="P470" s="1665" t="n"/>
      <c r="Q470" s="1665" t="n"/>
      <c r="R470" s="1665" t="n"/>
      <c r="S470" s="1665" t="n"/>
      <c r="T470" s="1665" t="n"/>
      <c r="U470" s="1665" t="n"/>
      <c r="V470" s="1665" t="n"/>
      <c r="W470" s="1665" t="n"/>
      <c r="X470" s="1665" t="n"/>
      <c r="Y470" s="1665" t="n"/>
      <c r="Z470" s="1665" t="n"/>
    </row>
    <row r="471" ht="20" customHeight="1" s="1666">
      <c r="A471" s="3290" t="inlineStr">
        <is>
          <t>R-FIN-05</t>
        </is>
      </c>
      <c r="B471" s="3278" t="inlineStr">
        <is>
          <t>Earnings calendar avant achat T1/T2 · no-buy -7j</t>
        </is>
      </c>
      <c r="J471" s="1665" t="n"/>
      <c r="K471" s="1665" t="n"/>
      <c r="L471" s="1665" t="n"/>
      <c r="M471" s="1665" t="n"/>
      <c r="N471" s="1665" t="n"/>
      <c r="O471" s="1665" t="n"/>
      <c r="P471" s="1665" t="n"/>
      <c r="Q471" s="1665" t="n"/>
      <c r="R471" s="1665" t="n"/>
      <c r="S471" s="1665" t="n"/>
      <c r="T471" s="1665" t="n"/>
      <c r="U471" s="1665" t="n"/>
      <c r="V471" s="1665" t="n"/>
      <c r="W471" s="1665" t="n"/>
      <c r="X471" s="1665" t="n"/>
      <c r="Y471" s="1665" t="n"/>
      <c r="Z471" s="1665" t="n"/>
    </row>
    <row r="472" ht="20" customHeight="1" s="1666">
      <c r="A472" s="3290" t="inlineStr">
        <is>
          <t>R-FIN-06</t>
        </is>
      </c>
      <c r="B472" s="3278" t="inlineStr">
        <is>
          <t>Décision → RAISONNEMENTS + verdict J+30</t>
        </is>
      </c>
      <c r="J472" s="1665" t="n"/>
      <c r="K472" s="1665" t="n"/>
      <c r="L472" s="1665" t="n"/>
      <c r="M472" s="1665" t="n"/>
      <c r="N472" s="1665" t="n"/>
      <c r="O472" s="1665" t="n"/>
      <c r="P472" s="1665" t="n"/>
      <c r="Q472" s="1665" t="n"/>
      <c r="R472" s="1665" t="n"/>
      <c r="S472" s="1665" t="n"/>
      <c r="T472" s="1665" t="n"/>
      <c r="U472" s="1665" t="n"/>
      <c r="V472" s="1665" t="n"/>
      <c r="W472" s="1665" t="n"/>
      <c r="X472" s="1665" t="n"/>
      <c r="Y472" s="1665" t="n"/>
      <c r="Z472" s="1665" t="n"/>
    </row>
    <row r="473" ht="20" customHeight="1" s="1666">
      <c r="A473" s="3290" t="inlineStr">
        <is>
          <t>R-FIN-07</t>
        </is>
      </c>
      <c r="B473" s="3278" t="inlineStr">
        <is>
          <t>Émotion identifiée → nommer avant d'agir</t>
        </is>
      </c>
      <c r="J473" s="1665" t="n"/>
      <c r="K473" s="1665" t="n"/>
      <c r="L473" s="1665" t="n"/>
      <c r="M473" s="1665" t="n"/>
      <c r="N473" s="1665" t="n"/>
      <c r="O473" s="1665" t="n"/>
      <c r="P473" s="1665" t="n"/>
      <c r="Q473" s="1665" t="n"/>
      <c r="R473" s="1665" t="n"/>
      <c r="S473" s="1665" t="n"/>
      <c r="T473" s="1665" t="n"/>
      <c r="U473" s="1665" t="n"/>
      <c r="V473" s="1665" t="n"/>
      <c r="W473" s="1665" t="n"/>
      <c r="X473" s="1665" t="n"/>
      <c r="Y473" s="1665" t="n"/>
      <c r="Z473" s="1665" t="n"/>
    </row>
    <row r="474" ht="20" customHeight="1" s="1666">
      <c r="A474" s="3290" t="inlineStr">
        <is>
          <t>R-FIN-08</t>
        </is>
      </c>
      <c r="B474" s="3278" t="inlineStr">
        <is>
          <t>JAMAIS vendre T.TO/MFC.TO TFSA</t>
        </is>
      </c>
      <c r="J474" s="1665" t="n"/>
      <c r="K474" s="1665" t="n"/>
      <c r="L474" s="1665" t="n"/>
      <c r="M474" s="1665" t="n"/>
      <c r="N474" s="1665" t="n"/>
      <c r="O474" s="1665" t="n"/>
      <c r="P474" s="1665" t="n"/>
      <c r="Q474" s="1665" t="n"/>
      <c r="R474" s="1665" t="n"/>
      <c r="S474" s="1665" t="n"/>
      <c r="T474" s="1665" t="n"/>
      <c r="U474" s="1665" t="n"/>
      <c r="V474" s="1665" t="n"/>
      <c r="W474" s="1665" t="n"/>
      <c r="X474" s="1665" t="n"/>
      <c r="Y474" s="1665" t="n"/>
      <c r="Z474" s="1665" t="n"/>
    </row>
    <row r="475" ht="20" customHeight="1" s="1666">
      <c r="A475" s="3290" t="inlineStr">
        <is>
          <t>R-ANA-01</t>
        </is>
      </c>
      <c r="B475" s="3278" t="inlineStr">
        <is>
          <t>Coût opportunité chiffré en CAD réel</t>
        </is>
      </c>
      <c r="J475" s="1665" t="n"/>
      <c r="K475" s="1665" t="n"/>
      <c r="L475" s="1665" t="n"/>
      <c r="M475" s="1665" t="n"/>
      <c r="N475" s="1665" t="n"/>
      <c r="O475" s="1665" t="n"/>
      <c r="P475" s="1665" t="n"/>
      <c r="Q475" s="1665" t="n"/>
      <c r="R475" s="1665" t="n"/>
      <c r="S475" s="1665" t="n"/>
      <c r="T475" s="1665" t="n"/>
      <c r="U475" s="1665" t="n"/>
      <c r="V475" s="1665" t="n"/>
      <c r="W475" s="1665" t="n"/>
      <c r="X475" s="1665" t="n"/>
      <c r="Y475" s="1665" t="n"/>
      <c r="Z475" s="1665" t="n"/>
    </row>
    <row r="476" ht="20" customHeight="1" s="1666">
      <c r="A476" s="3290" t="inlineStr">
        <is>
          <t>R-ANA-02</t>
        </is>
      </c>
      <c r="B476" s="3278" t="inlineStr">
        <is>
          <t>Verdicts J+30 obligatoires · documenter résultat</t>
        </is>
      </c>
      <c r="J476" s="1665" t="n"/>
      <c r="K476" s="1665" t="n"/>
      <c r="L476" s="1665" t="n"/>
      <c r="M476" s="1665" t="n"/>
      <c r="N476" s="1665" t="n"/>
      <c r="O476" s="1665" t="n"/>
      <c r="P476" s="1665" t="n"/>
      <c r="Q476" s="1665" t="n"/>
      <c r="R476" s="1665" t="n"/>
      <c r="S476" s="1665" t="n"/>
      <c r="T476" s="1665" t="n"/>
      <c r="U476" s="1665" t="n"/>
      <c r="V476" s="1665" t="n"/>
      <c r="W476" s="1665" t="n"/>
      <c r="X476" s="1665" t="n"/>
      <c r="Y476" s="1665" t="n"/>
      <c r="Z476" s="1665" t="n"/>
    </row>
    <row r="477" ht="20" customHeight="1" s="1666">
      <c r="A477" s="3290" t="inlineStr">
        <is>
          <t>R-ANA-03</t>
        </is>
      </c>
      <c r="B477" s="3278" t="inlineStr">
        <is>
          <t>Nourrir ≥1 pilier non-financier chaque session</t>
        </is>
      </c>
      <c r="J477" s="1665" t="n"/>
      <c r="K477" s="1665" t="n"/>
      <c r="L477" s="1665" t="n"/>
      <c r="M477" s="1665" t="n"/>
      <c r="N477" s="1665" t="n"/>
      <c r="O477" s="1665" t="n"/>
      <c r="P477" s="1665" t="n"/>
      <c r="Q477" s="1665" t="n"/>
      <c r="R477" s="1665" t="n"/>
      <c r="S477" s="1665" t="n"/>
      <c r="T477" s="1665" t="n"/>
      <c r="U477" s="1665" t="n"/>
      <c r="V477" s="1665" t="n"/>
      <c r="W477" s="1665" t="n"/>
      <c r="X477" s="1665" t="n"/>
      <c r="Y477" s="1665" t="n"/>
      <c r="Z477" s="1665" t="n"/>
    </row>
    <row r="478" ht="20" customHeight="1" s="1666">
      <c r="A478" s="3290" t="inlineStr">
        <is>
          <t>R-ANA-04 NEW S37</t>
        </is>
      </c>
      <c r="B478" s="3278" t="inlineStr">
        <is>
          <t>Avant reco → vérifier UNIVERS si alternatif score &gt; position actuelle</t>
        </is>
      </c>
      <c r="J478" s="1665" t="n"/>
      <c r="K478" s="1665" t="n"/>
      <c r="L478" s="1665" t="n"/>
      <c r="M478" s="1665" t="n"/>
      <c r="N478" s="1665" t="n"/>
      <c r="O478" s="1665" t="n"/>
      <c r="P478" s="1665" t="n"/>
      <c r="Q478" s="1665" t="n"/>
      <c r="R478" s="1665" t="n"/>
      <c r="S478" s="1665" t="n"/>
      <c r="T478" s="1665" t="n"/>
      <c r="U478" s="1665" t="n"/>
      <c r="V478" s="1665" t="n"/>
      <c r="W478" s="1665" t="n"/>
      <c r="X478" s="1665" t="n"/>
      <c r="Y478" s="1665" t="n"/>
      <c r="Z478" s="1665" t="n"/>
    </row>
    <row r="479" ht="20" customHeight="1" s="1666">
      <c r="A479" s="3290" t="inlineStr">
        <is>
          <t>R-SYS-01</t>
        </is>
      </c>
      <c r="B479" s="3278" t="inlineStr">
        <is>
          <t>load_workbook toujours · jamais recréer</t>
        </is>
      </c>
      <c r="J479" s="1665" t="n"/>
      <c r="K479" s="1665" t="n"/>
      <c r="L479" s="1665" t="n"/>
      <c r="M479" s="1665" t="n"/>
      <c r="N479" s="1665" t="n"/>
      <c r="O479" s="1665" t="n"/>
      <c r="P479" s="1665" t="n"/>
      <c r="Q479" s="1665" t="n"/>
      <c r="R479" s="1665" t="n"/>
      <c r="S479" s="1665" t="n"/>
      <c r="T479" s="1665" t="n"/>
      <c r="U479" s="1665" t="n"/>
      <c r="V479" s="1665" t="n"/>
      <c r="W479" s="1665" t="n"/>
      <c r="X479" s="1665" t="n"/>
      <c r="Y479" s="1665" t="n"/>
      <c r="Z479" s="1665" t="n"/>
    </row>
    <row r="480" ht="20" customHeight="1" s="1666">
      <c r="A480" s="3290" t="inlineStr">
        <is>
          <t>R-SYS-02</t>
        </is>
      </c>
      <c r="B480" s="3278" t="inlineStr">
        <is>
          <t>Trade mentionné → MAJ xlsx IMMÉDIATEMENT + journal + version++</t>
        </is>
      </c>
      <c r="J480" s="1665" t="n"/>
      <c r="K480" s="1665" t="n"/>
      <c r="L480" s="1665" t="n"/>
      <c r="M480" s="1665" t="n"/>
      <c r="N480" s="1665" t="n"/>
      <c r="O480" s="1665" t="n"/>
      <c r="P480" s="1665" t="n"/>
      <c r="Q480" s="1665" t="n"/>
      <c r="R480" s="1665" t="n"/>
      <c r="S480" s="1665" t="n"/>
      <c r="T480" s="1665" t="n"/>
      <c r="U480" s="1665" t="n"/>
      <c r="V480" s="1665" t="n"/>
      <c r="W480" s="1665" t="n"/>
      <c r="X480" s="1665" t="n"/>
      <c r="Y480" s="1665" t="n"/>
      <c r="Z480" s="1665" t="n"/>
    </row>
    <row r="481" ht="20" customHeight="1" s="1666">
      <c r="A481" s="3290" t="inlineStr">
        <is>
          <t>R-SYS-03</t>
        </is>
      </c>
      <c r="B481" s="3278" t="inlineStr">
        <is>
          <t>Update → livrer xlsx + data.json (2 fichiers · plus CLAUDE.md)</t>
        </is>
      </c>
      <c r="J481" s="1665" t="n"/>
      <c r="K481" s="1665" t="n"/>
      <c r="L481" s="1665" t="n"/>
      <c r="M481" s="1665" t="n"/>
      <c r="N481" s="1665" t="n"/>
      <c r="O481" s="1665" t="n"/>
      <c r="P481" s="1665" t="n"/>
      <c r="Q481" s="1665" t="n"/>
      <c r="R481" s="1665" t="n"/>
      <c r="S481" s="1665" t="n"/>
      <c r="T481" s="1665" t="n"/>
      <c r="U481" s="1665" t="n"/>
      <c r="V481" s="1665" t="n"/>
      <c r="W481" s="1665" t="n"/>
      <c r="X481" s="1665" t="n"/>
      <c r="Y481" s="1665" t="n"/>
      <c r="Z481" s="1665" t="n"/>
    </row>
    <row r="482" ht="20" customHeight="1" s="1666">
      <c r="A482" s="3290" t="inlineStr">
        <is>
          <t>R-SYS-04</t>
        </is>
      </c>
      <c r="B482" s="3278" t="inlineStr">
        <is>
          <t>Mockup avant modif majeure dashboard</t>
        </is>
      </c>
      <c r="J482" s="1665" t="n"/>
      <c r="K482" s="1665" t="n"/>
      <c r="L482" s="1665" t="n"/>
      <c r="M482" s="1665" t="n"/>
      <c r="N482" s="1665" t="n"/>
      <c r="O482" s="1665" t="n"/>
      <c r="P482" s="1665" t="n"/>
      <c r="Q482" s="1665" t="n"/>
      <c r="R482" s="1665" t="n"/>
      <c r="S482" s="1665" t="n"/>
      <c r="T482" s="1665" t="n"/>
      <c r="U482" s="1665" t="n"/>
      <c r="V482" s="1665" t="n"/>
      <c r="W482" s="1665" t="n"/>
      <c r="X482" s="1665" t="n"/>
      <c r="Y482" s="1665" t="n"/>
      <c r="Z482" s="1665" t="n"/>
    </row>
    <row r="483" ht="20" customHeight="1" s="1666">
      <c r="A483" s="3290" t="inlineStr">
        <is>
          <t>R-SYS-05</t>
        </is>
      </c>
      <c r="B483" s="3278" t="inlineStr">
        <is>
          <t>Jamais modifier sans autorisation explicite go</t>
        </is>
      </c>
      <c r="J483" s="1665" t="n"/>
      <c r="K483" s="1665" t="n"/>
      <c r="L483" s="1665" t="n"/>
      <c r="M483" s="1665" t="n"/>
      <c r="N483" s="1665" t="n"/>
      <c r="O483" s="1665" t="n"/>
      <c r="P483" s="1665" t="n"/>
      <c r="Q483" s="1665" t="n"/>
      <c r="R483" s="1665" t="n"/>
      <c r="S483" s="1665" t="n"/>
      <c r="T483" s="1665" t="n"/>
      <c r="U483" s="1665" t="n"/>
      <c r="V483" s="1665" t="n"/>
      <c r="W483" s="1665" t="n"/>
      <c r="X483" s="1665" t="n"/>
      <c r="Y483" s="1665" t="n"/>
      <c r="Z483" s="1665" t="n"/>
    </row>
    <row r="484" ht="20" customHeight="1" s="1666">
      <c r="A484" s="3290" t="inlineStr">
        <is>
          <t>R-SYS-06</t>
        </is>
      </c>
      <c r="B484" s="3278" t="inlineStr">
        <is>
          <t>Fuseau HNE pour heures marché</t>
        </is>
      </c>
      <c r="J484" s="1665" t="n"/>
      <c r="K484" s="1665" t="n"/>
      <c r="L484" s="1665" t="n"/>
      <c r="M484" s="1665" t="n"/>
      <c r="N484" s="1665" t="n"/>
      <c r="O484" s="1665" t="n"/>
      <c r="P484" s="1665" t="n"/>
      <c r="Q484" s="1665" t="n"/>
      <c r="R484" s="1665" t="n"/>
      <c r="S484" s="1665" t="n"/>
      <c r="T484" s="1665" t="n"/>
      <c r="U484" s="1665" t="n"/>
      <c r="V484" s="1665" t="n"/>
      <c r="W484" s="1665" t="n"/>
      <c r="X484" s="1665" t="n"/>
      <c r="Y484" s="1665" t="n"/>
      <c r="Z484" s="1665" t="n"/>
    </row>
    <row r="485" ht="20" customHeight="1" s="1666">
      <c r="A485" s="3290" t="inlineStr">
        <is>
          <t>R-COM-01</t>
        </is>
      </c>
      <c r="B485" s="3278" t="inlineStr">
        <is>
          <t>Une étape à la fois · urgences en phrase directe</t>
        </is>
      </c>
      <c r="J485" s="1665" t="n"/>
      <c r="K485" s="1665" t="n"/>
      <c r="L485" s="1665" t="n"/>
      <c r="M485" s="1665" t="n"/>
      <c r="N485" s="1665" t="n"/>
      <c r="O485" s="1665" t="n"/>
      <c r="P485" s="1665" t="n"/>
      <c r="Q485" s="1665" t="n"/>
      <c r="R485" s="1665" t="n"/>
      <c r="S485" s="1665" t="n"/>
      <c r="T485" s="1665" t="n"/>
      <c r="U485" s="1665" t="n"/>
      <c r="V485" s="1665" t="n"/>
      <c r="W485" s="1665" t="n"/>
      <c r="X485" s="1665" t="n"/>
      <c r="Y485" s="1665" t="n"/>
      <c r="Z485" s="1665" t="n"/>
    </row>
    <row r="486" ht="15.75" customHeight="1" s="1666">
      <c r="J486" s="1665" t="n"/>
      <c r="K486" s="1665" t="n"/>
      <c r="L486" s="1665" t="n"/>
      <c r="M486" s="1665" t="n"/>
      <c r="N486" s="1665" t="n"/>
      <c r="O486" s="1665" t="n"/>
      <c r="P486" s="1665" t="n"/>
      <c r="Q486" s="1665" t="n"/>
      <c r="R486" s="1665" t="n"/>
      <c r="S486" s="1665" t="n"/>
      <c r="T486" s="1665" t="n"/>
      <c r="U486" s="1665" t="n"/>
      <c r="V486" s="1665" t="n"/>
      <c r="W486" s="1665" t="n"/>
      <c r="X486" s="1665" t="n"/>
      <c r="Y486" s="1665" t="n"/>
      <c r="Z486" s="1665" t="n"/>
    </row>
    <row r="487" ht="28" customHeight="1" s="1666">
      <c r="A487" s="3274" t="inlineStr">
        <is>
          <t>🤖  PROTOCOLE AUTO-DÉMARRAGE S38+ · 2 FICHIERS · Exécuter sans exception</t>
        </is>
      </c>
      <c r="J487" s="1665" t="n"/>
      <c r="K487" s="1665" t="n"/>
      <c r="L487" s="1665" t="n"/>
      <c r="M487" s="1665" t="n"/>
      <c r="N487" s="1665" t="n"/>
      <c r="O487" s="1665" t="n"/>
      <c r="P487" s="1665" t="n"/>
      <c r="Q487" s="1665" t="n"/>
      <c r="R487" s="1665" t="n"/>
      <c r="S487" s="1665" t="n"/>
      <c r="T487" s="1665" t="n"/>
      <c r="U487" s="1665" t="n"/>
      <c r="V487" s="1665" t="n"/>
      <c r="W487" s="1665" t="n"/>
      <c r="X487" s="1665" t="n"/>
      <c r="Y487" s="1665" t="n"/>
      <c r="Z487" s="1665" t="n"/>
    </row>
    <row r="488" ht="20" customHeight="1" s="1666">
      <c r="A488" s="3291" t="inlineStr">
        <is>
          <t>ÉTAPE 1</t>
        </is>
      </c>
      <c r="B488" s="3278" t="inlineStr">
        <is>
          <t>Reçois xlsx vXX-SXX + data.json → identifier version → annoncer session</t>
        </is>
      </c>
      <c r="J488" s="1665" t="n"/>
      <c r="K488" s="1665" t="n"/>
      <c r="L488" s="1665" t="n"/>
      <c r="M488" s="1665" t="n"/>
      <c r="N488" s="1665" t="n"/>
      <c r="O488" s="1665" t="n"/>
      <c r="P488" s="1665" t="n"/>
      <c r="Q488" s="1665" t="n"/>
      <c r="R488" s="1665" t="n"/>
      <c r="S488" s="1665" t="n"/>
      <c r="T488" s="1665" t="n"/>
      <c r="U488" s="1665" t="n"/>
      <c r="V488" s="1665" t="n"/>
      <c r="W488" s="1665" t="n"/>
      <c r="X488" s="1665" t="n"/>
      <c r="Y488" s="1665" t="n"/>
      <c r="Z488" s="1665" t="n"/>
    </row>
    <row r="489" ht="20" customHeight="1" s="1666">
      <c r="A489" s="3291" t="inlineStr">
        <is>
          <t>ÉTAPE 2</t>
        </is>
      </c>
      <c r="B489" s="3278" t="inlineStr">
        <is>
          <t>Lire ACTIONS URGENTES + blocs RAISONNEMENTS. Top 3 priorités. ZÉRO question de contexte.</t>
        </is>
      </c>
      <c r="J489" s="1665" t="n"/>
      <c r="K489" s="1665" t="n"/>
      <c r="L489" s="1665" t="n"/>
      <c r="M489" s="1665" t="n"/>
      <c r="N489" s="1665" t="n"/>
      <c r="O489" s="1665" t="n"/>
      <c r="P489" s="1665" t="n"/>
      <c r="Q489" s="1665" t="n"/>
      <c r="R489" s="1665" t="n"/>
      <c r="S489" s="1665" t="n"/>
      <c r="T489" s="1665" t="n"/>
      <c r="U489" s="1665" t="n"/>
      <c r="V489" s="1665" t="n"/>
      <c r="W489" s="1665" t="n"/>
      <c r="X489" s="1665" t="n"/>
      <c r="Y489" s="1665" t="n"/>
      <c r="Z489" s="1665" t="n"/>
    </row>
    <row r="490" ht="20" customHeight="1" s="1666">
      <c r="A490" s="3291" t="inlineStr">
        <is>
          <t>ÉTAPE 3</t>
        </is>
      </c>
      <c r="B490" s="3278" t="inlineStr">
        <is>
          <t>Web search auto: S&amp;P500 · TSX · VIX · USD/CAD live · news tarifs · prix T1</t>
        </is>
      </c>
      <c r="J490" s="1665" t="n"/>
      <c r="K490" s="1665" t="n"/>
      <c r="L490" s="1665" t="n"/>
      <c r="M490" s="1665" t="n"/>
      <c r="N490" s="1665" t="n"/>
      <c r="O490" s="1665" t="n"/>
      <c r="P490" s="1665" t="n"/>
      <c r="Q490" s="1665" t="n"/>
      <c r="R490" s="1665" t="n"/>
      <c r="S490" s="1665" t="n"/>
      <c r="T490" s="1665" t="n"/>
      <c r="U490" s="1665" t="n"/>
      <c r="V490" s="1665" t="n"/>
      <c r="W490" s="1665" t="n"/>
      <c r="X490" s="1665" t="n"/>
      <c r="Y490" s="1665" t="n"/>
      <c r="Z490" s="1665" t="n"/>
    </row>
    <row r="491" ht="20" customHeight="1" s="1666">
      <c r="A491" s="3291" t="inlineStr">
        <is>
          <t>ÉTAPE 4</t>
        </is>
      </c>
      <c r="B491" s="3278" t="inlineStr">
        <is>
          <t>Message démarrage: Session S[X] · $[TOTAL] · 🔴 EQ Bank · 🔴 Bénéficiaires · 💰 $12K · Prêt.</t>
        </is>
      </c>
      <c r="J491" s="1665" t="n"/>
      <c r="K491" s="1665" t="n"/>
      <c r="L491" s="1665" t="n"/>
      <c r="M491" s="1665" t="n"/>
      <c r="N491" s="1665" t="n"/>
      <c r="O491" s="1665" t="n"/>
      <c r="P491" s="1665" t="n"/>
      <c r="Q491" s="1665" t="n"/>
      <c r="R491" s="1665" t="n"/>
      <c r="S491" s="1665" t="n"/>
      <c r="T491" s="1665" t="n"/>
      <c r="U491" s="1665" t="n"/>
      <c r="V491" s="1665" t="n"/>
      <c r="W491" s="1665" t="n"/>
      <c r="X491" s="1665" t="n"/>
      <c r="Y491" s="1665" t="n"/>
      <c r="Z491" s="1665" t="n"/>
    </row>
    <row r="492" ht="20" customHeight="1" s="1666">
      <c r="A492" s="3291" t="inlineStr">
        <is>
          <t>RÈGLE ABSOLUE</t>
        </is>
      </c>
      <c r="B492" s="3278" t="inlineStr">
        <is>
          <t>JAMAIS dire je n'ai pas accès. Tout est dans le xlsx. Si manquant → web search.</t>
        </is>
      </c>
      <c r="J492" s="1665" t="n"/>
      <c r="K492" s="1665" t="n"/>
      <c r="L492" s="1665" t="n"/>
      <c r="M492" s="1665" t="n"/>
      <c r="N492" s="1665" t="n"/>
      <c r="O492" s="1665" t="n"/>
      <c r="P492" s="1665" t="n"/>
      <c r="Q492" s="1665" t="n"/>
      <c r="R492" s="1665" t="n"/>
      <c r="S492" s="1665" t="n"/>
      <c r="T492" s="1665" t="n"/>
      <c r="U492" s="1665" t="n"/>
      <c r="V492" s="1665" t="n"/>
      <c r="W492" s="1665" t="n"/>
      <c r="X492" s="1665" t="n"/>
      <c r="Y492" s="1665" t="n"/>
      <c r="Z492" s="1665" t="n"/>
    </row>
    <row r="493" ht="15.75" customHeight="1" s="1666">
      <c r="J493" s="1665" t="n"/>
      <c r="K493" s="1665" t="n"/>
      <c r="L493" s="1665" t="n"/>
      <c r="M493" s="1665" t="n"/>
      <c r="N493" s="1665" t="n"/>
      <c r="O493" s="1665" t="n"/>
      <c r="P493" s="1665" t="n"/>
      <c r="Q493" s="1665" t="n"/>
      <c r="R493" s="1665" t="n"/>
      <c r="S493" s="1665" t="n"/>
      <c r="T493" s="1665" t="n"/>
      <c r="U493" s="1665" t="n"/>
      <c r="V493" s="1665" t="n"/>
      <c r="W493" s="1665" t="n"/>
      <c r="X493" s="1665" t="n"/>
      <c r="Y493" s="1665" t="n"/>
      <c r="Z493" s="1665" t="n"/>
    </row>
    <row r="494" ht="22" customHeight="1" s="1666">
      <c r="A494" s="3292" t="inlineStr">
        <is>
          <t>🖥️  TECH &amp; LIENS</t>
        </is>
      </c>
      <c r="J494" s="1665" t="n"/>
      <c r="K494" s="1665" t="n"/>
      <c r="L494" s="1665" t="n"/>
      <c r="M494" s="1665" t="n"/>
      <c r="N494" s="1665" t="n"/>
      <c r="O494" s="1665" t="n"/>
      <c r="P494" s="1665" t="n"/>
      <c r="Q494" s="1665" t="n"/>
      <c r="R494" s="1665" t="n"/>
      <c r="S494" s="1665" t="n"/>
      <c r="T494" s="1665" t="n"/>
      <c r="U494" s="1665" t="n"/>
      <c r="V494" s="1665" t="n"/>
      <c r="W494" s="1665" t="n"/>
      <c r="X494" s="1665" t="n"/>
      <c r="Y494" s="1665" t="n"/>
      <c r="Z494" s="1665" t="n"/>
    </row>
    <row r="495" ht="20" customHeight="1" s="1666">
      <c r="A495" s="3293" t="inlineStr">
        <is>
          <t>Dashboard live</t>
        </is>
      </c>
      <c r="B495" s="3278" t="inlineStr">
        <is>
          <t>https://lemiwinks007.github.io/heyos-dashboard/ · MDP: 123 · v16</t>
        </is>
      </c>
      <c r="J495" s="1665" t="n"/>
      <c r="K495" s="1665" t="n"/>
      <c r="L495" s="1665" t="n"/>
      <c r="M495" s="1665" t="n"/>
      <c r="N495" s="1665" t="n"/>
      <c r="O495" s="1665" t="n"/>
      <c r="P495" s="1665" t="n"/>
      <c r="Q495" s="1665" t="n"/>
      <c r="R495" s="1665" t="n"/>
      <c r="S495" s="1665" t="n"/>
      <c r="T495" s="1665" t="n"/>
      <c r="U495" s="1665" t="n"/>
      <c r="V495" s="1665" t="n"/>
      <c r="W495" s="1665" t="n"/>
      <c r="X495" s="1665" t="n"/>
      <c r="Y495" s="1665" t="n"/>
      <c r="Z495" s="1665" t="n"/>
    </row>
    <row r="496" ht="20" customHeight="1" s="1666">
      <c r="A496" s="3293" t="inlineStr">
        <is>
          <t>push.bat</t>
        </is>
      </c>
      <c r="B496" s="3278" t="inlineStr">
        <is>
          <t>C:\Users\laure\OneDrive\Documents\heyos-dashboard\</t>
        </is>
      </c>
      <c r="J496" s="1665" t="n"/>
      <c r="K496" s="1665" t="n"/>
      <c r="L496" s="1665" t="n"/>
      <c r="M496" s="1665" t="n"/>
      <c r="N496" s="1665" t="n"/>
      <c r="O496" s="1665" t="n"/>
      <c r="P496" s="1665" t="n"/>
      <c r="Q496" s="1665" t="n"/>
      <c r="R496" s="1665" t="n"/>
      <c r="S496" s="1665" t="n"/>
      <c r="T496" s="1665" t="n"/>
      <c r="U496" s="1665" t="n"/>
      <c r="V496" s="1665" t="n"/>
      <c r="W496" s="1665" t="n"/>
      <c r="X496" s="1665" t="n"/>
      <c r="Y496" s="1665" t="n"/>
      <c r="Z496" s="1665" t="n"/>
    </row>
    <row r="497" ht="20" customHeight="1" s="1666">
      <c r="A497" s="3293" t="inlineStr">
        <is>
          <t>GitHub</t>
        </is>
      </c>
      <c r="B497" s="3278" t="inlineStr">
        <is>
          <t>https://github.com/Lemiwinks007/heyos-dashboard</t>
        </is>
      </c>
      <c r="J497" s="1665" t="n"/>
      <c r="K497" s="1665" t="n"/>
      <c r="L497" s="1665" t="n"/>
      <c r="M497" s="1665" t="n"/>
      <c r="N497" s="1665" t="n"/>
      <c r="O497" s="1665" t="n"/>
      <c r="P497" s="1665" t="n"/>
      <c r="Q497" s="1665" t="n"/>
      <c r="R497" s="1665" t="n"/>
      <c r="S497" s="1665" t="n"/>
      <c r="T497" s="1665" t="n"/>
      <c r="U497" s="1665" t="n"/>
      <c r="V497" s="1665" t="n"/>
      <c r="W497" s="1665" t="n"/>
      <c r="X497" s="1665" t="n"/>
      <c r="Y497" s="1665" t="n"/>
      <c r="Z497" s="1665" t="n"/>
    </row>
    <row r="498" ht="20" customHeight="1" s="1666">
      <c r="A498" s="3293" t="inlineStr">
        <is>
          <t>Google Sheets</t>
        </is>
      </c>
      <c r="B498" s="3278" t="inlineStr">
        <is>
          <t>https://docs.google.com/spreadsheets/d/1LamFoKULSVfOWCUizBTVabBbuAyPOhLuvuk0fzBgJZA</t>
        </is>
      </c>
      <c r="J498" s="1665" t="n"/>
      <c r="K498" s="1665" t="n"/>
      <c r="L498" s="1665" t="n"/>
      <c r="M498" s="1665" t="n"/>
      <c r="N498" s="1665" t="n"/>
      <c r="O498" s="1665" t="n"/>
      <c r="P498" s="1665" t="n"/>
      <c r="Q498" s="1665" t="n"/>
      <c r="R498" s="1665" t="n"/>
      <c r="S498" s="1665" t="n"/>
      <c r="T498" s="1665" t="n"/>
      <c r="U498" s="1665" t="n"/>
      <c r="V498" s="1665" t="n"/>
      <c r="W498" s="1665" t="n"/>
      <c r="X498" s="1665" t="n"/>
      <c r="Y498" s="1665" t="n"/>
      <c r="Z498" s="1665" t="n"/>
    </row>
    <row r="499" ht="15.75" customHeight="1" s="1666">
      <c r="J499" s="1665" t="n"/>
      <c r="K499" s="1665" t="n"/>
      <c r="L499" s="1665" t="n"/>
      <c r="M499" s="1665" t="n"/>
      <c r="N499" s="1665" t="n"/>
      <c r="O499" s="1665" t="n"/>
      <c r="P499" s="1665" t="n"/>
      <c r="Q499" s="1665" t="n"/>
      <c r="R499" s="1665" t="n"/>
      <c r="S499" s="1665" t="n"/>
      <c r="T499" s="1665" t="n"/>
      <c r="U499" s="1665" t="n"/>
      <c r="V499" s="1665" t="n"/>
      <c r="W499" s="1665" t="n"/>
      <c r="X499" s="1665" t="n"/>
      <c r="Y499" s="1665" t="n"/>
      <c r="Z499" s="1665" t="n"/>
    </row>
    <row r="500" ht="22" customHeight="1" s="1666">
      <c r="A500" s="3294" t="inlineStr">
        <is>
          <t>🏠  MAISON 2030 &amp; FI</t>
        </is>
      </c>
      <c r="J500" s="1665" t="n"/>
      <c r="K500" s="1665" t="n"/>
      <c r="L500" s="1665" t="n"/>
      <c r="M500" s="1665" t="n"/>
      <c r="N500" s="1665" t="n"/>
      <c r="O500" s="1665" t="n"/>
      <c r="P500" s="1665" t="n"/>
      <c r="Q500" s="1665" t="n"/>
      <c r="R500" s="1665" t="n"/>
      <c r="S500" s="1665" t="n"/>
      <c r="T500" s="1665" t="n"/>
      <c r="U500" s="1665" t="n"/>
      <c r="V500" s="1665" t="n"/>
      <c r="W500" s="1665" t="n"/>
      <c r="X500" s="1665" t="n"/>
      <c r="Y500" s="1665" t="n"/>
      <c r="Z500" s="1665" t="n"/>
    </row>
    <row r="501" ht="20" customHeight="1" s="1666">
      <c r="A501" s="3295" t="inlineStr">
        <is>
          <t>Mise de fonds</t>
        </is>
      </c>
      <c r="B501" s="3278" t="inlineStr">
        <is>
          <t>$100K · RAP $60K (REER) + FHSA $40K · actuel ~$17,544 (17.5%)</t>
        </is>
      </c>
      <c r="J501" s="1665" t="n"/>
      <c r="K501" s="1665" t="n"/>
      <c r="L501" s="1665" t="n"/>
      <c r="M501" s="1665" t="n"/>
      <c r="N501" s="1665" t="n"/>
      <c r="O501" s="1665" t="n"/>
      <c r="P501" s="1665" t="n"/>
      <c r="Q501" s="1665" t="n"/>
      <c r="R501" s="1665" t="n"/>
      <c r="S501" s="1665" t="n"/>
      <c r="T501" s="1665" t="n"/>
      <c r="U501" s="1665" t="n"/>
      <c r="V501" s="1665" t="n"/>
      <c r="W501" s="1665" t="n"/>
      <c r="X501" s="1665" t="n"/>
      <c r="Y501" s="1665" t="n"/>
      <c r="Z501" s="1665" t="n"/>
    </row>
    <row r="502" ht="20" customHeight="1" s="1666">
      <c r="A502" s="3295" t="inlineStr">
        <is>
          <t>FI plancher</t>
        </is>
      </c>
      <c r="B502" s="3278" t="inlineStr">
        <is>
          <t>$2.1M · jamais un plafond · liberté = optionalité · réaliste 2043 (âge 51)</t>
        </is>
      </c>
      <c r="J502" s="1665" t="n"/>
      <c r="K502" s="1665" t="n"/>
      <c r="L502" s="1665" t="n"/>
      <c r="M502" s="1665" t="n"/>
      <c r="N502" s="1665" t="n"/>
      <c r="O502" s="1665" t="n"/>
      <c r="P502" s="1665" t="n"/>
      <c r="Q502" s="1665" t="n"/>
      <c r="R502" s="1665" t="n"/>
      <c r="S502" s="1665" t="n"/>
      <c r="T502" s="1665" t="n"/>
      <c r="U502" s="1665" t="n"/>
      <c r="V502" s="1665" t="n"/>
      <c r="W502" s="1665" t="n"/>
      <c r="X502" s="1665" t="n"/>
      <c r="Y502" s="1665" t="n"/>
      <c r="Z502" s="1665" t="n"/>
    </row>
    <row r="503" ht="20" customHeight="1" s="1666">
      <c r="A503" s="3295" t="inlineStr">
        <is>
          <t>Vérifier</t>
        </is>
      </c>
      <c r="B503" s="3278" t="inlineStr">
        <is>
          <t>Room FHSA ~$9,700 · Room REER annuellement · RAP avancement</t>
        </is>
      </c>
      <c r="J503" s="1665" t="n"/>
      <c r="K503" s="1665" t="n"/>
      <c r="L503" s="1665" t="n"/>
      <c r="M503" s="1665" t="n"/>
      <c r="N503" s="1665" t="n"/>
      <c r="O503" s="1665" t="n"/>
      <c r="P503" s="1665" t="n"/>
      <c r="Q503" s="1665" t="n"/>
      <c r="R503" s="1665" t="n"/>
      <c r="S503" s="1665" t="n"/>
      <c r="T503" s="1665" t="n"/>
      <c r="U503" s="1665" t="n"/>
      <c r="V503" s="1665" t="n"/>
      <c r="W503" s="1665" t="n"/>
      <c r="X503" s="1665" t="n"/>
      <c r="Y503" s="1665" t="n"/>
      <c r="Z503" s="1665" t="n"/>
    </row>
    <row r="504" ht="15.75" customHeight="1" s="1666">
      <c r="J504" s="1665" t="n"/>
      <c r="K504" s="1665" t="n"/>
      <c r="L504" s="1665" t="n"/>
      <c r="M504" s="1665" t="n"/>
      <c r="N504" s="1665" t="n"/>
      <c r="O504" s="1665" t="n"/>
      <c r="P504" s="1665" t="n"/>
      <c r="Q504" s="1665" t="n"/>
      <c r="R504" s="1665" t="n"/>
      <c r="S504" s="1665" t="n"/>
      <c r="T504" s="1665" t="n"/>
      <c r="U504" s="1665" t="n"/>
      <c r="V504" s="1665" t="n"/>
      <c r="W504" s="1665" t="n"/>
      <c r="X504" s="1665" t="n"/>
      <c r="Y504" s="1665" t="n"/>
      <c r="Z504" s="1665" t="n"/>
    </row>
    <row r="505" ht="22" customHeight="1" s="1666">
      <c r="A505" s="3296" t="inlineStr">
        <is>
          <t>📝  LOG SESSIONS S33-S38</t>
        </is>
      </c>
      <c r="J505" s="1665" t="n"/>
      <c r="K505" s="1665" t="n"/>
      <c r="L505" s="1665" t="n"/>
      <c r="M505" s="1665" t="n"/>
      <c r="N505" s="1665" t="n"/>
      <c r="O505" s="1665" t="n"/>
      <c r="P505" s="1665" t="n"/>
      <c r="Q505" s="1665" t="n"/>
      <c r="R505" s="1665" t="n"/>
      <c r="S505" s="1665" t="n"/>
      <c r="T505" s="1665" t="n"/>
      <c r="U505" s="1665" t="n"/>
      <c r="V505" s="1665" t="n"/>
      <c r="W505" s="1665" t="n"/>
      <c r="X505" s="1665" t="n"/>
      <c r="Y505" s="1665" t="n"/>
      <c r="Z505" s="1665" t="n"/>
    </row>
    <row r="506" ht="20" customHeight="1" s="1666">
      <c r="A506" s="3297" t="inlineStr">
        <is>
          <t>S33 — 13 mars</t>
        </is>
      </c>
      <c r="B506" s="3278" t="inlineStr">
        <is>
          <t>v16 tickers cliquables · push.bat v2 · PRs visuels ✅</t>
        </is>
      </c>
      <c r="J506" s="1665" t="n"/>
      <c r="K506" s="1665" t="n"/>
      <c r="L506" s="1665" t="n"/>
      <c r="M506" s="1665" t="n"/>
      <c r="N506" s="1665" t="n"/>
      <c r="O506" s="1665" t="n"/>
      <c r="P506" s="1665" t="n"/>
      <c r="Q506" s="1665" t="n"/>
      <c r="R506" s="1665" t="n"/>
      <c r="S506" s="1665" t="n"/>
      <c r="T506" s="1665" t="n"/>
      <c r="U506" s="1665" t="n"/>
      <c r="V506" s="1665" t="n"/>
      <c r="W506" s="1665" t="n"/>
      <c r="X506" s="1665" t="n"/>
      <c r="Y506" s="1665" t="n"/>
      <c r="Z506" s="1665" t="n"/>
    </row>
    <row r="507" ht="20" customHeight="1" s="1666">
      <c r="A507" s="3297" t="inlineStr">
        <is>
          <t>S34-S35 — 13 mars</t>
        </is>
      </c>
      <c r="B507" s="3278" t="inlineStr">
        <is>
          <t>XEQT 100u FHSA @$39.93 ✅ · Room FHSA ~$9,700</t>
        </is>
      </c>
      <c r="J507" s="1665" t="n"/>
      <c r="K507" s="1665" t="n"/>
      <c r="L507" s="1665" t="n"/>
      <c r="M507" s="1665" t="n"/>
      <c r="N507" s="1665" t="n"/>
      <c r="O507" s="1665" t="n"/>
      <c r="P507" s="1665" t="n"/>
      <c r="Q507" s="1665" t="n"/>
      <c r="R507" s="1665" t="n"/>
      <c r="S507" s="1665" t="n"/>
      <c r="T507" s="1665" t="n"/>
      <c r="U507" s="1665" t="n"/>
      <c r="V507" s="1665" t="n"/>
      <c r="W507" s="1665" t="n"/>
      <c r="X507" s="1665" t="n"/>
      <c r="Y507" s="1665" t="n"/>
      <c r="Z507" s="1665" t="n"/>
    </row>
    <row r="508" ht="20" customHeight="1" s="1666">
      <c r="A508" s="3297" t="inlineStr">
        <is>
          <t>S36 — 13 mars</t>
        </is>
      </c>
      <c r="B508" s="3278" t="inlineStr">
        <is>
          <t>Snapshot $85,681 · data.json live ✅</t>
        </is>
      </c>
      <c r="J508" s="1665" t="n"/>
      <c r="K508" s="1665" t="n"/>
      <c r="L508" s="1665" t="n"/>
      <c r="M508" s="1665" t="n"/>
      <c r="N508" s="1665" t="n"/>
      <c r="O508" s="1665" t="n"/>
      <c r="P508" s="1665" t="n"/>
      <c r="Q508" s="1665" t="n"/>
      <c r="R508" s="1665" t="n"/>
      <c r="S508" s="1665" t="n"/>
      <c r="T508" s="1665" t="n"/>
      <c r="U508" s="1665" t="n"/>
      <c r="V508" s="1665" t="n"/>
      <c r="W508" s="1665" t="n"/>
      <c r="X508" s="1665" t="n"/>
      <c r="Y508" s="1665" t="n"/>
      <c r="Z508" s="1665" t="n"/>
    </row>
    <row r="509" ht="20" customHeight="1" s="1666">
      <c r="A509" s="3297" t="inlineStr">
        <is>
          <t>S37 — 13 mars</t>
        </is>
      </c>
      <c r="B509" s="3278" t="inlineStr">
        <is>
          <t>Onglet UNIVERS 46 tickers scorés · R-ANA-04 · v60-S37 ✅</t>
        </is>
      </c>
      <c r="J509" s="1665" t="n"/>
      <c r="K509" s="1665" t="n"/>
      <c r="L509" s="1665" t="n"/>
      <c r="M509" s="1665" t="n"/>
      <c r="N509" s="1665" t="n"/>
      <c r="O509" s="1665" t="n"/>
      <c r="P509" s="1665" t="n"/>
      <c r="Q509" s="1665" t="n"/>
      <c r="R509" s="1665" t="n"/>
      <c r="S509" s="1665" t="n"/>
      <c r="T509" s="1665" t="n"/>
      <c r="U509" s="1665" t="n"/>
      <c r="V509" s="1665" t="n"/>
      <c r="W509" s="1665" t="n"/>
      <c r="X509" s="1665" t="n"/>
      <c r="Y509" s="1665" t="n"/>
      <c r="Z509" s="1665" t="n"/>
    </row>
    <row r="510" ht="20" customHeight="1" s="1666">
      <c r="A510" s="3297" t="inlineStr">
        <is>
          <t>S38 — 13 mars</t>
        </is>
      </c>
      <c r="B510" s="3278" t="inlineStr">
        <is>
          <t>CLAUDE.md intégré DÉMARRAGE · protocole 2 fichiers · v63-S39 ✅</t>
        </is>
      </c>
      <c r="J510" s="1665" t="n"/>
      <c r="K510" s="1665" t="n"/>
      <c r="L510" s="1665" t="n"/>
      <c r="M510" s="1665" t="n"/>
      <c r="N510" s="1665" t="n"/>
      <c r="O510" s="1665" t="n"/>
      <c r="P510" s="1665" t="n"/>
      <c r="Q510" s="1665" t="n"/>
      <c r="R510" s="1665" t="n"/>
      <c r="S510" s="1665" t="n"/>
      <c r="T510" s="1665" t="n"/>
      <c r="U510" s="1665" t="n"/>
      <c r="V510" s="1665" t="n"/>
      <c r="W510" s="1665" t="n"/>
      <c r="X510" s="1665" t="n"/>
      <c r="Y510" s="1665" t="n"/>
      <c r="Z510" s="1665" t="n"/>
    </row>
    <row r="511" ht="15.75" customHeight="1" s="1666">
      <c r="J511" s="1665" t="n"/>
      <c r="K511" s="1665" t="n"/>
      <c r="L511" s="1665" t="n"/>
      <c r="M511" s="1665" t="n"/>
      <c r="N511" s="1665" t="n"/>
      <c r="O511" s="1665" t="n"/>
      <c r="P511" s="1665" t="n"/>
      <c r="Q511" s="1665" t="n"/>
      <c r="R511" s="1665" t="n"/>
      <c r="S511" s="1665" t="n"/>
      <c r="T511" s="1665" t="n"/>
      <c r="U511" s="1665" t="n"/>
      <c r="V511" s="1665" t="n"/>
      <c r="W511" s="1665" t="n"/>
      <c r="X511" s="1665" t="n"/>
      <c r="Y511" s="1665" t="n"/>
      <c r="Z511" s="1665" t="n"/>
    </row>
    <row r="512" ht="24" customHeight="1" s="1666">
      <c r="A512" s="3298" t="inlineStr">
        <is>
          <t>✅  v63-S39 · CLAUDE.md INTÉGRÉ · 2 FICHIERS · 13 mars 2026 · Upload: xlsx + data.json → go → session parfaite</t>
        </is>
      </c>
      <c r="J512" s="1665" t="n"/>
      <c r="K512" s="1665" t="n"/>
      <c r="L512" s="1665" t="n"/>
      <c r="M512" s="1665" t="n"/>
      <c r="N512" s="1665" t="n"/>
      <c r="O512" s="1665" t="n"/>
      <c r="P512" s="1665" t="n"/>
      <c r="Q512" s="1665" t="n"/>
      <c r="R512" s="1665" t="n"/>
      <c r="S512" s="1665" t="n"/>
      <c r="T512" s="1665" t="n"/>
      <c r="U512" s="1665" t="n"/>
      <c r="V512" s="1665" t="n"/>
      <c r="W512" s="1665" t="n"/>
      <c r="X512" s="1665" t="n"/>
      <c r="Y512" s="1665" t="n"/>
      <c r="Z512" s="1665" t="n"/>
    </row>
    <row r="513" ht="15.75" customHeight="1" s="1666">
      <c r="J513" s="1665" t="n"/>
      <c r="K513" s="1665" t="n"/>
      <c r="L513" s="1665" t="n"/>
      <c r="M513" s="1665" t="n"/>
      <c r="N513" s="1665" t="n"/>
      <c r="O513" s="1665" t="n"/>
      <c r="P513" s="1665" t="n"/>
      <c r="Q513" s="1665" t="n"/>
      <c r="R513" s="1665" t="n"/>
      <c r="S513" s="1665" t="n"/>
      <c r="T513" s="1665" t="n"/>
      <c r="U513" s="1665" t="n"/>
      <c r="V513" s="1665" t="n"/>
      <c r="W513" s="1665" t="n"/>
      <c r="X513" s="1665" t="n"/>
      <c r="Y513" s="1665" t="n"/>
      <c r="Z513" s="1665" t="n"/>
    </row>
    <row r="514" ht="15.75" customHeight="1" s="1666">
      <c r="J514" s="1665" t="n"/>
      <c r="K514" s="1665" t="n"/>
      <c r="L514" s="1665" t="n"/>
      <c r="M514" s="1665" t="n"/>
      <c r="N514" s="1665" t="n"/>
      <c r="O514" s="1665" t="n"/>
      <c r="P514" s="1665" t="n"/>
      <c r="Q514" s="1665" t="n"/>
      <c r="R514" s="1665" t="n"/>
      <c r="S514" s="1665" t="n"/>
      <c r="T514" s="1665" t="n"/>
      <c r="U514" s="1665" t="n"/>
      <c r="V514" s="1665" t="n"/>
      <c r="W514" s="1665" t="n"/>
      <c r="X514" s="1665" t="n"/>
      <c r="Y514" s="1665" t="n"/>
      <c r="Z514" s="1665" t="n"/>
    </row>
    <row r="515" ht="15.75" customHeight="1" s="1666">
      <c r="J515" s="1665" t="n"/>
      <c r="K515" s="1665" t="n"/>
      <c r="L515" s="1665" t="n"/>
      <c r="M515" s="1665" t="n"/>
      <c r="N515" s="1665" t="n"/>
      <c r="O515" s="1665" t="n"/>
      <c r="P515" s="1665" t="n"/>
      <c r="Q515" s="1665" t="n"/>
      <c r="R515" s="1665" t="n"/>
      <c r="S515" s="1665" t="n"/>
      <c r="T515" s="1665" t="n"/>
      <c r="U515" s="1665" t="n"/>
      <c r="V515" s="1665" t="n"/>
      <c r="W515" s="1665" t="n"/>
      <c r="X515" s="1665" t="n"/>
      <c r="Y515" s="1665" t="n"/>
      <c r="Z515" s="1665" t="n"/>
    </row>
    <row r="516" ht="15.75" customHeight="1" s="1666">
      <c r="J516" s="1665" t="n"/>
      <c r="K516" s="1665" t="n"/>
      <c r="L516" s="1665" t="n"/>
      <c r="M516" s="1665" t="n"/>
      <c r="N516" s="1665" t="n"/>
      <c r="O516" s="1665" t="n"/>
      <c r="P516" s="1665" t="n"/>
      <c r="Q516" s="1665" t="n"/>
      <c r="R516" s="1665" t="n"/>
      <c r="S516" s="1665" t="n"/>
      <c r="T516" s="1665" t="n"/>
      <c r="U516" s="1665" t="n"/>
      <c r="V516" s="1665" t="n"/>
      <c r="W516" s="1665" t="n"/>
      <c r="X516" s="1665" t="n"/>
      <c r="Y516" s="1665" t="n"/>
      <c r="Z516" s="1665" t="n"/>
    </row>
    <row r="517" ht="15.75" customHeight="1" s="1666">
      <c r="J517" s="1665" t="n"/>
      <c r="K517" s="1665" t="n"/>
      <c r="L517" s="1665" t="n"/>
      <c r="M517" s="1665" t="n"/>
      <c r="N517" s="1665" t="n"/>
      <c r="O517" s="1665" t="n"/>
      <c r="P517" s="1665" t="n"/>
      <c r="Q517" s="1665" t="n"/>
      <c r="R517" s="1665" t="n"/>
      <c r="S517" s="1665" t="n"/>
      <c r="T517" s="1665" t="n"/>
      <c r="U517" s="1665" t="n"/>
      <c r="V517" s="1665" t="n"/>
      <c r="W517" s="1665" t="n"/>
      <c r="X517" s="1665" t="n"/>
      <c r="Y517" s="1665" t="n"/>
      <c r="Z517" s="1665" t="n"/>
    </row>
    <row r="518" ht="15.75" customHeight="1" s="1666">
      <c r="J518" s="1665" t="n"/>
      <c r="K518" s="1665" t="n"/>
      <c r="L518" s="1665" t="n"/>
      <c r="M518" s="1665" t="n"/>
      <c r="N518" s="1665" t="n"/>
      <c r="O518" s="1665" t="n"/>
      <c r="P518" s="1665" t="n"/>
      <c r="Q518" s="1665" t="n"/>
      <c r="R518" s="1665" t="n"/>
      <c r="S518" s="1665" t="n"/>
      <c r="T518" s="1665" t="n"/>
      <c r="U518" s="1665" t="n"/>
      <c r="V518" s="1665" t="n"/>
      <c r="W518" s="1665" t="n"/>
      <c r="X518" s="1665" t="n"/>
      <c r="Y518" s="1665" t="n"/>
      <c r="Z518" s="1665" t="n"/>
    </row>
    <row r="519" ht="15.75" customHeight="1" s="1666">
      <c r="J519" s="1665" t="n"/>
      <c r="K519" s="1665" t="n"/>
      <c r="L519" s="1665" t="n"/>
      <c r="M519" s="1665" t="n"/>
      <c r="N519" s="1665" t="n"/>
      <c r="O519" s="1665" t="n"/>
      <c r="P519" s="1665" t="n"/>
      <c r="Q519" s="1665" t="n"/>
      <c r="R519" s="1665" t="n"/>
      <c r="S519" s="1665" t="n"/>
      <c r="T519" s="1665" t="n"/>
      <c r="U519" s="1665" t="n"/>
      <c r="V519" s="1665" t="n"/>
      <c r="W519" s="1665" t="n"/>
      <c r="X519" s="1665" t="n"/>
      <c r="Y519" s="1665" t="n"/>
      <c r="Z519" s="1665" t="n"/>
    </row>
    <row r="520" ht="15.75" customHeight="1" s="1666">
      <c r="J520" s="1665" t="n"/>
      <c r="K520" s="1665" t="n"/>
      <c r="L520" s="1665" t="n"/>
      <c r="M520" s="1665" t="n"/>
      <c r="N520" s="1665" t="n"/>
      <c r="O520" s="1665" t="n"/>
      <c r="P520" s="1665" t="n"/>
      <c r="Q520" s="1665" t="n"/>
      <c r="R520" s="1665" t="n"/>
      <c r="S520" s="1665" t="n"/>
      <c r="T520" s="1665" t="n"/>
      <c r="U520" s="1665" t="n"/>
      <c r="V520" s="1665" t="n"/>
      <c r="W520" s="1665" t="n"/>
      <c r="X520" s="1665" t="n"/>
      <c r="Y520" s="1665" t="n"/>
      <c r="Z520" s="1665" t="n"/>
    </row>
    <row r="521" ht="15.75" customHeight="1" s="1666">
      <c r="J521" s="1665" t="n"/>
      <c r="K521" s="1665" t="n"/>
      <c r="L521" s="1665" t="n"/>
      <c r="M521" s="1665" t="n"/>
      <c r="N521" s="1665" t="n"/>
      <c r="O521" s="1665" t="n"/>
      <c r="P521" s="1665" t="n"/>
      <c r="Q521" s="1665" t="n"/>
      <c r="R521" s="1665" t="n"/>
      <c r="S521" s="1665" t="n"/>
      <c r="T521" s="1665" t="n"/>
      <c r="U521" s="1665" t="n"/>
      <c r="V521" s="1665" t="n"/>
      <c r="W521" s="1665" t="n"/>
      <c r="X521" s="1665" t="n"/>
      <c r="Y521" s="1665" t="n"/>
      <c r="Z521" s="1665" t="n"/>
    </row>
    <row r="522" ht="15.75" customHeight="1" s="1666">
      <c r="J522" s="1665" t="n"/>
      <c r="K522" s="1665" t="n"/>
      <c r="L522" s="1665" t="n"/>
      <c r="M522" s="1665" t="n"/>
      <c r="N522" s="1665" t="n"/>
      <c r="O522" s="1665" t="n"/>
      <c r="P522" s="1665" t="n"/>
      <c r="Q522" s="1665" t="n"/>
      <c r="R522" s="1665" t="n"/>
      <c r="S522" s="1665" t="n"/>
      <c r="T522" s="1665" t="n"/>
      <c r="U522" s="1665" t="n"/>
      <c r="V522" s="1665" t="n"/>
      <c r="W522" s="1665" t="n"/>
      <c r="X522" s="1665" t="n"/>
      <c r="Y522" s="1665" t="n"/>
      <c r="Z522" s="1665" t="n"/>
    </row>
    <row r="523" ht="15.75" customHeight="1" s="1666">
      <c r="J523" s="1665" t="n"/>
      <c r="K523" s="1665" t="n"/>
      <c r="L523" s="1665" t="n"/>
      <c r="M523" s="1665" t="n"/>
      <c r="N523" s="1665" t="n"/>
      <c r="O523" s="1665" t="n"/>
      <c r="P523" s="1665" t="n"/>
      <c r="Q523" s="1665" t="n"/>
      <c r="R523" s="1665" t="n"/>
      <c r="S523" s="1665" t="n"/>
      <c r="T523" s="1665" t="n"/>
      <c r="U523" s="1665" t="n"/>
      <c r="V523" s="1665" t="n"/>
      <c r="W523" s="1665" t="n"/>
      <c r="X523" s="1665" t="n"/>
      <c r="Y523" s="1665" t="n"/>
      <c r="Z523" s="1665" t="n"/>
    </row>
    <row r="524" ht="15.75" customHeight="1" s="1666">
      <c r="J524" s="1665" t="n"/>
      <c r="K524" s="1665" t="n"/>
      <c r="L524" s="1665" t="n"/>
      <c r="M524" s="1665" t="n"/>
      <c r="N524" s="1665" t="n"/>
      <c r="O524" s="1665" t="n"/>
      <c r="P524" s="1665" t="n"/>
      <c r="Q524" s="1665" t="n"/>
      <c r="R524" s="1665" t="n"/>
      <c r="S524" s="1665" t="n"/>
      <c r="T524" s="1665" t="n"/>
      <c r="U524" s="1665" t="n"/>
      <c r="V524" s="1665" t="n"/>
      <c r="W524" s="1665" t="n"/>
      <c r="X524" s="1665" t="n"/>
      <c r="Y524" s="1665" t="n"/>
      <c r="Z524" s="1665" t="n"/>
    </row>
    <row r="525" ht="15.75" customHeight="1" s="1666">
      <c r="J525" s="1665" t="n"/>
      <c r="K525" s="1665" t="n"/>
      <c r="L525" s="1665" t="n"/>
      <c r="M525" s="1665" t="n"/>
      <c r="N525" s="1665" t="n"/>
      <c r="O525" s="1665" t="n"/>
      <c r="P525" s="1665" t="n"/>
      <c r="Q525" s="1665" t="n"/>
      <c r="R525" s="1665" t="n"/>
      <c r="S525" s="1665" t="n"/>
      <c r="T525" s="1665" t="n"/>
      <c r="U525" s="1665" t="n"/>
      <c r="V525" s="1665" t="n"/>
      <c r="W525" s="1665" t="n"/>
      <c r="X525" s="1665" t="n"/>
      <c r="Y525" s="1665" t="n"/>
      <c r="Z525" s="1665" t="n"/>
    </row>
    <row r="526" ht="15.75" customHeight="1" s="1666">
      <c r="J526" s="1665" t="n"/>
      <c r="K526" s="1665" t="n"/>
      <c r="L526" s="1665" t="n"/>
      <c r="M526" s="1665" t="n"/>
      <c r="N526" s="1665" t="n"/>
      <c r="O526" s="1665" t="n"/>
      <c r="P526" s="1665" t="n"/>
      <c r="Q526" s="1665" t="n"/>
      <c r="R526" s="1665" t="n"/>
      <c r="S526" s="1665" t="n"/>
      <c r="T526" s="1665" t="n"/>
      <c r="U526" s="1665" t="n"/>
      <c r="V526" s="1665" t="n"/>
      <c r="W526" s="1665" t="n"/>
      <c r="X526" s="1665" t="n"/>
      <c r="Y526" s="1665" t="n"/>
      <c r="Z526" s="1665" t="n"/>
    </row>
    <row r="527" ht="15.75" customHeight="1" s="1666">
      <c r="J527" s="1665" t="n"/>
      <c r="K527" s="1665" t="n"/>
      <c r="L527" s="1665" t="n"/>
      <c r="M527" s="1665" t="n"/>
      <c r="N527" s="1665" t="n"/>
      <c r="O527" s="1665" t="n"/>
      <c r="P527" s="1665" t="n"/>
      <c r="Q527" s="1665" t="n"/>
      <c r="R527" s="1665" t="n"/>
      <c r="S527" s="1665" t="n"/>
      <c r="T527" s="1665" t="n"/>
      <c r="U527" s="1665" t="n"/>
      <c r="V527" s="1665" t="n"/>
      <c r="W527" s="1665" t="n"/>
      <c r="X527" s="1665" t="n"/>
      <c r="Y527" s="1665" t="n"/>
      <c r="Z527" s="1665" t="n"/>
    </row>
    <row r="528" ht="15.75" customHeight="1" s="1666">
      <c r="J528" s="1665" t="n"/>
      <c r="K528" s="1665" t="n"/>
      <c r="L528" s="1665" t="n"/>
      <c r="M528" s="1665" t="n"/>
      <c r="N528" s="1665" t="n"/>
      <c r="O528" s="1665" t="n"/>
      <c r="P528" s="1665" t="n"/>
      <c r="Q528" s="1665" t="n"/>
      <c r="R528" s="1665" t="n"/>
      <c r="S528" s="1665" t="n"/>
      <c r="T528" s="1665" t="n"/>
      <c r="U528" s="1665" t="n"/>
      <c r="V528" s="1665" t="n"/>
      <c r="W528" s="1665" t="n"/>
      <c r="X528" s="1665" t="n"/>
      <c r="Y528" s="1665" t="n"/>
      <c r="Z528" s="1665" t="n"/>
    </row>
    <row r="529" ht="15.75" customHeight="1" s="1666">
      <c r="J529" s="1665" t="n"/>
      <c r="K529" s="1665" t="n"/>
      <c r="L529" s="1665" t="n"/>
      <c r="M529" s="1665" t="n"/>
      <c r="N529" s="1665" t="n"/>
      <c r="O529" s="1665" t="n"/>
      <c r="P529" s="1665" t="n"/>
      <c r="Q529" s="1665" t="n"/>
      <c r="R529" s="1665" t="n"/>
      <c r="S529" s="1665" t="n"/>
      <c r="T529" s="1665" t="n"/>
      <c r="U529" s="1665" t="n"/>
      <c r="V529" s="1665" t="n"/>
      <c r="W529" s="1665" t="n"/>
      <c r="X529" s="1665" t="n"/>
      <c r="Y529" s="1665" t="n"/>
      <c r="Z529" s="1665" t="n"/>
    </row>
    <row r="530" ht="15.75" customHeight="1" s="1666">
      <c r="J530" s="1665" t="n"/>
      <c r="K530" s="1665" t="n"/>
      <c r="L530" s="1665" t="n"/>
      <c r="M530" s="1665" t="n"/>
      <c r="N530" s="1665" t="n"/>
      <c r="O530" s="1665" t="n"/>
      <c r="P530" s="1665" t="n"/>
      <c r="Q530" s="1665" t="n"/>
      <c r="R530" s="1665" t="n"/>
      <c r="S530" s="1665" t="n"/>
      <c r="T530" s="1665" t="n"/>
      <c r="U530" s="1665" t="n"/>
      <c r="V530" s="1665" t="n"/>
      <c r="W530" s="1665" t="n"/>
      <c r="X530" s="1665" t="n"/>
      <c r="Y530" s="1665" t="n"/>
      <c r="Z530" s="1665" t="n"/>
    </row>
    <row r="531" ht="15.75" customHeight="1" s="1666">
      <c r="J531" s="1665" t="n"/>
      <c r="K531" s="1665" t="n"/>
      <c r="L531" s="1665" t="n"/>
      <c r="M531" s="1665" t="n"/>
      <c r="N531" s="1665" t="n"/>
      <c r="O531" s="1665" t="n"/>
      <c r="P531" s="1665" t="n"/>
      <c r="Q531" s="1665" t="n"/>
      <c r="R531" s="1665" t="n"/>
      <c r="S531" s="1665" t="n"/>
      <c r="T531" s="1665" t="n"/>
      <c r="U531" s="1665" t="n"/>
      <c r="V531" s="1665" t="n"/>
      <c r="W531" s="1665" t="n"/>
      <c r="X531" s="1665" t="n"/>
      <c r="Y531" s="1665" t="n"/>
      <c r="Z531" s="1665" t="n"/>
    </row>
    <row r="532" ht="15.75" customHeight="1" s="1666">
      <c r="J532" s="1665" t="n"/>
      <c r="K532" s="1665" t="n"/>
      <c r="L532" s="1665" t="n"/>
      <c r="M532" s="1665" t="n"/>
      <c r="N532" s="1665" t="n"/>
      <c r="O532" s="1665" t="n"/>
      <c r="P532" s="1665" t="n"/>
      <c r="Q532" s="1665" t="n"/>
      <c r="R532" s="1665" t="n"/>
      <c r="S532" s="1665" t="n"/>
      <c r="T532" s="1665" t="n"/>
      <c r="U532" s="1665" t="n"/>
      <c r="V532" s="1665" t="n"/>
      <c r="W532" s="1665" t="n"/>
      <c r="X532" s="1665" t="n"/>
      <c r="Y532" s="1665" t="n"/>
      <c r="Z532" s="1665" t="n"/>
    </row>
    <row r="533" ht="15.75" customHeight="1" s="1666">
      <c r="J533" s="1665" t="n"/>
      <c r="K533" s="1665" t="n"/>
      <c r="L533" s="1665" t="n"/>
      <c r="M533" s="1665" t="n"/>
      <c r="N533" s="1665" t="n"/>
      <c r="O533" s="1665" t="n"/>
      <c r="P533" s="1665" t="n"/>
      <c r="Q533" s="1665" t="n"/>
      <c r="R533" s="1665" t="n"/>
      <c r="S533" s="1665" t="n"/>
      <c r="T533" s="1665" t="n"/>
      <c r="U533" s="1665" t="n"/>
      <c r="V533" s="1665" t="n"/>
      <c r="W533" s="1665" t="n"/>
      <c r="X533" s="1665" t="n"/>
      <c r="Y533" s="1665" t="n"/>
      <c r="Z533" s="1665" t="n"/>
    </row>
    <row r="534" ht="15.75" customHeight="1" s="1666">
      <c r="J534" s="1665" t="n"/>
      <c r="K534" s="1665" t="n"/>
      <c r="L534" s="1665" t="n"/>
      <c r="M534" s="1665" t="n"/>
      <c r="N534" s="1665" t="n"/>
      <c r="O534" s="1665" t="n"/>
      <c r="P534" s="1665" t="n"/>
      <c r="Q534" s="1665" t="n"/>
      <c r="R534" s="1665" t="n"/>
      <c r="S534" s="1665" t="n"/>
      <c r="T534" s="1665" t="n"/>
      <c r="U534" s="1665" t="n"/>
      <c r="V534" s="1665" t="n"/>
      <c r="W534" s="1665" t="n"/>
      <c r="X534" s="1665" t="n"/>
      <c r="Y534" s="1665" t="n"/>
      <c r="Z534" s="1665" t="n"/>
    </row>
    <row r="535" ht="15.75" customHeight="1" s="1666">
      <c r="J535" s="1665" t="n"/>
      <c r="K535" s="1665" t="n"/>
      <c r="L535" s="1665" t="n"/>
      <c r="M535" s="1665" t="n"/>
      <c r="N535" s="1665" t="n"/>
      <c r="O535" s="1665" t="n"/>
      <c r="P535" s="1665" t="n"/>
      <c r="Q535" s="1665" t="n"/>
      <c r="R535" s="1665" t="n"/>
      <c r="S535" s="1665" t="n"/>
      <c r="T535" s="1665" t="n"/>
      <c r="U535" s="1665" t="n"/>
      <c r="V535" s="1665" t="n"/>
      <c r="W535" s="1665" t="n"/>
      <c r="X535" s="1665" t="n"/>
      <c r="Y535" s="1665" t="n"/>
      <c r="Z535" s="1665" t="n"/>
    </row>
    <row r="536" ht="15.75" customHeight="1" s="1666">
      <c r="J536" s="1665" t="n"/>
      <c r="K536" s="1665" t="n"/>
      <c r="L536" s="1665" t="n"/>
      <c r="M536" s="1665" t="n"/>
      <c r="N536" s="1665" t="n"/>
      <c r="O536" s="1665" t="n"/>
      <c r="P536" s="1665" t="n"/>
      <c r="Q536" s="1665" t="n"/>
      <c r="R536" s="1665" t="n"/>
      <c r="S536" s="1665" t="n"/>
      <c r="T536" s="1665" t="n"/>
      <c r="U536" s="1665" t="n"/>
      <c r="V536" s="1665" t="n"/>
      <c r="W536" s="1665" t="n"/>
      <c r="X536" s="1665" t="n"/>
      <c r="Y536" s="1665" t="n"/>
      <c r="Z536" s="1665" t="n"/>
    </row>
    <row r="537" ht="15.75" customHeight="1" s="1666">
      <c r="J537" s="1665" t="n"/>
      <c r="K537" s="1665" t="n"/>
      <c r="L537" s="1665" t="n"/>
      <c r="M537" s="1665" t="n"/>
      <c r="N537" s="1665" t="n"/>
      <c r="O537" s="1665" t="n"/>
      <c r="P537" s="1665" t="n"/>
      <c r="Q537" s="1665" t="n"/>
      <c r="R537" s="1665" t="n"/>
      <c r="S537" s="1665" t="n"/>
      <c r="T537" s="1665" t="n"/>
      <c r="U537" s="1665" t="n"/>
      <c r="V537" s="1665" t="n"/>
      <c r="W537" s="1665" t="n"/>
      <c r="X537" s="1665" t="n"/>
      <c r="Y537" s="1665" t="n"/>
      <c r="Z537" s="1665" t="n"/>
    </row>
    <row r="538" ht="15.75" customHeight="1" s="1666">
      <c r="J538" s="1665" t="n"/>
      <c r="K538" s="1665" t="n"/>
      <c r="L538" s="1665" t="n"/>
      <c r="M538" s="1665" t="n"/>
      <c r="N538" s="1665" t="n"/>
      <c r="O538" s="1665" t="n"/>
      <c r="P538" s="1665" t="n"/>
      <c r="Q538" s="1665" t="n"/>
      <c r="R538" s="1665" t="n"/>
      <c r="S538" s="1665" t="n"/>
      <c r="T538" s="1665" t="n"/>
      <c r="U538" s="1665" t="n"/>
      <c r="V538" s="1665" t="n"/>
      <c r="W538" s="1665" t="n"/>
      <c r="X538" s="1665" t="n"/>
      <c r="Y538" s="1665" t="n"/>
      <c r="Z538" s="1665" t="n"/>
    </row>
    <row r="539" ht="15.75" customHeight="1" s="1666">
      <c r="J539" s="1665" t="n"/>
      <c r="K539" s="1665" t="n"/>
      <c r="L539" s="1665" t="n"/>
      <c r="M539" s="1665" t="n"/>
      <c r="N539" s="1665" t="n"/>
      <c r="O539" s="1665" t="n"/>
      <c r="P539" s="1665" t="n"/>
      <c r="Q539" s="1665" t="n"/>
      <c r="R539" s="1665" t="n"/>
      <c r="S539" s="1665" t="n"/>
      <c r="T539" s="1665" t="n"/>
      <c r="U539" s="1665" t="n"/>
      <c r="V539" s="1665" t="n"/>
      <c r="W539" s="1665" t="n"/>
      <c r="X539" s="1665" t="n"/>
      <c r="Y539" s="1665" t="n"/>
      <c r="Z539" s="1665" t="n"/>
    </row>
    <row r="540" ht="15.75" customHeight="1" s="1666">
      <c r="J540" s="1665" t="n"/>
      <c r="K540" s="1665" t="n"/>
      <c r="L540" s="1665" t="n"/>
      <c r="M540" s="1665" t="n"/>
      <c r="N540" s="1665" t="n"/>
      <c r="O540" s="1665" t="n"/>
      <c r="P540" s="1665" t="n"/>
      <c r="Q540" s="1665" t="n"/>
      <c r="R540" s="1665" t="n"/>
      <c r="S540" s="1665" t="n"/>
      <c r="T540" s="1665" t="n"/>
      <c r="U540" s="1665" t="n"/>
      <c r="V540" s="1665" t="n"/>
      <c r="W540" s="1665" t="n"/>
      <c r="X540" s="1665" t="n"/>
      <c r="Y540" s="1665" t="n"/>
      <c r="Z540" s="1665" t="n"/>
    </row>
    <row r="541" ht="15.75" customHeight="1" s="1666">
      <c r="J541" s="1665" t="n"/>
      <c r="K541" s="1665" t="n"/>
      <c r="L541" s="1665" t="n"/>
      <c r="M541" s="1665" t="n"/>
      <c r="N541" s="1665" t="n"/>
      <c r="O541" s="1665" t="n"/>
      <c r="P541" s="1665" t="n"/>
      <c r="Q541" s="1665" t="n"/>
      <c r="R541" s="1665" t="n"/>
      <c r="S541" s="1665" t="n"/>
      <c r="T541" s="1665" t="n"/>
      <c r="U541" s="1665" t="n"/>
      <c r="V541" s="1665" t="n"/>
      <c r="W541" s="1665" t="n"/>
      <c r="X541" s="1665" t="n"/>
      <c r="Y541" s="1665" t="n"/>
      <c r="Z541" s="1665" t="n"/>
    </row>
    <row r="542" ht="15.75" customHeight="1" s="1666">
      <c r="J542" s="1665" t="n"/>
      <c r="K542" s="1665" t="n"/>
      <c r="L542" s="1665" t="n"/>
      <c r="M542" s="1665" t="n"/>
      <c r="N542" s="1665" t="n"/>
      <c r="O542" s="1665" t="n"/>
      <c r="P542" s="1665" t="n"/>
      <c r="Q542" s="1665" t="n"/>
      <c r="R542" s="1665" t="n"/>
      <c r="S542" s="1665" t="n"/>
      <c r="T542" s="1665" t="n"/>
      <c r="U542" s="1665" t="n"/>
      <c r="V542" s="1665" t="n"/>
      <c r="W542" s="1665" t="n"/>
      <c r="X542" s="1665" t="n"/>
      <c r="Y542" s="1665" t="n"/>
      <c r="Z542" s="1665" t="n"/>
    </row>
    <row r="543" ht="15.75" customHeight="1" s="1666">
      <c r="J543" s="1665" t="n"/>
      <c r="K543" s="1665" t="n"/>
      <c r="L543" s="1665" t="n"/>
      <c r="M543" s="1665" t="n"/>
      <c r="N543" s="1665" t="n"/>
      <c r="O543" s="1665" t="n"/>
      <c r="P543" s="1665" t="n"/>
      <c r="Q543" s="1665" t="n"/>
      <c r="R543" s="1665" t="n"/>
      <c r="S543" s="1665" t="n"/>
      <c r="T543" s="1665" t="n"/>
      <c r="U543" s="1665" t="n"/>
      <c r="V543" s="1665" t="n"/>
      <c r="W543" s="1665" t="n"/>
      <c r="X543" s="1665" t="n"/>
      <c r="Y543" s="1665" t="n"/>
      <c r="Z543" s="1665" t="n"/>
    </row>
    <row r="544" ht="15.75" customHeight="1" s="1666">
      <c r="J544" s="1665" t="n"/>
      <c r="K544" s="1665" t="n"/>
      <c r="L544" s="1665" t="n"/>
      <c r="M544" s="1665" t="n"/>
      <c r="N544" s="1665" t="n"/>
      <c r="O544" s="1665" t="n"/>
      <c r="P544" s="1665" t="n"/>
      <c r="Q544" s="1665" t="n"/>
      <c r="R544" s="1665" t="n"/>
      <c r="S544" s="1665" t="n"/>
      <c r="T544" s="1665" t="n"/>
      <c r="U544" s="1665" t="n"/>
      <c r="V544" s="1665" t="n"/>
      <c r="W544" s="1665" t="n"/>
      <c r="X544" s="1665" t="n"/>
      <c r="Y544" s="1665" t="n"/>
      <c r="Z544" s="1665" t="n"/>
    </row>
    <row r="545" ht="15.75" customHeight="1" s="1666">
      <c r="J545" s="1665" t="n"/>
      <c r="K545" s="1665" t="n"/>
      <c r="L545" s="1665" t="n"/>
      <c r="M545" s="1665" t="n"/>
      <c r="N545" s="1665" t="n"/>
      <c r="O545" s="1665" t="n"/>
      <c r="P545" s="1665" t="n"/>
      <c r="Q545" s="1665" t="n"/>
      <c r="R545" s="1665" t="n"/>
      <c r="S545" s="1665" t="n"/>
      <c r="T545" s="1665" t="n"/>
      <c r="U545" s="1665" t="n"/>
      <c r="V545" s="1665" t="n"/>
      <c r="W545" s="1665" t="n"/>
      <c r="X545" s="1665" t="n"/>
      <c r="Y545" s="1665" t="n"/>
      <c r="Z545" s="1665" t="n"/>
    </row>
    <row r="546" ht="15.75" customHeight="1" s="1666">
      <c r="J546" s="1665" t="n"/>
      <c r="K546" s="1665" t="n"/>
      <c r="L546" s="1665" t="n"/>
      <c r="M546" s="1665" t="n"/>
      <c r="N546" s="1665" t="n"/>
      <c r="O546" s="1665" t="n"/>
      <c r="P546" s="1665" t="n"/>
      <c r="Q546" s="1665" t="n"/>
      <c r="R546" s="1665" t="n"/>
      <c r="S546" s="1665" t="n"/>
      <c r="T546" s="1665" t="n"/>
      <c r="U546" s="1665" t="n"/>
      <c r="V546" s="1665" t="n"/>
      <c r="W546" s="1665" t="n"/>
      <c r="X546" s="1665" t="n"/>
      <c r="Y546" s="1665" t="n"/>
      <c r="Z546" s="1665" t="n"/>
    </row>
    <row r="547" ht="15.75" customHeight="1" s="1666">
      <c r="J547" s="1665" t="n"/>
      <c r="K547" s="1665" t="n"/>
      <c r="L547" s="1665" t="n"/>
      <c r="M547" s="1665" t="n"/>
      <c r="N547" s="1665" t="n"/>
      <c r="O547" s="1665" t="n"/>
      <c r="P547" s="1665" t="n"/>
      <c r="Q547" s="1665" t="n"/>
      <c r="R547" s="1665" t="n"/>
      <c r="S547" s="1665" t="n"/>
      <c r="T547" s="1665" t="n"/>
      <c r="U547" s="1665" t="n"/>
      <c r="V547" s="1665" t="n"/>
      <c r="W547" s="1665" t="n"/>
      <c r="X547" s="1665" t="n"/>
      <c r="Y547" s="1665" t="n"/>
      <c r="Z547" s="1665" t="n"/>
    </row>
    <row r="548" ht="15.75" customHeight="1" s="1666">
      <c r="J548" s="1665" t="n"/>
      <c r="K548" s="1665" t="n"/>
      <c r="L548" s="1665" t="n"/>
      <c r="M548" s="1665" t="n"/>
      <c r="N548" s="1665" t="n"/>
      <c r="O548" s="1665" t="n"/>
      <c r="P548" s="1665" t="n"/>
      <c r="Q548" s="1665" t="n"/>
      <c r="R548" s="1665" t="n"/>
      <c r="S548" s="1665" t="n"/>
      <c r="T548" s="1665" t="n"/>
      <c r="U548" s="1665" t="n"/>
      <c r="V548" s="1665" t="n"/>
      <c r="W548" s="1665" t="n"/>
      <c r="X548" s="1665" t="n"/>
      <c r="Y548" s="1665" t="n"/>
      <c r="Z548" s="1665" t="n"/>
    </row>
    <row r="549" ht="15.75" customHeight="1" s="1666">
      <c r="J549" s="1665" t="n"/>
      <c r="K549" s="1665" t="n"/>
      <c r="L549" s="1665" t="n"/>
      <c r="M549" s="1665" t="n"/>
      <c r="N549" s="1665" t="n"/>
      <c r="O549" s="1665" t="n"/>
      <c r="P549" s="1665" t="n"/>
      <c r="Q549" s="1665" t="n"/>
      <c r="R549" s="1665" t="n"/>
      <c r="S549" s="1665" t="n"/>
      <c r="T549" s="1665" t="n"/>
      <c r="U549" s="1665" t="n"/>
      <c r="V549" s="1665" t="n"/>
      <c r="W549" s="1665" t="n"/>
      <c r="X549" s="1665" t="n"/>
      <c r="Y549" s="1665" t="n"/>
      <c r="Z549" s="1665" t="n"/>
    </row>
    <row r="550" ht="15.75" customHeight="1" s="1666">
      <c r="J550" s="1665" t="n"/>
      <c r="K550" s="1665" t="n"/>
      <c r="L550" s="1665" t="n"/>
      <c r="M550" s="1665" t="n"/>
      <c r="N550" s="1665" t="n"/>
      <c r="O550" s="1665" t="n"/>
      <c r="P550" s="1665" t="n"/>
      <c r="Q550" s="1665" t="n"/>
      <c r="R550" s="1665" t="n"/>
      <c r="S550" s="1665" t="n"/>
      <c r="T550" s="1665" t="n"/>
      <c r="U550" s="1665" t="n"/>
      <c r="V550" s="1665" t="n"/>
      <c r="W550" s="1665" t="n"/>
      <c r="X550" s="1665" t="n"/>
      <c r="Y550" s="1665" t="n"/>
      <c r="Z550" s="1665" t="n"/>
    </row>
    <row r="551" ht="15.75" customHeight="1" s="1666">
      <c r="J551" s="1665" t="n"/>
      <c r="K551" s="1665" t="n"/>
      <c r="L551" s="1665" t="n"/>
      <c r="M551" s="1665" t="n"/>
      <c r="N551" s="1665" t="n"/>
      <c r="O551" s="1665" t="n"/>
      <c r="P551" s="1665" t="n"/>
      <c r="Q551" s="1665" t="n"/>
      <c r="R551" s="1665" t="n"/>
      <c r="S551" s="1665" t="n"/>
      <c r="T551" s="1665" t="n"/>
      <c r="U551" s="1665" t="n"/>
      <c r="V551" s="1665" t="n"/>
      <c r="W551" s="1665" t="n"/>
      <c r="X551" s="1665" t="n"/>
      <c r="Y551" s="1665" t="n"/>
      <c r="Z551" s="1665" t="n"/>
    </row>
    <row r="552" ht="15.75" customHeight="1" s="1666">
      <c r="J552" s="1665" t="n"/>
      <c r="K552" s="1665" t="n"/>
      <c r="L552" s="1665" t="n"/>
      <c r="M552" s="1665" t="n"/>
      <c r="N552" s="1665" t="n"/>
      <c r="O552" s="1665" t="n"/>
      <c r="P552" s="1665" t="n"/>
      <c r="Q552" s="1665" t="n"/>
      <c r="R552" s="1665" t="n"/>
      <c r="S552" s="1665" t="n"/>
      <c r="T552" s="1665" t="n"/>
      <c r="U552" s="1665" t="n"/>
      <c r="V552" s="1665" t="n"/>
      <c r="W552" s="1665" t="n"/>
      <c r="X552" s="1665" t="n"/>
      <c r="Y552" s="1665" t="n"/>
      <c r="Z552" s="1665" t="n"/>
    </row>
    <row r="553" ht="15.75" customHeight="1" s="1666">
      <c r="J553" s="1665" t="n"/>
      <c r="K553" s="1665" t="n"/>
      <c r="L553" s="1665" t="n"/>
      <c r="M553" s="1665" t="n"/>
      <c r="N553" s="1665" t="n"/>
      <c r="O553" s="1665" t="n"/>
      <c r="P553" s="1665" t="n"/>
      <c r="Q553" s="1665" t="n"/>
      <c r="R553" s="1665" t="n"/>
      <c r="S553" s="1665" t="n"/>
      <c r="T553" s="1665" t="n"/>
      <c r="U553" s="1665" t="n"/>
      <c r="V553" s="1665" t="n"/>
      <c r="W553" s="1665" t="n"/>
      <c r="X553" s="1665" t="n"/>
      <c r="Y553" s="1665" t="n"/>
      <c r="Z553" s="1665" t="n"/>
    </row>
    <row r="554" ht="15.75" customHeight="1" s="1666">
      <c r="J554" s="1665" t="n"/>
      <c r="K554" s="1665" t="n"/>
      <c r="L554" s="1665" t="n"/>
      <c r="M554" s="1665" t="n"/>
      <c r="N554" s="1665" t="n"/>
      <c r="O554" s="1665" t="n"/>
      <c r="P554" s="1665" t="n"/>
      <c r="Q554" s="1665" t="n"/>
      <c r="R554" s="1665" t="n"/>
      <c r="S554" s="1665" t="n"/>
      <c r="T554" s="1665" t="n"/>
      <c r="U554" s="1665" t="n"/>
      <c r="V554" s="1665" t="n"/>
      <c r="W554" s="1665" t="n"/>
      <c r="X554" s="1665" t="n"/>
      <c r="Y554" s="1665" t="n"/>
      <c r="Z554" s="1665" t="n"/>
    </row>
    <row r="555" ht="15.75" customHeight="1" s="1666">
      <c r="J555" s="1665" t="n"/>
      <c r="K555" s="1665" t="n"/>
      <c r="L555" s="1665" t="n"/>
      <c r="M555" s="1665" t="n"/>
      <c r="N555" s="1665" t="n"/>
      <c r="O555" s="1665" t="n"/>
      <c r="P555" s="1665" t="n"/>
      <c r="Q555" s="1665" t="n"/>
      <c r="R555" s="1665" t="n"/>
      <c r="S555" s="1665" t="n"/>
      <c r="T555" s="1665" t="n"/>
      <c r="U555" s="1665" t="n"/>
      <c r="V555" s="1665" t="n"/>
      <c r="W555" s="1665" t="n"/>
      <c r="X555" s="1665" t="n"/>
      <c r="Y555" s="1665" t="n"/>
      <c r="Z555" s="1665" t="n"/>
    </row>
    <row r="556" ht="15.75" customHeight="1" s="1666">
      <c r="J556" s="1665" t="n"/>
      <c r="K556" s="1665" t="n"/>
      <c r="L556" s="1665" t="n"/>
      <c r="M556" s="1665" t="n"/>
      <c r="N556" s="1665" t="n"/>
      <c r="O556" s="1665" t="n"/>
      <c r="P556" s="1665" t="n"/>
      <c r="Q556" s="1665" t="n"/>
      <c r="R556" s="1665" t="n"/>
      <c r="S556" s="1665" t="n"/>
      <c r="T556" s="1665" t="n"/>
      <c r="U556" s="1665" t="n"/>
      <c r="V556" s="1665" t="n"/>
      <c r="W556" s="1665" t="n"/>
      <c r="X556" s="1665" t="n"/>
      <c r="Y556" s="1665" t="n"/>
      <c r="Z556" s="1665" t="n"/>
    </row>
    <row r="557" ht="15.75" customHeight="1" s="1666">
      <c r="J557" s="1665" t="n"/>
      <c r="K557" s="1665" t="n"/>
      <c r="L557" s="1665" t="n"/>
      <c r="M557" s="1665" t="n"/>
      <c r="N557" s="1665" t="n"/>
      <c r="O557" s="1665" t="n"/>
      <c r="P557" s="1665" t="n"/>
      <c r="Q557" s="1665" t="n"/>
      <c r="R557" s="1665" t="n"/>
      <c r="S557" s="1665" t="n"/>
      <c r="T557" s="1665" t="n"/>
      <c r="U557" s="1665" t="n"/>
      <c r="V557" s="1665" t="n"/>
      <c r="W557" s="1665" t="n"/>
      <c r="X557" s="1665" t="n"/>
      <c r="Y557" s="1665" t="n"/>
      <c r="Z557" s="1665" t="n"/>
    </row>
    <row r="558" ht="15.75" customHeight="1" s="1666">
      <c r="J558" s="1665" t="n"/>
      <c r="K558" s="1665" t="n"/>
      <c r="L558" s="1665" t="n"/>
      <c r="M558" s="1665" t="n"/>
      <c r="N558" s="1665" t="n"/>
      <c r="O558" s="1665" t="n"/>
      <c r="P558" s="1665" t="n"/>
      <c r="Q558" s="1665" t="n"/>
      <c r="R558" s="1665" t="n"/>
      <c r="S558" s="1665" t="n"/>
      <c r="T558" s="1665" t="n"/>
      <c r="U558" s="1665" t="n"/>
      <c r="V558" s="1665" t="n"/>
      <c r="W558" s="1665" t="n"/>
      <c r="X558" s="1665" t="n"/>
      <c r="Y558" s="1665" t="n"/>
      <c r="Z558" s="1665" t="n"/>
    </row>
    <row r="559" ht="15.75" customHeight="1" s="1666">
      <c r="J559" s="1665" t="n"/>
      <c r="K559" s="1665" t="n"/>
      <c r="L559" s="1665" t="n"/>
      <c r="M559" s="1665" t="n"/>
      <c r="N559" s="1665" t="n"/>
      <c r="O559" s="1665" t="n"/>
      <c r="P559" s="1665" t="n"/>
      <c r="Q559" s="1665" t="n"/>
      <c r="R559" s="1665" t="n"/>
      <c r="S559" s="1665" t="n"/>
      <c r="T559" s="1665" t="n"/>
      <c r="U559" s="1665" t="n"/>
      <c r="V559" s="1665" t="n"/>
      <c r="W559" s="1665" t="n"/>
      <c r="X559" s="1665" t="n"/>
      <c r="Y559" s="1665" t="n"/>
      <c r="Z559" s="1665" t="n"/>
    </row>
    <row r="560" ht="15.75" customHeight="1" s="1666">
      <c r="J560" s="1665" t="n"/>
      <c r="K560" s="1665" t="n"/>
      <c r="L560" s="1665" t="n"/>
      <c r="M560" s="1665" t="n"/>
      <c r="N560" s="1665" t="n"/>
      <c r="O560" s="1665" t="n"/>
      <c r="P560" s="1665" t="n"/>
      <c r="Q560" s="1665" t="n"/>
      <c r="R560" s="1665" t="n"/>
      <c r="S560" s="1665" t="n"/>
      <c r="T560" s="1665" t="n"/>
      <c r="U560" s="1665" t="n"/>
      <c r="V560" s="1665" t="n"/>
      <c r="W560" s="1665" t="n"/>
      <c r="X560" s="1665" t="n"/>
      <c r="Y560" s="1665" t="n"/>
      <c r="Z560" s="1665" t="n"/>
    </row>
    <row r="561" ht="15.75" customHeight="1" s="1666">
      <c r="J561" s="1665" t="n"/>
      <c r="K561" s="1665" t="n"/>
      <c r="L561" s="1665" t="n"/>
      <c r="M561" s="1665" t="n"/>
      <c r="N561" s="1665" t="n"/>
      <c r="O561" s="1665" t="n"/>
      <c r="P561" s="1665" t="n"/>
      <c r="Q561" s="1665" t="n"/>
      <c r="R561" s="1665" t="n"/>
      <c r="S561" s="1665" t="n"/>
      <c r="T561" s="1665" t="n"/>
      <c r="U561" s="1665" t="n"/>
      <c r="V561" s="1665" t="n"/>
      <c r="W561" s="1665" t="n"/>
      <c r="X561" s="1665" t="n"/>
      <c r="Y561" s="1665" t="n"/>
      <c r="Z561" s="1665" t="n"/>
    </row>
    <row r="562" ht="15.75" customHeight="1" s="1666">
      <c r="J562" s="1665" t="n"/>
      <c r="K562" s="1665" t="n"/>
      <c r="L562" s="1665" t="n"/>
      <c r="M562" s="1665" t="n"/>
      <c r="N562" s="1665" t="n"/>
      <c r="O562" s="1665" t="n"/>
      <c r="P562" s="1665" t="n"/>
      <c r="Q562" s="1665" t="n"/>
      <c r="R562" s="1665" t="n"/>
      <c r="S562" s="1665" t="n"/>
      <c r="T562" s="1665" t="n"/>
      <c r="U562" s="1665" t="n"/>
      <c r="V562" s="1665" t="n"/>
      <c r="W562" s="1665" t="n"/>
      <c r="X562" s="1665" t="n"/>
      <c r="Y562" s="1665" t="n"/>
      <c r="Z562" s="1665" t="n"/>
    </row>
    <row r="563" ht="15.75" customHeight="1" s="1666">
      <c r="J563" s="1665" t="n"/>
      <c r="K563" s="1665" t="n"/>
      <c r="L563" s="1665" t="n"/>
      <c r="M563" s="1665" t="n"/>
      <c r="N563" s="1665" t="n"/>
      <c r="O563" s="1665" t="n"/>
      <c r="P563" s="1665" t="n"/>
      <c r="Q563" s="1665" t="n"/>
      <c r="R563" s="1665" t="n"/>
      <c r="S563" s="1665" t="n"/>
      <c r="T563" s="1665" t="n"/>
      <c r="U563" s="1665" t="n"/>
      <c r="V563" s="1665" t="n"/>
      <c r="W563" s="1665" t="n"/>
      <c r="X563" s="1665" t="n"/>
      <c r="Y563" s="1665" t="n"/>
      <c r="Z563" s="1665" t="n"/>
    </row>
    <row r="564" ht="15.75" customHeight="1" s="1666">
      <c r="J564" s="1665" t="n"/>
      <c r="K564" s="1665" t="n"/>
      <c r="L564" s="1665" t="n"/>
      <c r="M564" s="1665" t="n"/>
      <c r="N564" s="1665" t="n"/>
      <c r="O564" s="1665" t="n"/>
      <c r="P564" s="1665" t="n"/>
      <c r="Q564" s="1665" t="n"/>
      <c r="R564" s="1665" t="n"/>
      <c r="S564" s="1665" t="n"/>
      <c r="T564" s="1665" t="n"/>
      <c r="U564" s="1665" t="n"/>
      <c r="V564" s="1665" t="n"/>
      <c r="W564" s="1665" t="n"/>
      <c r="X564" s="1665" t="n"/>
      <c r="Y564" s="1665" t="n"/>
      <c r="Z564" s="1665" t="n"/>
    </row>
    <row r="565" ht="15.75" customHeight="1" s="1666">
      <c r="J565" s="1665" t="n"/>
      <c r="K565" s="1665" t="n"/>
      <c r="L565" s="1665" t="n"/>
      <c r="M565" s="1665" t="n"/>
      <c r="N565" s="1665" t="n"/>
      <c r="O565" s="1665" t="n"/>
      <c r="P565" s="1665" t="n"/>
      <c r="Q565" s="1665" t="n"/>
      <c r="R565" s="1665" t="n"/>
      <c r="S565" s="1665" t="n"/>
      <c r="T565" s="1665" t="n"/>
      <c r="U565" s="1665" t="n"/>
      <c r="V565" s="1665" t="n"/>
      <c r="W565" s="1665" t="n"/>
      <c r="X565" s="1665" t="n"/>
      <c r="Y565" s="1665" t="n"/>
      <c r="Z565" s="1665" t="n"/>
    </row>
    <row r="566" ht="15.75" customHeight="1" s="1666">
      <c r="J566" s="1665" t="n"/>
      <c r="K566" s="1665" t="n"/>
      <c r="L566" s="1665" t="n"/>
      <c r="M566" s="1665" t="n"/>
      <c r="N566" s="1665" t="n"/>
      <c r="O566" s="1665" t="n"/>
      <c r="P566" s="1665" t="n"/>
      <c r="Q566" s="1665" t="n"/>
      <c r="R566" s="1665" t="n"/>
      <c r="S566" s="1665" t="n"/>
      <c r="T566" s="1665" t="n"/>
      <c r="U566" s="1665" t="n"/>
      <c r="V566" s="1665" t="n"/>
      <c r="W566" s="1665" t="n"/>
      <c r="X566" s="1665" t="n"/>
      <c r="Y566" s="1665" t="n"/>
      <c r="Z566" s="1665" t="n"/>
    </row>
    <row r="567" ht="15.75" customHeight="1" s="1666">
      <c r="J567" s="1665" t="n"/>
      <c r="K567" s="1665" t="n"/>
      <c r="L567" s="1665" t="n"/>
      <c r="M567" s="1665" t="n"/>
      <c r="N567" s="1665" t="n"/>
      <c r="O567" s="1665" t="n"/>
      <c r="P567" s="1665" t="n"/>
      <c r="Q567" s="1665" t="n"/>
      <c r="R567" s="1665" t="n"/>
      <c r="S567" s="1665" t="n"/>
      <c r="T567" s="1665" t="n"/>
      <c r="U567" s="1665" t="n"/>
      <c r="V567" s="1665" t="n"/>
      <c r="W567" s="1665" t="n"/>
      <c r="X567" s="1665" t="n"/>
      <c r="Y567" s="1665" t="n"/>
      <c r="Z567" s="1665" t="n"/>
    </row>
    <row r="568" ht="15.75" customHeight="1" s="1666">
      <c r="J568" s="1665" t="n"/>
      <c r="K568" s="1665" t="n"/>
      <c r="L568" s="1665" t="n"/>
      <c r="M568" s="1665" t="n"/>
      <c r="N568" s="1665" t="n"/>
      <c r="O568" s="1665" t="n"/>
      <c r="P568" s="1665" t="n"/>
      <c r="Q568" s="1665" t="n"/>
      <c r="R568" s="1665" t="n"/>
      <c r="S568" s="1665" t="n"/>
      <c r="T568" s="1665" t="n"/>
      <c r="U568" s="1665" t="n"/>
      <c r="V568" s="1665" t="n"/>
      <c r="W568" s="1665" t="n"/>
      <c r="X568" s="1665" t="n"/>
      <c r="Y568" s="1665" t="n"/>
      <c r="Z568" s="1665" t="n"/>
    </row>
    <row r="569" ht="15.75" customHeight="1" s="1666">
      <c r="J569" s="1665" t="n"/>
      <c r="K569" s="1665" t="n"/>
      <c r="L569" s="1665" t="n"/>
      <c r="M569" s="1665" t="n"/>
      <c r="N569" s="1665" t="n"/>
      <c r="O569" s="1665" t="n"/>
      <c r="P569" s="1665" t="n"/>
      <c r="Q569" s="1665" t="n"/>
      <c r="R569" s="1665" t="n"/>
      <c r="S569" s="1665" t="n"/>
      <c r="T569" s="1665" t="n"/>
      <c r="U569" s="1665" t="n"/>
      <c r="V569" s="1665" t="n"/>
      <c r="W569" s="1665" t="n"/>
      <c r="X569" s="1665" t="n"/>
      <c r="Y569" s="1665" t="n"/>
      <c r="Z569" s="1665" t="n"/>
    </row>
    <row r="570" ht="15.75" customHeight="1" s="1666">
      <c r="J570" s="1665" t="n"/>
      <c r="K570" s="1665" t="n"/>
      <c r="L570" s="1665" t="n"/>
      <c r="M570" s="1665" t="n"/>
      <c r="N570" s="1665" t="n"/>
      <c r="O570" s="1665" t="n"/>
      <c r="P570" s="1665" t="n"/>
      <c r="Q570" s="1665" t="n"/>
      <c r="R570" s="1665" t="n"/>
      <c r="S570" s="1665" t="n"/>
      <c r="T570" s="1665" t="n"/>
      <c r="U570" s="1665" t="n"/>
      <c r="V570" s="1665" t="n"/>
      <c r="W570" s="1665" t="n"/>
      <c r="X570" s="1665" t="n"/>
      <c r="Y570" s="1665" t="n"/>
      <c r="Z570" s="1665" t="n"/>
    </row>
    <row r="571" ht="15.75" customHeight="1" s="1666">
      <c r="J571" s="1665" t="n"/>
      <c r="K571" s="1665" t="n"/>
      <c r="L571" s="1665" t="n"/>
      <c r="M571" s="1665" t="n"/>
      <c r="N571" s="1665" t="n"/>
      <c r="O571" s="1665" t="n"/>
      <c r="P571" s="1665" t="n"/>
      <c r="Q571" s="1665" t="n"/>
      <c r="R571" s="1665" t="n"/>
      <c r="S571" s="1665" t="n"/>
      <c r="T571" s="1665" t="n"/>
      <c r="U571" s="1665" t="n"/>
      <c r="V571" s="1665" t="n"/>
      <c r="W571" s="1665" t="n"/>
      <c r="X571" s="1665" t="n"/>
      <c r="Y571" s="1665" t="n"/>
      <c r="Z571" s="1665" t="n"/>
    </row>
    <row r="572" ht="15.75" customHeight="1" s="1666">
      <c r="J572" s="1665" t="n"/>
      <c r="K572" s="1665" t="n"/>
      <c r="L572" s="1665" t="n"/>
      <c r="M572" s="1665" t="n"/>
      <c r="N572" s="1665" t="n"/>
      <c r="O572" s="1665" t="n"/>
      <c r="P572" s="1665" t="n"/>
      <c r="Q572" s="1665" t="n"/>
      <c r="R572" s="1665" t="n"/>
      <c r="S572" s="1665" t="n"/>
      <c r="T572" s="1665" t="n"/>
      <c r="U572" s="1665" t="n"/>
      <c r="V572" s="1665" t="n"/>
      <c r="W572" s="1665" t="n"/>
      <c r="X572" s="1665" t="n"/>
      <c r="Y572" s="1665" t="n"/>
      <c r="Z572" s="1665" t="n"/>
    </row>
    <row r="573" ht="15.75" customHeight="1" s="1666">
      <c r="J573" s="1665" t="n"/>
      <c r="K573" s="1665" t="n"/>
      <c r="L573" s="1665" t="n"/>
      <c r="M573" s="1665" t="n"/>
      <c r="N573" s="1665" t="n"/>
      <c r="O573" s="1665" t="n"/>
      <c r="P573" s="1665" t="n"/>
      <c r="Q573" s="1665" t="n"/>
      <c r="R573" s="1665" t="n"/>
      <c r="S573" s="1665" t="n"/>
      <c r="T573" s="1665" t="n"/>
      <c r="U573" s="1665" t="n"/>
      <c r="V573" s="1665" t="n"/>
      <c r="W573" s="1665" t="n"/>
      <c r="X573" s="1665" t="n"/>
      <c r="Y573" s="1665" t="n"/>
      <c r="Z573" s="1665" t="n"/>
    </row>
    <row r="574" ht="15.75" customHeight="1" s="1666">
      <c r="J574" s="1665" t="n"/>
      <c r="K574" s="1665" t="n"/>
      <c r="L574" s="1665" t="n"/>
      <c r="M574" s="1665" t="n"/>
      <c r="N574" s="1665" t="n"/>
      <c r="O574" s="1665" t="n"/>
      <c r="P574" s="1665" t="n"/>
      <c r="Q574" s="1665" t="n"/>
      <c r="R574" s="1665" t="n"/>
      <c r="S574" s="1665" t="n"/>
      <c r="T574" s="1665" t="n"/>
      <c r="U574" s="1665" t="n"/>
      <c r="V574" s="1665" t="n"/>
      <c r="W574" s="1665" t="n"/>
      <c r="X574" s="1665" t="n"/>
      <c r="Y574" s="1665" t="n"/>
      <c r="Z574" s="1665" t="n"/>
    </row>
    <row r="575" ht="15.75" customHeight="1" s="1666">
      <c r="J575" s="1665" t="n"/>
      <c r="K575" s="1665" t="n"/>
      <c r="L575" s="1665" t="n"/>
      <c r="M575" s="1665" t="n"/>
      <c r="N575" s="1665" t="n"/>
      <c r="O575" s="1665" t="n"/>
      <c r="P575" s="1665" t="n"/>
      <c r="Q575" s="1665" t="n"/>
      <c r="R575" s="1665" t="n"/>
      <c r="S575" s="1665" t="n"/>
      <c r="T575" s="1665" t="n"/>
      <c r="U575" s="1665" t="n"/>
      <c r="V575" s="1665" t="n"/>
      <c r="W575" s="1665" t="n"/>
      <c r="X575" s="1665" t="n"/>
      <c r="Y575" s="1665" t="n"/>
      <c r="Z575" s="1665" t="n"/>
    </row>
    <row r="576" ht="15.75" customHeight="1" s="1666">
      <c r="J576" s="1665" t="n"/>
      <c r="K576" s="1665" t="n"/>
      <c r="L576" s="1665" t="n"/>
      <c r="M576" s="1665" t="n"/>
      <c r="N576" s="1665" t="n"/>
      <c r="O576" s="1665" t="n"/>
      <c r="P576" s="1665" t="n"/>
      <c r="Q576" s="1665" t="n"/>
      <c r="R576" s="1665" t="n"/>
      <c r="S576" s="1665" t="n"/>
      <c r="T576" s="1665" t="n"/>
      <c r="U576" s="1665" t="n"/>
      <c r="V576" s="1665" t="n"/>
      <c r="W576" s="1665" t="n"/>
      <c r="X576" s="1665" t="n"/>
      <c r="Y576" s="1665" t="n"/>
      <c r="Z576" s="1665" t="n"/>
    </row>
    <row r="577" ht="15.75" customHeight="1" s="1666">
      <c r="J577" s="1665" t="n"/>
      <c r="K577" s="1665" t="n"/>
      <c r="L577" s="1665" t="n"/>
      <c r="M577" s="1665" t="n"/>
      <c r="N577" s="1665" t="n"/>
      <c r="O577" s="1665" t="n"/>
      <c r="P577" s="1665" t="n"/>
      <c r="Q577" s="1665" t="n"/>
      <c r="R577" s="1665" t="n"/>
      <c r="S577" s="1665" t="n"/>
      <c r="T577" s="1665" t="n"/>
      <c r="U577" s="1665" t="n"/>
      <c r="V577" s="1665" t="n"/>
      <c r="W577" s="1665" t="n"/>
      <c r="X577" s="1665" t="n"/>
      <c r="Y577" s="1665" t="n"/>
      <c r="Z577" s="1665" t="n"/>
    </row>
    <row r="578" ht="15.75" customHeight="1" s="1666">
      <c r="J578" s="1665" t="n"/>
      <c r="K578" s="1665" t="n"/>
      <c r="L578" s="1665" t="n"/>
      <c r="M578" s="1665" t="n"/>
      <c r="N578" s="1665" t="n"/>
      <c r="O578" s="1665" t="n"/>
      <c r="P578" s="1665" t="n"/>
      <c r="Q578" s="1665" t="n"/>
      <c r="R578" s="1665" t="n"/>
      <c r="S578" s="1665" t="n"/>
      <c r="T578" s="1665" t="n"/>
      <c r="U578" s="1665" t="n"/>
      <c r="V578" s="1665" t="n"/>
      <c r="W578" s="1665" t="n"/>
      <c r="X578" s="1665" t="n"/>
      <c r="Y578" s="1665" t="n"/>
      <c r="Z578" s="1665" t="n"/>
    </row>
    <row r="579" ht="15.75" customHeight="1" s="1666">
      <c r="J579" s="1665" t="n"/>
      <c r="K579" s="1665" t="n"/>
      <c r="L579" s="1665" t="n"/>
      <c r="M579" s="1665" t="n"/>
      <c r="N579" s="1665" t="n"/>
      <c r="O579" s="1665" t="n"/>
      <c r="P579" s="1665" t="n"/>
      <c r="Q579" s="1665" t="n"/>
      <c r="R579" s="1665" t="n"/>
      <c r="S579" s="1665" t="n"/>
      <c r="T579" s="1665" t="n"/>
      <c r="U579" s="1665" t="n"/>
      <c r="V579" s="1665" t="n"/>
      <c r="W579" s="1665" t="n"/>
      <c r="X579" s="1665" t="n"/>
      <c r="Y579" s="1665" t="n"/>
      <c r="Z579" s="1665" t="n"/>
    </row>
    <row r="580" ht="15.75" customHeight="1" s="1666">
      <c r="J580" s="1665" t="n"/>
      <c r="K580" s="1665" t="n"/>
      <c r="L580" s="1665" t="n"/>
      <c r="M580" s="1665" t="n"/>
      <c r="N580" s="1665" t="n"/>
      <c r="O580" s="1665" t="n"/>
      <c r="P580" s="1665" t="n"/>
      <c r="Q580" s="1665" t="n"/>
      <c r="R580" s="1665" t="n"/>
      <c r="S580" s="1665" t="n"/>
      <c r="T580" s="1665" t="n"/>
      <c r="U580" s="1665" t="n"/>
      <c r="V580" s="1665" t="n"/>
      <c r="W580" s="1665" t="n"/>
      <c r="X580" s="1665" t="n"/>
      <c r="Y580" s="1665" t="n"/>
      <c r="Z580" s="1665" t="n"/>
    </row>
    <row r="581" ht="15.75" customHeight="1" s="1666">
      <c r="J581" s="1665" t="n"/>
      <c r="K581" s="1665" t="n"/>
      <c r="L581" s="1665" t="n"/>
      <c r="M581" s="1665" t="n"/>
      <c r="N581" s="1665" t="n"/>
      <c r="O581" s="1665" t="n"/>
      <c r="P581" s="1665" t="n"/>
      <c r="Q581" s="1665" t="n"/>
      <c r="R581" s="1665" t="n"/>
      <c r="S581" s="1665" t="n"/>
      <c r="T581" s="1665" t="n"/>
      <c r="U581" s="1665" t="n"/>
      <c r="V581" s="1665" t="n"/>
      <c r="W581" s="1665" t="n"/>
      <c r="X581" s="1665" t="n"/>
      <c r="Y581" s="1665" t="n"/>
      <c r="Z581" s="1665" t="n"/>
    </row>
    <row r="582" ht="15.75" customHeight="1" s="1666">
      <c r="J582" s="1665" t="n"/>
      <c r="K582" s="1665" t="n"/>
      <c r="L582" s="1665" t="n"/>
      <c r="M582" s="1665" t="n"/>
      <c r="N582" s="1665" t="n"/>
      <c r="O582" s="1665" t="n"/>
      <c r="P582" s="1665" t="n"/>
      <c r="Q582" s="1665" t="n"/>
      <c r="R582" s="1665" t="n"/>
      <c r="S582" s="1665" t="n"/>
      <c r="T582" s="1665" t="n"/>
      <c r="U582" s="1665" t="n"/>
      <c r="V582" s="1665" t="n"/>
      <c r="W582" s="1665" t="n"/>
      <c r="X582" s="1665" t="n"/>
      <c r="Y582" s="1665" t="n"/>
      <c r="Z582" s="1665" t="n"/>
    </row>
    <row r="583" ht="15.75" customHeight="1" s="1666">
      <c r="J583" s="1665" t="n"/>
      <c r="K583" s="1665" t="n"/>
      <c r="L583" s="1665" t="n"/>
      <c r="M583" s="1665" t="n"/>
      <c r="N583" s="1665" t="n"/>
      <c r="O583" s="1665" t="n"/>
      <c r="P583" s="1665" t="n"/>
      <c r="Q583" s="1665" t="n"/>
      <c r="R583" s="1665" t="n"/>
      <c r="S583" s="1665" t="n"/>
      <c r="T583" s="1665" t="n"/>
      <c r="U583" s="1665" t="n"/>
      <c r="V583" s="1665" t="n"/>
      <c r="W583" s="1665" t="n"/>
      <c r="X583" s="1665" t="n"/>
      <c r="Y583" s="1665" t="n"/>
      <c r="Z583" s="1665" t="n"/>
    </row>
    <row r="584" ht="15.75" customHeight="1" s="1666">
      <c r="J584" s="1665" t="n"/>
      <c r="K584" s="1665" t="n"/>
      <c r="L584" s="1665" t="n"/>
      <c r="M584" s="1665" t="n"/>
      <c r="N584" s="1665" t="n"/>
      <c r="O584" s="1665" t="n"/>
      <c r="P584" s="1665" t="n"/>
      <c r="Q584" s="1665" t="n"/>
      <c r="R584" s="1665" t="n"/>
      <c r="S584" s="1665" t="n"/>
      <c r="T584" s="1665" t="n"/>
      <c r="U584" s="1665" t="n"/>
      <c r="V584" s="1665" t="n"/>
      <c r="W584" s="1665" t="n"/>
      <c r="X584" s="1665" t="n"/>
      <c r="Y584" s="1665" t="n"/>
      <c r="Z584" s="1665" t="n"/>
    </row>
    <row r="585" ht="15.75" customHeight="1" s="1666">
      <c r="J585" s="1665" t="n"/>
      <c r="K585" s="1665" t="n"/>
      <c r="L585" s="1665" t="n"/>
      <c r="M585" s="1665" t="n"/>
      <c r="N585" s="1665" t="n"/>
      <c r="O585" s="1665" t="n"/>
      <c r="P585" s="1665" t="n"/>
      <c r="Q585" s="1665" t="n"/>
      <c r="R585" s="1665" t="n"/>
      <c r="S585" s="1665" t="n"/>
      <c r="T585" s="1665" t="n"/>
      <c r="U585" s="1665" t="n"/>
      <c r="V585" s="1665" t="n"/>
      <c r="W585" s="1665" t="n"/>
      <c r="X585" s="1665" t="n"/>
      <c r="Y585" s="1665" t="n"/>
      <c r="Z585" s="1665" t="n"/>
    </row>
    <row r="586" ht="15.75" customHeight="1" s="1666">
      <c r="J586" s="1665" t="n"/>
      <c r="K586" s="1665" t="n"/>
      <c r="L586" s="1665" t="n"/>
      <c r="M586" s="1665" t="n"/>
      <c r="N586" s="1665" t="n"/>
      <c r="O586" s="1665" t="n"/>
      <c r="P586" s="1665" t="n"/>
      <c r="Q586" s="1665" t="n"/>
      <c r="R586" s="1665" t="n"/>
      <c r="S586" s="1665" t="n"/>
      <c r="T586" s="1665" t="n"/>
      <c r="U586" s="1665" t="n"/>
      <c r="V586" s="1665" t="n"/>
      <c r="W586" s="1665" t="n"/>
      <c r="X586" s="1665" t="n"/>
      <c r="Y586" s="1665" t="n"/>
      <c r="Z586" s="1665" t="n"/>
    </row>
    <row r="587" ht="15.75" customHeight="1" s="1666">
      <c r="J587" s="1665" t="n"/>
      <c r="K587" s="1665" t="n"/>
      <c r="L587" s="1665" t="n"/>
      <c r="M587" s="1665" t="n"/>
      <c r="N587" s="1665" t="n"/>
      <c r="O587" s="1665" t="n"/>
      <c r="P587" s="1665" t="n"/>
      <c r="Q587" s="1665" t="n"/>
      <c r="R587" s="1665" t="n"/>
      <c r="S587" s="1665" t="n"/>
      <c r="T587" s="1665" t="n"/>
      <c r="U587" s="1665" t="n"/>
      <c r="V587" s="1665" t="n"/>
      <c r="W587" s="1665" t="n"/>
      <c r="X587" s="1665" t="n"/>
      <c r="Y587" s="1665" t="n"/>
      <c r="Z587" s="1665" t="n"/>
    </row>
    <row r="588" ht="15.75" customHeight="1" s="1666">
      <c r="J588" s="1665" t="n"/>
      <c r="K588" s="1665" t="n"/>
      <c r="L588" s="1665" t="n"/>
      <c r="M588" s="1665" t="n"/>
      <c r="N588" s="1665" t="n"/>
      <c r="O588" s="1665" t="n"/>
      <c r="P588" s="1665" t="n"/>
      <c r="Q588" s="1665" t="n"/>
      <c r="R588" s="1665" t="n"/>
      <c r="S588" s="1665" t="n"/>
      <c r="T588" s="1665" t="n"/>
      <c r="U588" s="1665" t="n"/>
      <c r="V588" s="1665" t="n"/>
      <c r="W588" s="1665" t="n"/>
      <c r="X588" s="1665" t="n"/>
      <c r="Y588" s="1665" t="n"/>
      <c r="Z588" s="1665" t="n"/>
    </row>
    <row r="589" ht="15.75" customHeight="1" s="1666">
      <c r="J589" s="1665" t="n"/>
      <c r="K589" s="1665" t="n"/>
      <c r="L589" s="1665" t="n"/>
      <c r="M589" s="1665" t="n"/>
      <c r="N589" s="1665" t="n"/>
      <c r="O589" s="1665" t="n"/>
      <c r="P589" s="1665" t="n"/>
      <c r="Q589" s="1665" t="n"/>
      <c r="R589" s="1665" t="n"/>
      <c r="S589" s="1665" t="n"/>
      <c r="T589" s="1665" t="n"/>
      <c r="U589" s="1665" t="n"/>
      <c r="V589" s="1665" t="n"/>
      <c r="W589" s="1665" t="n"/>
      <c r="X589" s="1665" t="n"/>
      <c r="Y589" s="1665" t="n"/>
      <c r="Z589" s="1665" t="n"/>
    </row>
    <row r="590" ht="15.75" customHeight="1" s="1666">
      <c r="J590" s="1665" t="n"/>
      <c r="K590" s="1665" t="n"/>
      <c r="L590" s="1665" t="n"/>
      <c r="M590" s="1665" t="n"/>
      <c r="N590" s="1665" t="n"/>
      <c r="O590" s="1665" t="n"/>
      <c r="P590" s="1665" t="n"/>
      <c r="Q590" s="1665" t="n"/>
      <c r="R590" s="1665" t="n"/>
      <c r="S590" s="1665" t="n"/>
      <c r="T590" s="1665" t="n"/>
      <c r="U590" s="1665" t="n"/>
      <c r="V590" s="1665" t="n"/>
      <c r="W590" s="1665" t="n"/>
      <c r="X590" s="1665" t="n"/>
      <c r="Y590" s="1665" t="n"/>
      <c r="Z590" s="1665" t="n"/>
    </row>
    <row r="591" ht="15.75" customHeight="1" s="1666">
      <c r="J591" s="1665" t="n"/>
      <c r="K591" s="1665" t="n"/>
      <c r="L591" s="1665" t="n"/>
      <c r="M591" s="1665" t="n"/>
      <c r="N591" s="1665" t="n"/>
      <c r="O591" s="1665" t="n"/>
      <c r="P591" s="1665" t="n"/>
      <c r="Q591" s="1665" t="n"/>
      <c r="R591" s="1665" t="n"/>
      <c r="S591" s="1665" t="n"/>
      <c r="T591" s="1665" t="n"/>
      <c r="U591" s="1665" t="n"/>
      <c r="V591" s="1665" t="n"/>
      <c r="W591" s="1665" t="n"/>
      <c r="X591" s="1665" t="n"/>
      <c r="Y591" s="1665" t="n"/>
      <c r="Z591" s="1665" t="n"/>
    </row>
    <row r="592" ht="15.75" customHeight="1" s="1666">
      <c r="J592" s="1665" t="n"/>
      <c r="K592" s="1665" t="n"/>
      <c r="L592" s="1665" t="n"/>
      <c r="M592" s="1665" t="n"/>
      <c r="N592" s="1665" t="n"/>
      <c r="O592" s="1665" t="n"/>
      <c r="P592" s="1665" t="n"/>
      <c r="Q592" s="1665" t="n"/>
      <c r="R592" s="1665" t="n"/>
      <c r="S592" s="1665" t="n"/>
      <c r="T592" s="1665" t="n"/>
      <c r="U592" s="1665" t="n"/>
      <c r="V592" s="1665" t="n"/>
      <c r="W592" s="1665" t="n"/>
      <c r="X592" s="1665" t="n"/>
      <c r="Y592" s="1665" t="n"/>
      <c r="Z592" s="1665" t="n"/>
    </row>
    <row r="593" ht="15.75" customHeight="1" s="1666">
      <c r="J593" s="1665" t="n"/>
      <c r="K593" s="1665" t="n"/>
      <c r="L593" s="1665" t="n"/>
      <c r="M593" s="1665" t="n"/>
      <c r="N593" s="1665" t="n"/>
      <c r="O593" s="1665" t="n"/>
      <c r="P593" s="1665" t="n"/>
      <c r="Q593" s="1665" t="n"/>
      <c r="R593" s="1665" t="n"/>
      <c r="S593" s="1665" t="n"/>
      <c r="T593" s="1665" t="n"/>
      <c r="U593" s="1665" t="n"/>
      <c r="V593" s="1665" t="n"/>
      <c r="W593" s="1665" t="n"/>
      <c r="X593" s="1665" t="n"/>
      <c r="Y593" s="1665" t="n"/>
      <c r="Z593" s="1665" t="n"/>
    </row>
    <row r="594" ht="15.75" customHeight="1" s="1666">
      <c r="J594" s="1665" t="n"/>
      <c r="K594" s="1665" t="n"/>
      <c r="L594" s="1665" t="n"/>
      <c r="M594" s="1665" t="n"/>
      <c r="N594" s="1665" t="n"/>
      <c r="O594" s="1665" t="n"/>
      <c r="P594" s="1665" t="n"/>
      <c r="Q594" s="1665" t="n"/>
      <c r="R594" s="1665" t="n"/>
      <c r="S594" s="1665" t="n"/>
      <c r="T594" s="1665" t="n"/>
      <c r="U594" s="1665" t="n"/>
      <c r="V594" s="1665" t="n"/>
      <c r="W594" s="1665" t="n"/>
      <c r="X594" s="1665" t="n"/>
      <c r="Y594" s="1665" t="n"/>
      <c r="Z594" s="1665" t="n"/>
    </row>
    <row r="595" ht="15.75" customHeight="1" s="1666">
      <c r="J595" s="1665" t="n"/>
      <c r="K595" s="1665" t="n"/>
      <c r="L595" s="1665" t="n"/>
      <c r="M595" s="1665" t="n"/>
      <c r="N595" s="1665" t="n"/>
      <c r="O595" s="1665" t="n"/>
      <c r="P595" s="1665" t="n"/>
      <c r="Q595" s="1665" t="n"/>
      <c r="R595" s="1665" t="n"/>
      <c r="S595" s="1665" t="n"/>
      <c r="T595" s="1665" t="n"/>
      <c r="U595" s="1665" t="n"/>
      <c r="V595" s="1665" t="n"/>
      <c r="W595" s="1665" t="n"/>
      <c r="X595" s="1665" t="n"/>
      <c r="Y595" s="1665" t="n"/>
      <c r="Z595" s="1665" t="n"/>
    </row>
    <row r="596" ht="15.75" customHeight="1" s="1666">
      <c r="J596" s="1665" t="n"/>
      <c r="K596" s="1665" t="n"/>
      <c r="L596" s="1665" t="n"/>
      <c r="M596" s="1665" t="n"/>
      <c r="N596" s="1665" t="n"/>
      <c r="O596" s="1665" t="n"/>
      <c r="P596" s="1665" t="n"/>
      <c r="Q596" s="1665" t="n"/>
      <c r="R596" s="1665" t="n"/>
      <c r="S596" s="1665" t="n"/>
      <c r="T596" s="1665" t="n"/>
      <c r="U596" s="1665" t="n"/>
      <c r="V596" s="1665" t="n"/>
      <c r="W596" s="1665" t="n"/>
      <c r="X596" s="1665" t="n"/>
      <c r="Y596" s="1665" t="n"/>
      <c r="Z596" s="1665" t="n"/>
    </row>
    <row r="597" ht="15.75" customHeight="1" s="1666">
      <c r="J597" s="1665" t="n"/>
      <c r="K597" s="1665" t="n"/>
      <c r="L597" s="1665" t="n"/>
      <c r="M597" s="1665" t="n"/>
      <c r="N597" s="1665" t="n"/>
      <c r="O597" s="1665" t="n"/>
      <c r="P597" s="1665" t="n"/>
      <c r="Q597" s="1665" t="n"/>
      <c r="R597" s="1665" t="n"/>
      <c r="S597" s="1665" t="n"/>
      <c r="T597" s="1665" t="n"/>
      <c r="U597" s="1665" t="n"/>
      <c r="V597" s="1665" t="n"/>
      <c r="W597" s="1665" t="n"/>
      <c r="X597" s="1665" t="n"/>
      <c r="Y597" s="1665" t="n"/>
      <c r="Z597" s="1665" t="n"/>
    </row>
    <row r="598" ht="15.75" customHeight="1" s="1666">
      <c r="J598" s="1665" t="n"/>
      <c r="K598" s="1665" t="n"/>
      <c r="L598" s="1665" t="n"/>
      <c r="M598" s="1665" t="n"/>
      <c r="N598" s="1665" t="n"/>
      <c r="O598" s="1665" t="n"/>
      <c r="P598" s="1665" t="n"/>
      <c r="Q598" s="1665" t="n"/>
      <c r="R598" s="1665" t="n"/>
      <c r="S598" s="1665" t="n"/>
      <c r="T598" s="1665" t="n"/>
      <c r="U598" s="1665" t="n"/>
      <c r="V598" s="1665" t="n"/>
      <c r="W598" s="1665" t="n"/>
      <c r="X598" s="1665" t="n"/>
      <c r="Y598" s="1665" t="n"/>
      <c r="Z598" s="1665" t="n"/>
    </row>
    <row r="599" ht="15.75" customHeight="1" s="1666">
      <c r="J599" s="1665" t="n"/>
      <c r="K599" s="1665" t="n"/>
      <c r="L599" s="1665" t="n"/>
      <c r="M599" s="1665" t="n"/>
      <c r="N599" s="1665" t="n"/>
      <c r="O599" s="1665" t="n"/>
      <c r="P599" s="1665" t="n"/>
      <c r="Q599" s="1665" t="n"/>
      <c r="R599" s="1665" t="n"/>
      <c r="S599" s="1665" t="n"/>
      <c r="T599" s="1665" t="n"/>
      <c r="U599" s="1665" t="n"/>
      <c r="V599" s="1665" t="n"/>
      <c r="W599" s="1665" t="n"/>
      <c r="X599" s="1665" t="n"/>
      <c r="Y599" s="1665" t="n"/>
      <c r="Z599" s="1665" t="n"/>
    </row>
    <row r="600" ht="15.75" customHeight="1" s="1666">
      <c r="J600" s="1665" t="n"/>
      <c r="K600" s="1665" t="n"/>
      <c r="L600" s="1665" t="n"/>
      <c r="M600" s="1665" t="n"/>
      <c r="N600" s="1665" t="n"/>
      <c r="O600" s="1665" t="n"/>
      <c r="P600" s="1665" t="n"/>
      <c r="Q600" s="1665" t="n"/>
      <c r="R600" s="1665" t="n"/>
      <c r="S600" s="1665" t="n"/>
      <c r="T600" s="1665" t="n"/>
      <c r="U600" s="1665" t="n"/>
      <c r="V600" s="1665" t="n"/>
      <c r="W600" s="1665" t="n"/>
      <c r="X600" s="1665" t="n"/>
      <c r="Y600" s="1665" t="n"/>
      <c r="Z600" s="1665" t="n"/>
    </row>
    <row r="601" ht="15.75" customHeight="1" s="1666">
      <c r="J601" s="1665" t="n"/>
      <c r="K601" s="1665" t="n"/>
      <c r="L601" s="1665" t="n"/>
      <c r="M601" s="1665" t="n"/>
      <c r="N601" s="1665" t="n"/>
      <c r="O601" s="1665" t="n"/>
      <c r="P601" s="1665" t="n"/>
      <c r="Q601" s="1665" t="n"/>
      <c r="R601" s="1665" t="n"/>
      <c r="S601" s="1665" t="n"/>
      <c r="T601" s="1665" t="n"/>
      <c r="U601" s="1665" t="n"/>
      <c r="V601" s="1665" t="n"/>
      <c r="W601" s="1665" t="n"/>
      <c r="X601" s="1665" t="n"/>
      <c r="Y601" s="1665" t="n"/>
      <c r="Z601" s="1665" t="n"/>
    </row>
    <row r="602" ht="15.75" customHeight="1" s="1666">
      <c r="J602" s="1665" t="n"/>
      <c r="K602" s="1665" t="n"/>
      <c r="L602" s="1665" t="n"/>
      <c r="M602" s="1665" t="n"/>
      <c r="N602" s="1665" t="n"/>
      <c r="O602" s="1665" t="n"/>
      <c r="P602" s="1665" t="n"/>
      <c r="Q602" s="1665" t="n"/>
      <c r="R602" s="1665" t="n"/>
      <c r="S602" s="1665" t="n"/>
      <c r="T602" s="1665" t="n"/>
      <c r="U602" s="1665" t="n"/>
      <c r="V602" s="1665" t="n"/>
      <c r="W602" s="1665" t="n"/>
      <c r="X602" s="1665" t="n"/>
      <c r="Y602" s="1665" t="n"/>
      <c r="Z602" s="1665" t="n"/>
    </row>
    <row r="603" ht="15.75" customHeight="1" s="1666">
      <c r="J603" s="1665" t="n"/>
      <c r="K603" s="1665" t="n"/>
      <c r="L603" s="1665" t="n"/>
      <c r="M603" s="1665" t="n"/>
      <c r="N603" s="1665" t="n"/>
      <c r="O603" s="1665" t="n"/>
      <c r="P603" s="1665" t="n"/>
      <c r="Q603" s="1665" t="n"/>
      <c r="R603" s="1665" t="n"/>
      <c r="S603" s="1665" t="n"/>
      <c r="T603" s="1665" t="n"/>
      <c r="U603" s="1665" t="n"/>
      <c r="V603" s="1665" t="n"/>
      <c r="W603" s="1665" t="n"/>
      <c r="X603" s="1665" t="n"/>
      <c r="Y603" s="1665" t="n"/>
      <c r="Z603" s="1665" t="n"/>
    </row>
    <row r="604" ht="15.75" customHeight="1" s="1666">
      <c r="J604" s="1665" t="n"/>
      <c r="K604" s="1665" t="n"/>
      <c r="L604" s="1665" t="n"/>
      <c r="M604" s="1665" t="n"/>
      <c r="N604" s="1665" t="n"/>
      <c r="O604" s="1665" t="n"/>
      <c r="P604" s="1665" t="n"/>
      <c r="Q604" s="1665" t="n"/>
      <c r="R604" s="1665" t="n"/>
      <c r="S604" s="1665" t="n"/>
      <c r="T604" s="1665" t="n"/>
      <c r="U604" s="1665" t="n"/>
      <c r="V604" s="1665" t="n"/>
      <c r="W604" s="1665" t="n"/>
      <c r="X604" s="1665" t="n"/>
      <c r="Y604" s="1665" t="n"/>
      <c r="Z604" s="1665" t="n"/>
    </row>
    <row r="605" ht="15.75" customHeight="1" s="1666">
      <c r="J605" s="1665" t="n"/>
      <c r="K605" s="1665" t="n"/>
      <c r="L605" s="1665" t="n"/>
      <c r="M605" s="1665" t="n"/>
      <c r="N605" s="1665" t="n"/>
      <c r="O605" s="1665" t="n"/>
      <c r="P605" s="1665" t="n"/>
      <c r="Q605" s="1665" t="n"/>
      <c r="R605" s="1665" t="n"/>
      <c r="S605" s="1665" t="n"/>
      <c r="T605" s="1665" t="n"/>
      <c r="U605" s="1665" t="n"/>
      <c r="V605" s="1665" t="n"/>
      <c r="W605" s="1665" t="n"/>
      <c r="X605" s="1665" t="n"/>
      <c r="Y605" s="1665" t="n"/>
      <c r="Z605" s="1665" t="n"/>
    </row>
    <row r="606" ht="15.75" customHeight="1" s="1666">
      <c r="J606" s="1665" t="n"/>
      <c r="K606" s="1665" t="n"/>
      <c r="L606" s="1665" t="n"/>
      <c r="M606" s="1665" t="n"/>
      <c r="N606" s="1665" t="n"/>
      <c r="O606" s="1665" t="n"/>
      <c r="P606" s="1665" t="n"/>
      <c r="Q606" s="1665" t="n"/>
      <c r="R606" s="1665" t="n"/>
      <c r="S606" s="1665" t="n"/>
      <c r="T606" s="1665" t="n"/>
      <c r="U606" s="1665" t="n"/>
      <c r="V606" s="1665" t="n"/>
      <c r="W606" s="1665" t="n"/>
      <c r="X606" s="1665" t="n"/>
      <c r="Y606" s="1665" t="n"/>
      <c r="Z606" s="1665" t="n"/>
    </row>
    <row r="607" ht="15.75" customHeight="1" s="1666">
      <c r="J607" s="1665" t="n"/>
      <c r="K607" s="1665" t="n"/>
      <c r="L607" s="1665" t="n"/>
      <c r="M607" s="1665" t="n"/>
      <c r="N607" s="1665" t="n"/>
      <c r="O607" s="1665" t="n"/>
      <c r="P607" s="1665" t="n"/>
      <c r="Q607" s="1665" t="n"/>
      <c r="R607" s="1665" t="n"/>
      <c r="S607" s="1665" t="n"/>
      <c r="T607" s="1665" t="n"/>
      <c r="U607" s="1665" t="n"/>
      <c r="V607" s="1665" t="n"/>
      <c r="W607" s="1665" t="n"/>
      <c r="X607" s="1665" t="n"/>
      <c r="Y607" s="1665" t="n"/>
      <c r="Z607" s="1665" t="n"/>
    </row>
    <row r="608" ht="15.75" customHeight="1" s="1666">
      <c r="J608" s="1665" t="n"/>
      <c r="K608" s="1665" t="n"/>
      <c r="L608" s="1665" t="n"/>
      <c r="M608" s="1665" t="n"/>
      <c r="N608" s="1665" t="n"/>
      <c r="O608" s="1665" t="n"/>
      <c r="P608" s="1665" t="n"/>
      <c r="Q608" s="1665" t="n"/>
      <c r="R608" s="1665" t="n"/>
      <c r="S608" s="1665" t="n"/>
      <c r="T608" s="1665" t="n"/>
      <c r="U608" s="1665" t="n"/>
      <c r="V608" s="1665" t="n"/>
      <c r="W608" s="1665" t="n"/>
      <c r="X608" s="1665" t="n"/>
      <c r="Y608" s="1665" t="n"/>
      <c r="Z608" s="1665" t="n"/>
    </row>
    <row r="609" ht="15.75" customHeight="1" s="1666">
      <c r="J609" s="1665" t="n"/>
      <c r="K609" s="1665" t="n"/>
      <c r="L609" s="1665" t="n"/>
      <c r="M609" s="1665" t="n"/>
      <c r="N609" s="1665" t="n"/>
      <c r="O609" s="1665" t="n"/>
      <c r="P609" s="1665" t="n"/>
      <c r="Q609" s="1665" t="n"/>
      <c r="R609" s="1665" t="n"/>
      <c r="S609" s="1665" t="n"/>
      <c r="T609" s="1665" t="n"/>
      <c r="U609" s="1665" t="n"/>
      <c r="V609" s="1665" t="n"/>
      <c r="W609" s="1665" t="n"/>
      <c r="X609" s="1665" t="n"/>
      <c r="Y609" s="1665" t="n"/>
      <c r="Z609" s="1665" t="n"/>
    </row>
    <row r="610" ht="15.75" customHeight="1" s="1666">
      <c r="J610" s="1665" t="n"/>
      <c r="K610" s="1665" t="n"/>
      <c r="L610" s="1665" t="n"/>
      <c r="M610" s="1665" t="n"/>
      <c r="N610" s="1665" t="n"/>
      <c r="O610" s="1665" t="n"/>
      <c r="P610" s="1665" t="n"/>
      <c r="Q610" s="1665" t="n"/>
      <c r="R610" s="1665" t="n"/>
      <c r="S610" s="1665" t="n"/>
      <c r="T610" s="1665" t="n"/>
      <c r="U610" s="1665" t="n"/>
      <c r="V610" s="1665" t="n"/>
      <c r="W610" s="1665" t="n"/>
      <c r="X610" s="1665" t="n"/>
      <c r="Y610" s="1665" t="n"/>
      <c r="Z610" s="1665" t="n"/>
    </row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111">
    <mergeCell ref="A437:H437"/>
    <mergeCell ref="B469:H469"/>
    <mergeCell ref="B496:H496"/>
    <mergeCell ref="C403:H403"/>
    <mergeCell ref="B453:H453"/>
    <mergeCell ref="B502:H502"/>
    <mergeCell ref="B462:H462"/>
    <mergeCell ref="B498:H498"/>
    <mergeCell ref="B91:E91"/>
    <mergeCell ref="B482:H482"/>
    <mergeCell ref="A410:H410"/>
    <mergeCell ref="B492:H492"/>
    <mergeCell ref="B445:H445"/>
    <mergeCell ref="A487:H487"/>
    <mergeCell ref="B93:E93"/>
    <mergeCell ref="B432:H432"/>
    <mergeCell ref="B429:H429"/>
    <mergeCell ref="B509:H509"/>
    <mergeCell ref="C101:E101"/>
    <mergeCell ref="B484:H484"/>
    <mergeCell ref="B440:H440"/>
    <mergeCell ref="B471:H471"/>
    <mergeCell ref="B480:H480"/>
    <mergeCell ref="B455:H455"/>
    <mergeCell ref="B495:H495"/>
    <mergeCell ref="B464:H464"/>
    <mergeCell ref="B491:H491"/>
    <mergeCell ref="C103:E103"/>
    <mergeCell ref="C407:H407"/>
    <mergeCell ref="A500:H500"/>
    <mergeCell ref="B472:H472"/>
    <mergeCell ref="C99:E99"/>
    <mergeCell ref="A403:B403"/>
    <mergeCell ref="A421:H421"/>
    <mergeCell ref="B447:H447"/>
    <mergeCell ref="A431:H431"/>
    <mergeCell ref="B434:H434"/>
    <mergeCell ref="B501:H501"/>
    <mergeCell ref="B497:H497"/>
    <mergeCell ref="B449:H449"/>
    <mergeCell ref="B433:H433"/>
    <mergeCell ref="C405:H405"/>
    <mergeCell ref="B442:H442"/>
    <mergeCell ref="A423:H423"/>
    <mergeCell ref="B483:H483"/>
    <mergeCell ref="B435:H435"/>
    <mergeCell ref="A512:H512"/>
    <mergeCell ref="B503:H503"/>
    <mergeCell ref="B460:H460"/>
    <mergeCell ref="B468:H468"/>
    <mergeCell ref="A405:B405"/>
    <mergeCell ref="A97:E97"/>
    <mergeCell ref="C406:H406"/>
    <mergeCell ref="C104:E104"/>
    <mergeCell ref="A420:H420"/>
    <mergeCell ref="A407:B407"/>
    <mergeCell ref="B446:H446"/>
    <mergeCell ref="A401:H401"/>
    <mergeCell ref="B510:H510"/>
    <mergeCell ref="B448:H448"/>
    <mergeCell ref="B506:H506"/>
    <mergeCell ref="B485:H485"/>
    <mergeCell ref="B438:H438"/>
    <mergeCell ref="B490:H490"/>
    <mergeCell ref="C404:H404"/>
    <mergeCell ref="B95:E95"/>
    <mergeCell ref="B477:H477"/>
    <mergeCell ref="B474:H474"/>
    <mergeCell ref="B489:H489"/>
    <mergeCell ref="B424:H424"/>
    <mergeCell ref="C408:H408"/>
    <mergeCell ref="B507:H507"/>
    <mergeCell ref="B473:H473"/>
    <mergeCell ref="B488:H488"/>
    <mergeCell ref="A390:H390"/>
    <mergeCell ref="A406:B406"/>
    <mergeCell ref="B475:H475"/>
    <mergeCell ref="B508:H508"/>
    <mergeCell ref="B459:H459"/>
    <mergeCell ref="A404:B404"/>
    <mergeCell ref="B470:H470"/>
    <mergeCell ref="C98:E98"/>
    <mergeCell ref="B452:H452"/>
    <mergeCell ref="B461:H461"/>
    <mergeCell ref="B476:H476"/>
    <mergeCell ref="A466:H466"/>
    <mergeCell ref="B481:H481"/>
    <mergeCell ref="B426:H426"/>
    <mergeCell ref="B456:H456"/>
    <mergeCell ref="B478:H478"/>
    <mergeCell ref="B92:E92"/>
    <mergeCell ref="A402:H402"/>
    <mergeCell ref="B428:H428"/>
    <mergeCell ref="B463:H463"/>
    <mergeCell ref="A505:H505"/>
    <mergeCell ref="C105:E105"/>
    <mergeCell ref="A458:H458"/>
    <mergeCell ref="A408:B408"/>
    <mergeCell ref="B94:E94"/>
    <mergeCell ref="B479:H479"/>
    <mergeCell ref="B454:H454"/>
    <mergeCell ref="A444:H444"/>
    <mergeCell ref="B439:H439"/>
    <mergeCell ref="C102:E102"/>
    <mergeCell ref="C100:E100"/>
    <mergeCell ref="B441:H441"/>
    <mergeCell ref="B425:H425"/>
    <mergeCell ref="A451:H451"/>
    <mergeCell ref="A494:H494"/>
    <mergeCell ref="B427:H427"/>
    <mergeCell ref="B467:H467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B1:Z2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8.710000000000001" customWidth="1" style="1665" min="1" max="1"/>
    <col width="30" customWidth="1" style="1665" min="2" max="2"/>
    <col width="35" customWidth="1" style="1665" min="3" max="3"/>
    <col width="55" customWidth="1" style="1665" min="4" max="4"/>
    <col width="20" customWidth="1" style="1665" min="5" max="5"/>
    <col width="8.710000000000001" customWidth="1" style="1665" min="6" max="13"/>
  </cols>
  <sheetData>
    <row r="1" ht="24" customHeight="1" s="1666">
      <c r="B1" s="1776" t="inlineStr">
        <is>
          <t>🧠  PROFIL INVESTISSEUR  ·  Source de vérité sur TOI · Mis à jour annuellement</t>
        </is>
      </c>
      <c r="C1" s="1777" t="n"/>
      <c r="D1" s="1777" t="n"/>
      <c r="E1" s="1777" t="n"/>
      <c r="F1" s="1777" t="n"/>
      <c r="G1" s="1777" t="n"/>
      <c r="H1" s="1777" t="n"/>
      <c r="I1" s="1777" t="n"/>
      <c r="J1" s="1777" t="n"/>
      <c r="K1" s="1777" t="n"/>
      <c r="L1" s="1777" t="n"/>
      <c r="M1" s="1777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8" customHeight="1" s="1666">
      <c r="B2" s="1883" t="inlineStr">
        <is>
          <t>Ce document = la mémoire de qui tu es en tant qu'investisseur. Claude le lit en priorité à chaque session.</t>
        </is>
      </c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B4" s="1884" t="inlineStr">
        <is>
          <t>👤  IDENTITÉ FINANCIÈRE</t>
        </is>
      </c>
      <c r="C4" s="1885" t="n"/>
      <c r="D4" s="1885" t="n"/>
      <c r="E4" s="1885" t="n"/>
      <c r="F4" s="1885" t="n"/>
      <c r="G4" s="1885" t="n"/>
      <c r="H4" s="1885" t="n"/>
      <c r="I4" s="1885" t="n"/>
      <c r="J4" s="1885" t="n"/>
      <c r="K4" s="1885" t="n"/>
      <c r="L4" s="1885" t="n"/>
      <c r="M4" s="188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B5" s="1886" t="inlineStr">
        <is>
          <t>Âge actuel</t>
        </is>
      </c>
      <c r="C5" s="1887">
        <f>CONFIG!B4</f>
        <v/>
      </c>
      <c r="D5" s="1888" t="inlineStr">
        <is>
          <t>←auto</t>
        </is>
      </c>
      <c r="E5" s="1889" t="inlineStr">
        <is>
          <t>ans</t>
        </is>
      </c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5" customHeight="1" s="1666">
      <c r="B6" s="1886" t="inlineStr">
        <is>
          <t>Revenu brut annuel</t>
        </is>
      </c>
      <c r="C6" s="1890" t="n">
        <v>140000</v>
      </c>
      <c r="D6" s="1888" t="inlineStr">
        <is>
          <t>⬜ Confirmer avec T4 2025</t>
        </is>
      </c>
      <c r="E6" s="1889" t="inlineStr">
        <is>
          <t>CAD</t>
        </is>
      </c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27.75" customHeight="1" s="1666">
      <c r="B7" s="1886" t="inlineStr">
        <is>
          <t>Revenu NET estimé /mois</t>
        </is>
      </c>
      <c r="C7" s="1890" t="n">
        <v>7950</v>
      </c>
      <c r="D7" s="1888" t="inlineStr">
        <is>
          <t>← $3,000 × 26 ÷ 12 + $1,450 prime Nunavik · Confirmé S16</t>
        </is>
      </c>
      <c r="E7" s="1889" t="inlineStr">
        <is>
          <t>CAD/mois</t>
        </is>
      </c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27.75" customHeight="1" s="1666">
      <c r="B8" s="1886" t="inlineStr">
        <is>
          <t>Dépenses fixes /mois</t>
        </is>
      </c>
      <c r="C8" s="1890" t="n">
        <v>1182</v>
      </c>
      <c r="D8" s="1888" t="inlineStr">
        <is>
          <t>Épicerie $400 + Tél $110 + Voiture $275 + Ass.auto $100 + Ass.moto $80 + Essence $50 + Abo $25 + Loisirs $50 + Voyages $42 + Vêt $50 · MAJ S16</t>
        </is>
      </c>
      <c r="E8" s="1889" t="inlineStr">
        <is>
          <t>CAD/mois</t>
        </is>
      </c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" customHeight="1" s="1666">
      <c r="B9" s="1886" t="inlineStr">
        <is>
          <t>Capacité épargne réelle /mois</t>
        </is>
      </c>
      <c r="C9" s="1891">
        <f>C7-C8</f>
        <v/>
      </c>
      <c r="D9" s="1888" t="inlineStr">
        <is>
          <t>← Calculé automatiquement</t>
        </is>
      </c>
      <c r="E9" s="1889" t="inlineStr">
        <is>
          <t>CAD/mois</t>
        </is>
      </c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5" customHeight="1" s="1666">
      <c r="B10" s="1886" t="inlineStr">
        <is>
          <t>Contributions investissement</t>
        </is>
      </c>
      <c r="C10" s="1890" t="n">
        <v>5000</v>
      </c>
      <c r="D10" s="1888" t="inlineStr">
        <is>
          <t>REER $2K + FHSA $1K + TFSA $500 + EQ Bank $1,500 · Plan confirmé S16</t>
        </is>
      </c>
      <c r="E10" s="1889" t="inlineStr">
        <is>
          <t>CAD/mois</t>
        </is>
      </c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" customHeight="1" s="1666">
      <c r="B11" s="1886" t="inlineStr">
        <is>
          <t>Surplus non investi /mois</t>
        </is>
      </c>
      <c r="C11" s="1891">
        <f>C9-C10</f>
        <v/>
      </c>
      <c r="D11" s="1888" t="inlineStr">
        <is>
          <t>← Tampon / extra / imprévus</t>
        </is>
      </c>
      <c r="E11" s="1889" t="inlineStr">
        <is>
          <t>CAD/mois</t>
        </is>
      </c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5" customHeight="1" s="1666">
      <c r="B12" s="1886" t="inlineStr">
        <is>
          <t>Taux marginal QC</t>
        </is>
      </c>
      <c r="C12" s="1892">
        <f>CONFIG!B11</f>
        <v/>
      </c>
      <c r="D12" s="1888" t="inlineStr">
        <is>
          <t>←auto CONFIG</t>
        </is>
      </c>
      <c r="E12" s="1889" t="inlineStr">
        <is>
          <t>%</t>
        </is>
      </c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27.75" customHeight="1" s="1666">
      <c r="B13" s="1886" t="inlineStr">
        <is>
          <t>Zone géographique</t>
        </is>
      </c>
      <c r="C13" s="1887" t="inlineStr">
        <is>
          <t>Nunavik QC</t>
        </is>
      </c>
      <c r="D13" s="1888" t="inlineStr">
        <is>
          <t>Avantages: logement+bouffe gratuits · Désavantage: isolement, mobilité réduite</t>
        </is>
      </c>
      <c r="E13" s="1889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5" customHeight="1" s="1666">
      <c r="B14" s="1886" t="inlineStr">
        <is>
          <t>Situation couple</t>
        </is>
      </c>
      <c r="C14" s="1887" t="inlineStr">
        <is>
          <t>En couple</t>
        </is>
      </c>
      <c r="D14" s="1888" t="inlineStr">
        <is>
          <t>Finances 100% séparées · achat maison solo prévu</t>
        </is>
      </c>
      <c r="E14" s="1889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5" customHeight="1" s="1666">
      <c r="B15" s="1886" t="inlineStr">
        <is>
          <t>Régime retraite employeur</t>
        </is>
      </c>
      <c r="C15" s="1887">
        <f>CONFIG!B30</f>
        <v/>
      </c>
      <c r="D15" s="1888" t="inlineStr">
        <is>
          <t>←auto CONFIG</t>
        </is>
      </c>
      <c r="E15" s="1889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5" customHeight="1" s="1666"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41.25" customHeight="1" s="1666">
      <c r="B17" s="1893" t="inlineStr">
        <is>
          <t>🎯  PROFIL DE RISQUE  ·  Réponses honnêtes · Ne pas idéaliser</t>
        </is>
      </c>
      <c r="C17" s="1894" t="n"/>
      <c r="D17" s="1894" t="n"/>
      <c r="E17" s="1894" t="n"/>
      <c r="F17" s="1894" t="n"/>
      <c r="G17" s="1894" t="n"/>
      <c r="H17" s="1894" t="n"/>
      <c r="I17" s="1894" t="n"/>
      <c r="J17" s="1894" t="n"/>
      <c r="K17" s="1894" t="n"/>
      <c r="L17" s="1894" t="n"/>
      <c r="M17" s="1894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30" customHeight="1" s="1666">
      <c r="B18" s="1895" t="inlineStr">
        <is>
          <t>Tolérance drawdown maximale</t>
        </is>
      </c>
      <c r="C18" s="1896" t="inlineStr">
        <is>
          <t>-30% à -40%</t>
        </is>
      </c>
      <c r="D18" s="1897" t="inlineStr">
        <is>
          <t>Basé sur comportement COVID 2020 : achat agressif à -35%. Au-delà de -40% sur portfolio total = zone inconnue.</t>
        </is>
      </c>
      <c r="E18" s="1898" t="inlineStr">
        <is>
          <t>🟠 AGRESSIF</t>
        </is>
      </c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30" customHeight="1" s="1666">
      <c r="B19" s="1895" t="inlineStr">
        <is>
          <t>Réaction prouvée en crise</t>
        </is>
      </c>
      <c r="C19" s="1896" t="inlineStr">
        <is>
          <t>ACHAT MASSIF</t>
        </is>
      </c>
      <c r="D19" s="1897" t="inlineStr">
        <is>
          <t>COVID mars 2020 : positions achetées pendant le crash. Comportement documenté, pas théorique.</t>
        </is>
      </c>
      <c r="E19" s="1898" t="inlineStr">
        <is>
          <t>✅ VALIDÉ</t>
        </is>
      </c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30" customHeight="1" s="1666">
      <c r="B20" s="1895" t="inlineStr">
        <is>
          <t>Scénario qui te ferait vraiment vendre</t>
        </is>
      </c>
      <c r="C20" s="1896" t="inlineStr">
        <is>
          <t>⬜ À documenter</t>
        </is>
      </c>
      <c r="D20" s="1897" t="inlineStr">
        <is>
          <t>Ex: perte emploi simultanée + drawdown -40% + urgence médicale. Quel est ton vrai point de rupture ?</t>
        </is>
      </c>
      <c r="E20" s="1898" t="inlineStr">
        <is>
          <t>⬜ DÉFINIR</t>
        </is>
      </c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30" customHeight="1" s="1666">
      <c r="B21" s="1895" t="inlineStr">
        <is>
          <t>Horizon d'investissement réel</t>
        </is>
      </c>
      <c r="C21" s="1896" t="inlineStr">
        <is>
          <t>2043 (FI) + 20 ans après</t>
        </is>
      </c>
      <c r="D21" s="1897" t="inlineStr">
        <is>
          <t>~17 ans jusqu'à FI potentiel, puis 30+ ans de décaissement. Horizon total = 47 ans.</t>
        </is>
      </c>
      <c r="E21" s="1898" t="inlineStr">
        <is>
          <t>✅ LONG TERME</t>
        </is>
      </c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30" customHeight="1" s="1666">
      <c r="B22" s="1895" t="inlineStr">
        <is>
          <t>Acceptation volatilité mensuelle</t>
        </is>
      </c>
      <c r="C22" s="1896" t="inlineStr">
        <is>
          <t>±$5,000-8,000 CAD</t>
        </is>
      </c>
      <c r="D22" s="1897" t="inlineStr">
        <is>
          <t>Portfolio $87K × 8% volatilité mensuelle typique ≈ ±$7K. Confortable ?</t>
        </is>
      </c>
      <c r="E22" s="1898" t="inlineStr">
        <is>
          <t>⬜ CONFIRMER</t>
        </is>
      </c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30" customHeight="1" s="1666">
      <c r="B23" s="1895" t="inlineStr">
        <is>
          <t>Biais comportementaux identifiés</t>
        </is>
      </c>
      <c r="C23" s="1896" t="inlineStr">
        <is>
          <t>Buy-the-dip fort · FOMO possible sur IA</t>
        </is>
      </c>
      <c r="D23" s="1897" t="inlineStr">
        <is>
          <t>Forces: discipline achat en crise. Risques: surpondération IA sans discipline de seuil.</t>
        </is>
      </c>
      <c r="E23" s="1898" t="inlineStr">
        <is>
          <t>⚠️ SURVEILLER</t>
        </is>
      </c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30" customHeight="1" s="1666">
      <c r="B24" s="1895" t="inlineStr">
        <is>
          <t>Score risque objectif (1-10)</t>
        </is>
      </c>
      <c r="C24" s="1896" t="n">
        <v>8</v>
      </c>
      <c r="D24" s="1897" t="inlineStr">
        <is>
          <t>8/10 = profil agressif orienté croissance. Justifié par horizon 17+ ans et épargne high-rate.</t>
        </is>
      </c>
      <c r="E24" s="1898" t="inlineStr">
        <is>
          <t>🔴 AGRESSIF</t>
        </is>
      </c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41.25" customHeight="1" s="1666">
      <c r="B26" s="1899" t="inlineStr">
        <is>
          <t>🆘  STRESS-TEST  ·  Que se passe-t-il si... · Plan B pour chaque scénario</t>
        </is>
      </c>
      <c r="C26" s="1900" t="n"/>
      <c r="D26" s="1900" t="n"/>
      <c r="E26" s="1900" t="n"/>
      <c r="F26" s="1900" t="n"/>
      <c r="G26" s="1900" t="n"/>
      <c r="H26" s="1900" t="n"/>
      <c r="I26" s="1900" t="n"/>
      <c r="J26" s="1900" t="n"/>
      <c r="K26" s="1900" t="n"/>
      <c r="L26" s="1900" t="n"/>
      <c r="M26" s="1900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36" customHeight="1" s="1666">
      <c r="B27" s="1901" t="inlineStr">
        <is>
          <t>SCÉNARIO</t>
        </is>
      </c>
      <c r="C27" s="1901" t="inlineStr">
        <is>
          <t>IMPACT ESTIMÉ</t>
        </is>
      </c>
      <c r="D27" s="1901" t="inlineStr">
        <is>
          <t>PLAN B ACTIVÉ</t>
        </is>
      </c>
      <c r="E27" s="1901" t="inlineStr">
        <is>
          <t>SEUIL DÉCLENCHEUR</t>
        </is>
      </c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36" customHeight="1" s="1666">
      <c r="B28" s="1902" t="inlineStr">
        <is>
          <t>Perte d'emploi 12 mois</t>
        </is>
      </c>
      <c r="C28" s="1903" t="inlineStr">
        <is>
          <t>Zéro revenu · dépenses fixes $700/mois seulement · portfolio intact</t>
        </is>
      </c>
      <c r="D28" s="1903" t="inlineStr">
        <is>
          <t>EQ Bank $15K (7 mois) · stop contributions · vendre ZRE+XIC+VDU T4 si besoin</t>
        </is>
      </c>
      <c r="E28" s="1903" t="inlineStr">
        <is>
          <t>Chômage confirmé</t>
        </is>
      </c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36" customHeight="1" s="1666">
      <c r="B29" s="1902" t="inlineStr">
        <is>
          <t>Marché -30% (ex: récession 2025)</t>
        </is>
      </c>
      <c r="C29" s="1903" t="inlineStr">
        <is>
          <t>Portfolio $87K → ~$61K · P&amp;L TFSA effacé</t>
        </is>
      </c>
      <c r="D29" s="1903" t="inlineStr">
        <is>
          <t>ACHAT AGRESSIF T1 · doubler contributions si cash dispo · NE PAS vendre</t>
        </is>
      </c>
      <c r="E29" s="1903" t="inlineStr">
        <is>
          <t>S&amp;P500 -20% depuis ATH</t>
        </is>
      </c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36" customHeight="1" s="1666">
      <c r="B30" s="1902" t="inlineStr">
        <is>
          <t>Marché -40% (ex: 2008-09)</t>
        </is>
      </c>
      <c r="C30" s="1903" t="inlineStr">
        <is>
          <t>Portfolio $87K → ~$52K · AVGO/SMH/GEV potentiellement -50%</t>
        </is>
      </c>
      <c r="D30" s="1903" t="inlineStr">
        <is>
          <t>Même plan: acheter · vérifier qu'aucun titre n'est en danger fondamental · tenir</t>
        </is>
      </c>
      <c r="E30" s="1903" t="inlineStr">
        <is>
          <t>VIX &gt; 40</t>
        </is>
      </c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36" customHeight="1" s="1666">
      <c r="B31" s="1902" t="inlineStr">
        <is>
          <t>Invalidité permanente</t>
        </is>
      </c>
      <c r="C31" s="1903" t="inlineStr">
        <is>
          <t>✅ Couverture COMPLÈTE employeur · Assurance vie: employeur + privée ✅</t>
        </is>
      </c>
      <c r="D31" s="1903" t="inlineStr">
        <is>
          <t>🔴 Bénéficiaires TFSA/REER/FHSA NON DÉSIGNÉS — ACTION: Questrade → Mon compte → Bénéficiaires</t>
        </is>
      </c>
      <c r="E31" s="1903" t="inlineStr">
        <is>
          <t>Diagnostic médical</t>
        </is>
      </c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36" customHeight="1" s="1666">
      <c r="B32" s="1902" t="inlineStr">
        <is>
          <t>Décès (planification successorale)</t>
        </is>
      </c>
      <c r="C32" s="1903" t="inlineStr">
        <is>
          <t>TFSA → conjoint/bénéficiaire tax-free · REER → succession imposable</t>
        </is>
      </c>
      <c r="D32" s="1903" t="inlineStr">
        <is>
          <t>⬜ DÉFINIR: bénéficiaires TFSA/REER/FHSA · testament à jour</t>
        </is>
      </c>
      <c r="E32" s="1903" t="inlineStr">
        <is>
          <t>N/A — prévenir maintenant</t>
        </is>
      </c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36" customHeight="1" s="1666">
      <c r="B33" s="1902" t="inlineStr">
        <is>
          <t>Taux hypothécaires &gt; 7% en 2030</t>
        </is>
      </c>
      <c r="C33" s="1903" t="inlineStr">
        <is>
          <t>Paiement mensuel $400K @7% = $2,798/mois vs $1,222 @4.5%</t>
        </is>
      </c>
      <c r="D33" s="1903" t="inlineStr">
        <is>
          <t>Revoir décision maison · attendre baisse taux · augmenter mise de fonds</t>
        </is>
      </c>
      <c r="E33" s="1903" t="inlineStr">
        <is>
          <t>Taux 5 ans &gt; 6%</t>
        </is>
      </c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41.25" customHeight="1" s="1666">
      <c r="B35" s="1904" t="inlineStr">
        <is>
          <t>📉  INFLATION  ·  $2.1M en 2043 ≠ $2.1M aujourd'hui · Impact réel modélisé</t>
        </is>
      </c>
      <c r="C35" s="1905" t="n"/>
      <c r="D35" s="1905" t="n"/>
      <c r="E35" s="1905" t="n"/>
      <c r="F35" s="1905" t="n"/>
      <c r="G35" s="1905" t="n"/>
      <c r="H35" s="1905" t="n"/>
      <c r="I35" s="1905" t="n"/>
      <c r="J35" s="1905" t="n"/>
      <c r="K35" s="1905" t="n"/>
      <c r="L35" s="1905" t="n"/>
      <c r="M35" s="190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" customHeight="1" s="1666">
      <c r="B36" s="1886" t="inlineStr">
        <is>
          <t>Taux inflation hypothèse</t>
        </is>
      </c>
      <c r="C36" s="1906" t="n">
        <v>0.025</v>
      </c>
      <c r="D36" s="1888" t="inlineStr">
        <is>
          <t>Inflation Canada historique ~2.0-2.5%. BdC cible = 2%.</t>
        </is>
      </c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" customHeight="1" s="1666">
      <c r="B37" s="1886" t="inlineStr">
        <is>
          <t>Années jusqu'à FI (Scénario B)</t>
        </is>
      </c>
      <c r="C37" s="1907" t="n">
        <v>21</v>
      </c>
      <c r="D37" s="1888" t="inlineStr">
        <is>
          <t>2026 → 2047 (FI 55 ans, confirmé S16)</t>
        </is>
      </c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" customHeight="1" s="1666">
      <c r="B38" s="1886" t="inlineStr">
        <is>
          <t>Objectif FI nominal ($)</t>
        </is>
      </c>
      <c r="C38" s="1891">
        <f>CONFIG!B20</f>
        <v/>
      </c>
      <c r="D38" s="1908" t="inlineStr">
        <is>
          <t>←auto CONFIG</t>
        </is>
      </c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27.75" customHeight="1" s="1666">
      <c r="B39" s="1909" t="inlineStr">
        <is>
          <t>⚠️ Objectif FI RÉEL ajusté inflation</t>
        </is>
      </c>
      <c r="C39" s="1910">
        <f>C38*(1+C36)^C37</f>
        <v/>
      </c>
      <c r="D39" s="1909" t="inlineStr">
        <is>
          <t>← En dollars 2043 pour MÊME pouvoir d'achat qu'aujourd'hui</t>
        </is>
      </c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27.75" customHeight="1" s="1666">
      <c r="B40" s="1886" t="inlineStr">
        <is>
          <t>Écart vs objectif nominal</t>
        </is>
      </c>
      <c r="C40" s="1911">
        <f>C39-C38</f>
        <v/>
      </c>
      <c r="D40" s="1908" t="inlineStr">
        <is>
          <t>← Combien il manque par rapport à $2.1M nominal · Ajuster la cible FI en conséquence</t>
        </is>
      </c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27.75" customHeight="1" s="1666">
      <c r="B41" s="1886" t="inlineStr">
        <is>
          <t>Revenu mensuel équivalent en 2043</t>
        </is>
      </c>
      <c r="C41" s="1910">
        <f>C38*(1+C36)^C37*0.04/12</f>
        <v/>
      </c>
      <c r="D41" s="1908" t="inlineStr">
        <is>
          <t>← Règle 4% sur objectif ajusté = revenu mensuel réel équivalent à $7K/mois 2026</t>
        </is>
      </c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41.25" customHeight="1" s="1666">
      <c r="B43" s="1912" t="inlineStr">
        <is>
          <t>💎  PATRIMOINE NET TOTAL  ·  Au-delà du portfolio · Bilan complet</t>
        </is>
      </c>
      <c r="C43" s="1913" t="n"/>
      <c r="D43" s="1913" t="n"/>
      <c r="E43" s="1913" t="n"/>
      <c r="F43" s="1913" t="n"/>
      <c r="G43" s="1913" t="n"/>
      <c r="H43" s="1913" t="n"/>
      <c r="I43" s="1913" t="n"/>
      <c r="J43" s="1913" t="n"/>
      <c r="K43" s="1913" t="n"/>
      <c r="L43" s="1913" t="n"/>
      <c r="M43" s="1913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" customHeight="1" s="1666">
      <c r="B44" s="1914" t="inlineStr">
        <is>
          <t>ACTIF</t>
        </is>
      </c>
      <c r="C44" s="1915" t="inlineStr">
        <is>
          <t>VALEUR CAD</t>
        </is>
      </c>
      <c r="D44" s="1916" t="inlineStr">
        <is>
          <t>NOTE</t>
        </is>
      </c>
      <c r="E44" s="1917" t="inlineStr">
        <is>
          <t>LIQUIDITÉ</t>
        </is>
      </c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" customHeight="1" s="1666">
      <c r="B45" s="1886" t="inlineStr">
        <is>
          <t>TFSA</t>
        </is>
      </c>
      <c r="C45" s="1918">
        <f>'📈 PORTEFEUILLE'!L44</f>
        <v/>
      </c>
      <c r="D45" s="1888" t="inlineStr">
        <is>
          <t>←auto · Investissement long terme</t>
        </is>
      </c>
      <c r="E45" s="1917" t="inlineStr">
        <is>
          <t>🔴 Intouchable</t>
        </is>
      </c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" customHeight="1" s="1666">
      <c r="B46" s="1886" t="inlineStr">
        <is>
          <t>FHSA</t>
        </is>
      </c>
      <c r="C46" s="1918">
        <f>'📈 PORTEFEUILLE'!L59</f>
        <v/>
      </c>
      <c r="D46" s="1888" t="inlineStr">
        <is>
          <t>←auto · Maison 2030 ou retraite</t>
        </is>
      </c>
      <c r="E46" s="1917" t="inlineStr">
        <is>
          <t>🟡 Maison 2030</t>
        </is>
      </c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" customHeight="1" s="1666">
      <c r="B47" s="1886" t="inlineStr">
        <is>
          <t>REER</t>
        </is>
      </c>
      <c r="C47" s="1918">
        <f>'📈 PORTEFEUILLE'!L68</f>
        <v/>
      </c>
      <c r="D47" s="1888" t="inlineStr">
        <is>
          <t>←auto · RAP + retraite</t>
        </is>
      </c>
      <c r="E47" s="1917" t="inlineStr">
        <is>
          <t>🟡 RAP 2030</t>
        </is>
      </c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" customHeight="1" s="1666">
      <c r="B48" s="1886" t="inlineStr">
        <is>
          <t>EQ Bank HISA</t>
        </is>
      </c>
      <c r="C48" s="1918">
        <f>CONFIG!B25</f>
        <v/>
      </c>
      <c r="D48" s="1888" t="inlineStr">
        <is>
          <t>←auto CONFIG · Fonds urgence</t>
        </is>
      </c>
      <c r="E48" s="1917" t="inlineStr">
        <is>
          <t>🟢 Liquide</t>
        </is>
      </c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" customHeight="1" s="1666">
      <c r="B49" s="1886" t="inlineStr">
        <is>
          <t>Voiture (valeur actuelle)</t>
        </is>
      </c>
      <c r="C49" s="1918">
        <f>CONFIG!B22</f>
        <v/>
      </c>
      <c r="D49" s="1888" t="inlineStr">
        <is>
          <t>←auto CONFIG · Actif dépréciable</t>
        </is>
      </c>
      <c r="E49" s="1917" t="inlineStr">
        <is>
          <t>🟡 Vendre si besoin</t>
        </is>
      </c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" customHeight="1" s="1666">
      <c r="B50" s="1886" t="inlineStr">
        <is>
          <t>Moto (valeur actuelle)</t>
        </is>
      </c>
      <c r="C50" s="1918">
        <f>CONFIG!B23</f>
        <v/>
      </c>
      <c r="D50" s="1888" t="inlineStr">
        <is>
          <t>←auto CONFIG · Actif dépréciable</t>
        </is>
      </c>
      <c r="E50" s="1917" t="inlineStr">
        <is>
          <t>🟡 Vendre si besoin</t>
        </is>
      </c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" customHeight="1" s="1666">
      <c r="B51" s="1886" t="inlineStr">
        <is>
          <t>Crypto BTC</t>
        </is>
      </c>
      <c r="C51" s="1918">
        <f>CONFIG!B24</f>
        <v/>
      </c>
      <c r="D51" s="1888" t="inlineStr">
        <is>
          <t>←auto CONFIG · Hors stratégie</t>
        </is>
      </c>
      <c r="E51" s="1917" t="inlineStr">
        <is>
          <t>🟢 Liquide</t>
        </is>
      </c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" customHeight="1" s="1666">
      <c r="B52" s="1919" t="inlineStr">
        <is>
          <t>TOTAL ACTIFS</t>
        </is>
      </c>
      <c r="C52" s="1891">
        <f>SUM(B45:B51)</f>
        <v/>
      </c>
      <c r="D52" s="1888" t="inlineStr">
        <is>
          <t>← Patrimoine brut total</t>
        </is>
      </c>
      <c r="E52" s="1920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41.25" customHeight="1" s="1666">
      <c r="B54" s="1921" t="inlineStr">
        <is>
          <t>🤖  CONCENTRATION IA  ·  Corrélation &amp; risque sectoriel · Seuil = 45%</t>
        </is>
      </c>
      <c r="C54" s="1922" t="n"/>
      <c r="D54" s="1922" t="n"/>
      <c r="E54" s="1922" t="n"/>
      <c r="F54" s="1922" t="n"/>
      <c r="G54" s="1922" t="n"/>
      <c r="H54" s="1922" t="n"/>
      <c r="I54" s="1922" t="n"/>
      <c r="J54" s="1922" t="n"/>
      <c r="K54" s="1922" t="n"/>
      <c r="L54" s="1922" t="n"/>
      <c r="M54" s="1922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27.75" customHeight="1" s="1666">
      <c r="B55" s="1886" t="inlineStr">
        <is>
          <t>Expo IA estimée (auto)</t>
        </is>
      </c>
      <c r="C55" s="1923">
        <f>CONFIG!B31</f>
        <v/>
      </c>
      <c r="D55" s="1888" t="inlineStr">
        <is>
          <t>←auto CONFIG · Calculé depuis ANALYSE TRIABLE col S (expo IA%)</t>
        </is>
      </c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" customHeight="1" s="1666">
      <c r="B56" s="1886" t="inlineStr">
        <is>
          <t>Statut concentration IA</t>
        </is>
      </c>
      <c r="C56" s="1924">
        <f>IF(B55&gt;0.45,"🔴 DÉPASSE 45% — RÉDUIRE",IF(B55&gt;0.35,"🟡 SURVEILLER (35%+)","✅ OK — Sous 35%"))</f>
        <v/>
      </c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27.75" customHeight="1" s="1666">
      <c r="B57" s="1886" t="inlineStr">
        <is>
          <t>Titres IA haute corrélation</t>
        </is>
      </c>
      <c r="C57" s="1925" t="inlineStr">
        <is>
          <t>AVGO · SMH · NVDA · QQQM · QTUM · META · GOOG · AMZN · GEV</t>
        </is>
      </c>
      <c r="D57" s="1926" t="inlineStr">
        <is>
          <t>Si le marché IA corrige -40% (type 2022), ces titres bougent ensemble</t>
        </is>
      </c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27.75" customHeight="1" s="1666">
      <c r="B58" s="1902" t="inlineStr">
        <is>
          <t>Impact scénario crash IA -40%</t>
        </is>
      </c>
      <c r="C58" s="1910">
        <f>CONFIG!B44*-0.4</f>
        <v/>
      </c>
      <c r="D58" s="1909" t="inlineStr">
        <is>
          <t>← Perte estimée si tous les actifs USD/IA corrigent -40% ensemble</t>
        </is>
      </c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41.25" customHeight="1" s="1666">
      <c r="B60" s="1921" t="inlineStr">
        <is>
          <t>📋  RÈGLES PERSONNELLES  ·  Non-négociables · Gravées dans la stratégie</t>
        </is>
      </c>
      <c r="C60" s="1922" t="n"/>
      <c r="D60" s="1922" t="n"/>
      <c r="E60" s="1922" t="n"/>
      <c r="F60" s="1922" t="n"/>
      <c r="G60" s="1922" t="n"/>
      <c r="H60" s="1922" t="n"/>
      <c r="I60" s="1922" t="n"/>
      <c r="J60" s="1922" t="n"/>
      <c r="K60" s="1922" t="n"/>
      <c r="L60" s="1922" t="n"/>
      <c r="M60" s="1922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" customHeight="1" s="1666">
      <c r="B61" s="1924" t="inlineStr">
        <is>
          <t>🔒 JAMAIS vendre</t>
        </is>
      </c>
      <c r="C61" s="1927" t="inlineStr">
        <is>
          <t>T.TO + MFC.TO en TFSA</t>
        </is>
      </c>
      <c r="D61" s="1928" t="inlineStr">
        <is>
          <t>Room TFSA perdu définitivement · Les 2 en perte latente → garder</t>
        </is>
      </c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" customHeight="1" s="1666">
      <c r="B62" s="1924" t="inlineStr">
        <is>
          <t>🎯 FI = liberté</t>
        </is>
      </c>
      <c r="C62" s="1927" t="inlineStr">
        <is>
          <t>Pas un chiffre fixe</t>
        </is>
      </c>
      <c r="D62" s="1928" t="inlineStr">
        <is>
          <t>$2.1M = plancher · Maximiser toujours · Pas de cible d'arrêt</t>
        </is>
      </c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" customHeight="1" s="1666">
      <c r="B63" s="1924" t="inlineStr">
        <is>
          <t>💱 USD max 65%</t>
        </is>
      </c>
      <c r="C63" s="1927" t="inlineStr">
        <is>
          <t>Seuil absolu</t>
        </is>
      </c>
      <c r="D63" s="1928" t="inlineStr">
        <is>
          <t>Au-delà → rééquilibrer vers CAD (VFV.TO, XIC, ENB.TO)</t>
        </is>
      </c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" customHeight="1" s="1666">
      <c r="B64" s="1924" t="inlineStr">
        <is>
          <t>🤖 IA max 45%</t>
        </is>
      </c>
      <c r="C64" s="1927" t="inlineStr">
        <is>
          <t>Seuil absolu</t>
        </is>
      </c>
      <c r="D64" s="1928" t="inlineStr">
        <is>
          <t>Corrélation sectorielle = risque concentré · Diversifier</t>
        </is>
      </c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" customHeight="1" s="1666">
      <c r="B65" s="1924" t="inlineStr">
        <is>
          <t>📅 No-buy 7j avant</t>
        </is>
      </c>
      <c r="C65" s="1927" t="inlineStr">
        <is>
          <t>Earnings T1/T2</t>
        </is>
      </c>
      <c r="D65" s="1928" t="inlineStr">
        <is>
          <t>Volatilité earnings = risque inutile · Acheter après annonce</t>
        </is>
      </c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27.75" customHeight="1" s="1666">
      <c r="B66" s="1924" t="inlineStr">
        <is>
          <t>🏠 RAP = pré-retraite</t>
        </is>
      </c>
      <c r="C66" s="1927" t="inlineStr">
        <is>
          <t>REER sert les 2 objectifs</t>
        </is>
      </c>
      <c r="D66" s="1928" t="inlineStr">
        <is>
          <t>Croître REER pour RAP 2030 ET retraite après remboursement 15 ans</t>
        </is>
      </c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" customHeight="1" s="1666">
      <c r="B67" s="1924" t="inlineStr">
        <is>
          <t>💰 T4→T1 naturel</t>
        </is>
      </c>
      <c r="C67" s="1927" t="inlineStr">
        <is>
          <t>Ne pas vendre T4 sauf mieux</t>
        </is>
      </c>
      <c r="D67" s="1928" t="inlineStr">
        <is>
          <t>Laisser les T4 se diluer · Réinvestir dividendes en T1/T2</t>
        </is>
      </c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27.75" customHeight="1" s="1666">
      <c r="B68" s="1924" t="inlineStr">
        <is>
          <t>😈 Devil's advocate</t>
        </is>
      </c>
      <c r="C68" s="1927" t="inlineStr">
        <is>
          <t>Avant chaque validation</t>
        </is>
      </c>
      <c r="D68" s="1928" t="inlineStr">
        <is>
          <t>Chercher la faille AVANT d'exécuter · Jamais valider immédiatement</t>
        </is>
      </c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F4B942"/>
    <outlinePr summaryBelow="1" summaryRight="1"/>
    <pageSetUpPr fitToPage="0"/>
  </sheetPr>
  <dimension ref="A1:Z2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12" customWidth="1" style="1665" min="2" max="2"/>
    <col width="14" customWidth="1" style="1665" min="3" max="3"/>
    <col width="45" customWidth="1" style="1665" min="4" max="6"/>
    <col width="20" customWidth="1" style="1665" min="7" max="8"/>
    <col width="14" customWidth="1" style="1665" min="9" max="12"/>
  </cols>
  <sheetData>
    <row r="1" ht="31.5" customHeight="1" s="1666">
      <c r="B1" s="1929" t="inlineStr">
        <is>
          <t>📓  JOURNAL DÉCISIONS  ·  Apprentissage continu · Ne jamais répéter la même erreur deux fois</t>
        </is>
      </c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B2" s="1688" t="inlineStr">
        <is>
          <t>"Chaque décision documentée = Claude apprend. Résultat J+30 obligatoire. Dans 6 mois ce journal = meilleur atout."</t>
        </is>
      </c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A4" s="1689" t="inlineStr">
        <is>
          <t>📋  LOG DÉCISIONS  ·  Saisir après chaque transaction ou décision importante</t>
        </is>
      </c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21.75" customHeight="1" s="1666">
      <c r="B5" s="1930" t="inlineStr">
        <is>
          <t>DATE</t>
        </is>
      </c>
      <c r="C5" s="1931" t="inlineStr">
        <is>
          <t>TICKER</t>
        </is>
      </c>
      <c r="D5" s="1931" t="inlineStr">
        <is>
          <t>COMPTE</t>
        </is>
      </c>
      <c r="E5" s="1931" t="inlineStr">
        <is>
          <t>ACTION</t>
        </is>
      </c>
      <c r="F5" s="1931" t="inlineStr">
        <is>
          <t>MONTANT</t>
        </is>
      </c>
      <c r="G5" s="1931" t="inlineStr">
        <is>
          <t>PRIX</t>
        </is>
      </c>
      <c r="H5" s="1931" t="inlineStr">
        <is>
          <t>RATIONALE</t>
        </is>
      </c>
      <c r="I5" s="1931" t="inlineStr">
        <is>
          <t>RÉSULTAT J+30</t>
        </is>
      </c>
      <c r="J5" s="1931" t="inlineStr">
        <is>
          <t>DELTA %</t>
        </is>
      </c>
      <c r="K5" s="1931" t="inlineStr">
        <is>
          <t>LEÇON</t>
        </is>
      </c>
      <c r="L5" s="1932" t="inlineStr">
        <is>
          <t>VERDICT</t>
        </is>
      </c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9.5" customHeight="1" s="1666">
      <c r="B6" s="1933" t="inlineStr">
        <is>
          <t>2026-03-11</t>
        </is>
      </c>
      <c r="C6" s="1934" t="inlineStr">
        <is>
          <t>AVGO</t>
        </is>
      </c>
      <c r="D6" s="1934" t="inlineStr">
        <is>
          <t>TFSA</t>
        </is>
      </c>
      <c r="E6" s="1934" t="inlineStr">
        <is>
          <t>ACHETÉ</t>
        </is>
      </c>
      <c r="F6" s="1935" t="inlineStr">
        <is>
          <t>~$462</t>
        </is>
      </c>
      <c r="G6" s="1936" t="inlineStr">
        <is>
          <t>$340.95</t>
        </is>
      </c>
      <c r="H6" s="1934" t="inlineStr">
        <is>
          <t>Soir · buying power settle · 1u fractionnel · DCA opportuniste</t>
        </is>
      </c>
      <c r="I6" s="1934" t="inlineStr">
        <is>
          <t>⬜ À remplir 11 avr 2026</t>
        </is>
      </c>
      <c r="J6" s="1937" t="n"/>
      <c r="K6" s="1938" t="n"/>
      <c r="L6" s="1939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9.5" customHeight="1" s="1666">
      <c r="B7" s="1940" t="inlineStr">
        <is>
          <t>2026-03-11</t>
        </is>
      </c>
      <c r="C7" s="1941" t="inlineStr">
        <is>
          <t>GEV</t>
        </is>
      </c>
      <c r="D7" s="1941" t="inlineStr">
        <is>
          <t>TFSA</t>
        </is>
      </c>
      <c r="E7" s="1941" t="inlineStr">
        <is>
          <t>ACHETÉ</t>
        </is>
      </c>
      <c r="F7" s="1942" t="inlineStr">
        <is>
          <t>~$314</t>
        </is>
      </c>
      <c r="G7" s="1943" t="inlineStr">
        <is>
          <t>$845.53</t>
        </is>
      </c>
      <c r="H7" s="1941" t="inlineStr">
        <is>
          <t>Soir · fractionnel · énergie IA · position stratégique renforcée</t>
        </is>
      </c>
      <c r="I7" s="1941" t="inlineStr">
        <is>
          <t>⬜ À remplir 11 avr 2026</t>
        </is>
      </c>
      <c r="J7" s="1944" t="n"/>
      <c r="K7" s="1945" t="n"/>
      <c r="L7" s="1946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9.5" customHeight="1" s="1666">
      <c r="B8" s="1933" t="inlineStr">
        <is>
          <t>2026-03-11</t>
        </is>
      </c>
      <c r="C8" s="1934" t="inlineStr">
        <is>
          <t>SMH</t>
        </is>
      </c>
      <c r="D8" s="1934" t="inlineStr">
        <is>
          <t>TFSA</t>
        </is>
      </c>
      <c r="E8" s="1934" t="inlineStr">
        <is>
          <t>ACHETÉ</t>
        </is>
      </c>
      <c r="F8" s="1935" t="inlineStr">
        <is>
          <t>~$2,715</t>
        </is>
      </c>
      <c r="G8" s="1936" t="inlineStr">
        <is>
          <t>$400.33</t>
        </is>
      </c>
      <c r="H8" s="1934" t="inlineStr">
        <is>
          <t>13h55 · T4→T1 · semi-conducteurs · dip session · +5u</t>
        </is>
      </c>
      <c r="I8" s="1934" t="inlineStr">
        <is>
          <t>⬜ À remplir 11 avr 2026</t>
        </is>
      </c>
      <c r="J8" s="1937" t="n"/>
      <c r="K8" s="1938" t="n"/>
      <c r="L8" s="1939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9.5" customHeight="1" s="1666">
      <c r="B9" s="1940" t="inlineStr">
        <is>
          <t>2026-03-11</t>
        </is>
      </c>
      <c r="C9" s="1941" t="inlineStr">
        <is>
          <t>AVGO</t>
        </is>
      </c>
      <c r="D9" s="1941" t="inlineStr">
        <is>
          <t>TFSA</t>
        </is>
      </c>
      <c r="E9" s="1941" t="inlineStr">
        <is>
          <t>ACHETÉ</t>
        </is>
      </c>
      <c r="F9" s="1942" t="inlineStr">
        <is>
          <t>~$2,772</t>
        </is>
      </c>
      <c r="G9" s="1943" t="inlineStr">
        <is>
          <t>$340.65</t>
        </is>
      </c>
      <c r="H9" s="1941" t="inlineStr">
        <is>
          <t>13h34 · T4→T1 · IA chips · redéploiement PLZ.UN · +6u</t>
        </is>
      </c>
      <c r="I9" s="1941" t="inlineStr">
        <is>
          <t>⬜ À remplir 11 avr 2026</t>
        </is>
      </c>
      <c r="J9" s="1944" t="n"/>
      <c r="K9" s="1945" t="n"/>
      <c r="L9" s="1946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9.5" customHeight="1" s="1666">
      <c r="B10" s="1933" t="inlineStr">
        <is>
          <t>2026-03-11</t>
        </is>
      </c>
      <c r="C10" s="1934" t="inlineStr">
        <is>
          <t>GEV</t>
        </is>
      </c>
      <c r="D10" s="1934" t="inlineStr">
        <is>
          <t>TFSA</t>
        </is>
      </c>
      <c r="E10" s="1934" t="inlineStr">
        <is>
          <t>ACHETÉ</t>
        </is>
      </c>
      <c r="F10" s="1935" t="inlineStr">
        <is>
          <t>~$1,144</t>
        </is>
      </c>
      <c r="G10" s="1936" t="inlineStr">
        <is>
          <t>$844.18</t>
        </is>
      </c>
      <c r="H10" s="1934" t="inlineStr">
        <is>
          <t>13h37 · T4→T1 · énergie IA infrastructure · +1u</t>
        </is>
      </c>
      <c r="I10" s="1934" t="inlineStr">
        <is>
          <t>⬜ À remplir 11 avr 2026</t>
        </is>
      </c>
      <c r="J10" s="1937" t="n"/>
      <c r="K10" s="1938" t="n"/>
      <c r="L10" s="1939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9.5" customHeight="1" s="1666">
      <c r="B11" s="1947" t="inlineStr">
        <is>
          <t>2026-03-11</t>
        </is>
      </c>
      <c r="C11" s="1948" t="inlineStr">
        <is>
          <t>REI.UN.TO</t>
        </is>
      </c>
      <c r="D11" s="1948" t="inlineStr">
        <is>
          <t>TFSA</t>
        </is>
      </c>
      <c r="E11" s="1948" t="inlineStr">
        <is>
          <t>VENDU</t>
        </is>
      </c>
      <c r="F11" s="1949" t="inlineStr">
        <is>
          <t>$6,315</t>
        </is>
      </c>
      <c r="G11" s="1950" t="inlineStr">
        <is>
          <t>$19.02</t>
        </is>
      </c>
      <c r="H11" s="1948" t="inlineStr">
        <is>
          <t>13h54 · T4→T1 · REIT résidentiel sous-pression taux élevés</t>
        </is>
      </c>
      <c r="I11" s="1948" t="inlineStr">
        <is>
          <t>✅ Capital redéployé SMH</t>
        </is>
      </c>
      <c r="J11" s="1951" t="inlineStr">
        <is>
          <t>REITs TFSA → dilution naturelle confirmée</t>
        </is>
      </c>
      <c r="K11" s="1945" t="n"/>
      <c r="L11" s="1946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9.5" customHeight="1" s="1666">
      <c r="B12" s="1952" t="inlineStr">
        <is>
          <t>2026-03-11</t>
        </is>
      </c>
      <c r="C12" s="1953" t="inlineStr">
        <is>
          <t>PLZ.UN.TO</t>
        </is>
      </c>
      <c r="D12" s="1953" t="inlineStr">
        <is>
          <t>TFSA</t>
        </is>
      </c>
      <c r="E12" s="1953" t="inlineStr">
        <is>
          <t>VENDU</t>
        </is>
      </c>
      <c r="F12" s="1954" t="inlineStr">
        <is>
          <t>$4,094</t>
        </is>
      </c>
      <c r="G12" s="1955" t="inlineStr">
        <is>
          <t>$4.26</t>
        </is>
      </c>
      <c r="H12" s="1953" t="inlineStr">
        <is>
          <t>13h33 · T4→T1 · en gain +17% · REIT sous-performant vs T1</t>
        </is>
      </c>
      <c r="I12" s="1953" t="inlineStr">
        <is>
          <t>✅ Capital redéployé AVGO+GEV</t>
        </is>
      </c>
      <c r="J12" s="1956" t="inlineStr">
        <is>
          <t>Vendre T4 en gain = bon timing</t>
        </is>
      </c>
      <c r="K12" s="1938" t="n"/>
      <c r="L12" s="1939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9.5" customHeight="1" s="1666">
      <c r="B13" s="1940" t="inlineStr">
        <is>
          <t>2026-03-10</t>
        </is>
      </c>
      <c r="C13" s="1941" t="inlineStr">
        <is>
          <t>VFV.TO</t>
        </is>
      </c>
      <c r="D13" s="1941" t="inlineStr">
        <is>
          <t>FHSA</t>
        </is>
      </c>
      <c r="E13" s="1941" t="inlineStr">
        <is>
          <t>ACHETÉ</t>
        </is>
      </c>
      <c r="F13" s="1942" t="inlineStr">
        <is>
          <t>~$2,518</t>
        </is>
      </c>
      <c r="G13" s="1943" t="inlineStr">
        <is>
          <t>$157.38</t>
        </is>
      </c>
      <c r="H13" s="1941" t="inlineStr">
        <is>
          <t>Premier achat FHSA 2026 · double exonération fiscale · ancre CAD</t>
        </is>
      </c>
      <c r="I13" s="1941" t="inlineStr">
        <is>
          <t>⬜ À remplir 10 avr 2026</t>
        </is>
      </c>
      <c r="J13" s="1944" t="n"/>
      <c r="K13" s="1945" t="n"/>
      <c r="L13" s="1946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9.5" customHeight="1" s="1666">
      <c r="B14" s="1933" t="inlineStr">
        <is>
          <t>2026-03-09</t>
        </is>
      </c>
      <c r="C14" s="1934" t="inlineStr">
        <is>
          <t>AVGO</t>
        </is>
      </c>
      <c r="D14" s="1934" t="inlineStr">
        <is>
          <t>TFSA</t>
        </is>
      </c>
      <c r="E14" s="1934" t="inlineStr">
        <is>
          <t>ACHETÉ</t>
        </is>
      </c>
      <c r="F14" s="1935" t="inlineStr">
        <is>
          <t>~$197</t>
        </is>
      </c>
      <c r="G14" s="1936" t="inlineStr">
        <is>
          <t>$345.76</t>
        </is>
      </c>
      <c r="H14" s="1934" t="inlineStr">
        <is>
          <t>DCA mensuel fractionnel · T1 · bull case IA confirmé Q1</t>
        </is>
      </c>
      <c r="I14" s="1934" t="inlineStr">
        <is>
          <t>⬜ À remplir 9 avr 2026</t>
        </is>
      </c>
      <c r="J14" s="1937" t="n"/>
      <c r="K14" s="1938" t="n"/>
      <c r="L14" s="1939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9.5" customHeight="1" s="1666">
      <c r="B15" s="1957" t="n"/>
      <c r="C15" s="1945" t="n"/>
      <c r="D15" s="1945" t="n"/>
      <c r="E15" s="1945" t="n"/>
      <c r="F15" s="1958" t="n"/>
      <c r="G15" s="1959" t="n"/>
      <c r="H15" s="1945" t="n"/>
      <c r="I15" s="1945" t="n"/>
      <c r="J15" s="1960" t="n"/>
      <c r="K15" s="1945" t="n"/>
      <c r="L15" s="1946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9.5" customHeight="1" s="1666">
      <c r="A16" s="1961" t="inlineStr">
        <is>
          <t>── NOUVELLES DÉCISIONS — AJOUTER ICI ──</t>
        </is>
      </c>
      <c r="B16" s="1962" t="n"/>
      <c r="C16" s="1962" t="n"/>
      <c r="D16" s="1962" t="n"/>
      <c r="E16" s="1962" t="n"/>
      <c r="F16" s="1962" t="n"/>
      <c r="G16" s="1962" t="n"/>
      <c r="H16" s="1962" t="n"/>
      <c r="I16" s="1962" t="n"/>
      <c r="J16" s="1963" t="n"/>
      <c r="K16" s="1938" t="n"/>
      <c r="L16" s="1939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B17" s="1964" t="n"/>
      <c r="C17" s="1965" t="n"/>
      <c r="D17" s="1966" t="n"/>
      <c r="E17" s="1966" t="n"/>
      <c r="F17" s="1967" t="n"/>
      <c r="G17" s="1968" t="n"/>
      <c r="H17" s="1966" t="n"/>
      <c r="I17" s="1966" t="n"/>
      <c r="J17" s="1969" t="n"/>
      <c r="K17" s="1966" t="n"/>
      <c r="L17" s="1970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B18" s="1971" t="inlineStr">
        <is>
          <t>2026-03-11</t>
        </is>
      </c>
      <c r="C18" s="1972" t="inlineStr">
        <is>
          <t>SMH ×10u</t>
        </is>
      </c>
      <c r="D18" s="1973" t="inlineStr">
        <is>
          <t>TFSA</t>
        </is>
      </c>
      <c r="E18" s="1973" t="inlineStr">
        <is>
          <t>ACHETÉ</t>
        </is>
      </c>
      <c r="F18" s="1974" t="inlineStr">
        <is>
          <t>~$5,434</t>
        </is>
      </c>
      <c r="G18" s="1975" t="inlineStr">
        <is>
          <t>$400.33-67</t>
        </is>
      </c>
      <c r="H18" s="1973" t="inlineStr">
        <is>
          <t>10u en 2 tranches · diversification dip vs AVGO only</t>
        </is>
      </c>
      <c r="I18" s="1973" t="inlineStr">
        <is>
          <t>⬜ J+30</t>
        </is>
      </c>
      <c r="J18" s="1976" t="inlineStr">
        <is>
          <t>⬜ Leçon</t>
        </is>
      </c>
      <c r="K18" s="1973" t="inlineStr">
        <is>
          <t>✅ Bon conseil · diversifier</t>
        </is>
      </c>
      <c r="L18" s="1977" t="inlineStr">
        <is>
          <t>⬜ Verdict</t>
        </is>
      </c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9.5" customHeight="1" s="1666">
      <c r="B19" s="1964" t="inlineStr">
        <is>
          <t>2026-03-09</t>
        </is>
      </c>
      <c r="C19" s="1965" t="inlineStr">
        <is>
          <t>Grande rotation</t>
        </is>
      </c>
      <c r="D19" s="1966" t="inlineStr">
        <is>
          <t>TFSA</t>
        </is>
      </c>
      <c r="E19" s="1966" t="inlineStr">
        <is>
          <t>MULTI</t>
        </is>
      </c>
      <c r="F19" s="1967" t="inlineStr">
        <is>
          <t>~$26K</t>
        </is>
      </c>
      <c r="G19" s="1968" t="inlineStr">
        <is>
          <t>Varié</t>
        </is>
      </c>
      <c r="H19" s="1966" t="inlineStr">
        <is>
          <t>Liquidation 15+ positions → T1 concentré · SESSION MAJEURE</t>
        </is>
      </c>
      <c r="I19" s="1966" t="inlineStr">
        <is>
          <t>⬜ J+30</t>
        </is>
      </c>
      <c r="J19" s="1969" t="inlineStr">
        <is>
          <t>⬜ Leçon</t>
        </is>
      </c>
      <c r="K19" s="1966" t="inlineStr">
        <is>
          <t>✅ Rotation validée · excellent</t>
        </is>
      </c>
      <c r="L19" s="1970" t="inlineStr">
        <is>
          <t>⬜ Verdict</t>
        </is>
      </c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9.5" customHeight="1" s="1666">
      <c r="B20" s="1971" t="inlineStr">
        <is>
          <t>2026-03-09</t>
        </is>
      </c>
      <c r="C20" s="1972" t="inlineStr">
        <is>
          <t>SCHD ×2</t>
        </is>
      </c>
      <c r="D20" s="1973" t="inlineStr">
        <is>
          <t>REER</t>
        </is>
      </c>
      <c r="E20" s="1973" t="inlineStr">
        <is>
          <t>ACHETÉ</t>
        </is>
      </c>
      <c r="F20" s="1974" t="inlineStr">
        <is>
          <t>~$222 USD</t>
        </is>
      </c>
      <c r="G20" s="1975" t="inlineStr">
        <is>
          <t>$30.88-30.94</t>
        </is>
      </c>
      <c r="H20" s="1973" t="inlineStr">
        <is>
          <t>REER débloqué · 2 tranches · snowball ARC</t>
        </is>
      </c>
      <c r="I20" s="1973" t="inlineStr">
        <is>
          <t>⬜ J+30</t>
        </is>
      </c>
      <c r="J20" s="1976" t="inlineStr">
        <is>
          <t>⬜ Leçon</t>
        </is>
      </c>
      <c r="K20" s="1973" t="inlineStr">
        <is>
          <t>✅ Priorité #1 · parfait</t>
        </is>
      </c>
      <c r="L20" s="1977" t="inlineStr">
        <is>
          <t>⬜ Verdict</t>
        </is>
      </c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9.5" customHeight="1" s="1666">
      <c r="B21" s="1964" t="inlineStr">
        <is>
          <t>2026-03-09</t>
        </is>
      </c>
      <c r="C21" s="1978" t="n"/>
      <c r="D21" s="1978" t="n"/>
      <c r="E21" s="1978" t="n"/>
      <c r="F21" s="1978" t="n"/>
      <c r="G21" s="1978" t="n"/>
      <c r="H21" s="1978" t="n"/>
      <c r="I21" s="1978" t="n"/>
      <c r="J21" s="1978" t="n"/>
      <c r="K21" s="1978" t="n"/>
      <c r="L21" s="1979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9.5" customHeight="1" s="1666">
      <c r="B22" s="1971" t="inlineStr">
        <is>
          <t>2026-03-04</t>
        </is>
      </c>
      <c r="C22" s="1972" t="inlineStr">
        <is>
          <t>ZLB.TO</t>
        </is>
      </c>
      <c r="D22" s="1973" t="inlineStr">
        <is>
          <t>TFSA</t>
        </is>
      </c>
      <c r="E22" s="1973" t="inlineStr">
        <is>
          <t>ACHETÉ</t>
        </is>
      </c>
      <c r="F22" s="1974" t="inlineStr">
        <is>
          <t>$240</t>
        </is>
      </c>
      <c r="G22" s="1975" t="inlineStr">
        <is>
          <t>$59.97 CAD</t>
        </is>
      </c>
      <c r="H22" s="1973" t="inlineStr">
        <is>
          <t>GTC · +4u Low Vol T3 · stabilité</t>
        </is>
      </c>
      <c r="I22" s="1973" t="inlineStr">
        <is>
          <t>⬜ J+30</t>
        </is>
      </c>
      <c r="J22" s="1976" t="inlineStr">
        <is>
          <t>⬜ Leçon</t>
        </is>
      </c>
      <c r="K22" s="1973" t="inlineStr">
        <is>
          <t>⬜ À évaluer J+30</t>
        </is>
      </c>
      <c r="L22" s="1977" t="inlineStr">
        <is>
          <t>⬜ Verdict</t>
        </is>
      </c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9.5" customHeight="1" s="1666">
      <c r="B23" s="1964" t="inlineStr">
        <is>
          <t>2026-03-03</t>
        </is>
      </c>
      <c r="C23" s="1965" t="inlineStr">
        <is>
          <t>H.TO</t>
        </is>
      </c>
      <c r="D23" s="1966" t="inlineStr">
        <is>
          <t>TFSA</t>
        </is>
      </c>
      <c r="E23" s="1966" t="inlineStr">
        <is>
          <t>ACHETÉ</t>
        </is>
      </c>
      <c r="F23" s="1967" t="inlineStr">
        <is>
          <t>$407</t>
        </is>
      </c>
      <c r="G23" s="1968" t="inlineStr">
        <is>
          <t>$58.08 CAD</t>
        </is>
      </c>
      <c r="H23" s="1966" t="inlineStr">
        <is>
          <t>GTC · +7u Hydro One T3 · utilités défensif</t>
        </is>
      </c>
      <c r="I23" s="1966" t="inlineStr">
        <is>
          <t>⬜ J+30</t>
        </is>
      </c>
      <c r="J23" s="1969" t="inlineStr">
        <is>
          <t>⬜ Leçon</t>
        </is>
      </c>
      <c r="K23" s="1966" t="inlineStr">
        <is>
          <t>⬜ À évaluer J+30</t>
        </is>
      </c>
      <c r="L23" s="1970" t="inlineStr">
        <is>
          <t>⬜ Verdict</t>
        </is>
      </c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9.5" customHeight="1" s="1666">
      <c r="B24" s="1971" t="inlineStr">
        <is>
          <t>2026-02-09</t>
        </is>
      </c>
      <c r="C24" s="1972" t="inlineStr">
        <is>
          <t>MFC.TO</t>
        </is>
      </c>
      <c r="D24" s="1973" t="inlineStr">
        <is>
          <t>TFSA</t>
        </is>
      </c>
      <c r="E24" s="1973" t="inlineStr">
        <is>
          <t>ACHETÉ</t>
        </is>
      </c>
      <c r="F24" s="1974" t="inlineStr">
        <is>
          <t>$414</t>
        </is>
      </c>
      <c r="G24" s="1975" t="inlineStr">
        <is>
          <t>$51.70 CAD</t>
        </is>
      </c>
      <c r="H24" s="1973" t="inlineStr">
        <is>
          <t>GTC · +8u Manulife · règle JAMAIS VENDRE active</t>
        </is>
      </c>
      <c r="I24" s="1973" t="inlineStr">
        <is>
          <t>⬜ J+30</t>
        </is>
      </c>
      <c r="J24" s="1976" t="inlineStr">
        <is>
          <t>⬜ Leçon</t>
        </is>
      </c>
      <c r="K24" s="1973" t="inlineStr">
        <is>
          <t>⬜ À évaluer J+30</t>
        </is>
      </c>
      <c r="L24" s="1977" t="inlineStr">
        <is>
          <t>⬜ Verdict</t>
        </is>
      </c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9.5" customHeight="1" s="1666">
      <c r="B25" s="1980" t="inlineStr">
        <is>
          <t>YYYY-MM-DD</t>
        </is>
      </c>
      <c r="C25" s="1981" t="inlineStr">
        <is>
          <t>TICKER</t>
        </is>
      </c>
      <c r="D25" s="1981" t="inlineStr">
        <is>
          <t>CTE</t>
        </is>
      </c>
      <c r="E25" s="1981" t="inlineStr">
        <is>
          <t>ACHETÉ/VENDU</t>
        </is>
      </c>
      <c r="F25" s="1982" t="inlineStr">
        <is>
          <t>$</t>
        </is>
      </c>
      <c r="G25" s="1983" t="inlineStr">
        <is>
          <t>$</t>
        </is>
      </c>
      <c r="H25" s="1981" t="inlineStr">
        <is>
          <t>Pourquoi cette décision?</t>
        </is>
      </c>
      <c r="I25" s="1981" t="inlineStr">
        <is>
          <t>⬜ À remplir J+30</t>
        </is>
      </c>
      <c r="J25" s="1984" t="inlineStr">
        <is>
          <t>Leçon apprise?</t>
        </is>
      </c>
      <c r="K25" s="1981" t="inlineStr">
        <is>
          <t>Conseil donné par Claude au moment du trade</t>
        </is>
      </c>
      <c r="L25" s="1985" t="inlineStr">
        <is>
          <t>⬜ Bon / Mauvais · pourquoi</t>
        </is>
      </c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9.5" customHeight="1" s="1666">
      <c r="B26" s="1986" t="n"/>
      <c r="C26" s="1938" t="n"/>
      <c r="D26" s="1938" t="n"/>
      <c r="E26" s="1938" t="n"/>
      <c r="F26" s="1987" t="n"/>
      <c r="G26" s="1988" t="n"/>
      <c r="H26" s="1938" t="n"/>
      <c r="I26" s="1938" t="n"/>
      <c r="J26" s="1989" t="n"/>
      <c r="K26" s="1938" t="n"/>
      <c r="L26" s="1939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9.5" customHeight="1" s="1666">
      <c r="B27" s="1957" t="n"/>
      <c r="C27" s="1945" t="n"/>
      <c r="D27" s="1945" t="n"/>
      <c r="E27" s="1945" t="n"/>
      <c r="F27" s="1958" t="n"/>
      <c r="G27" s="1959" t="n"/>
      <c r="H27" s="1945" t="n"/>
      <c r="I27" s="1945" t="n"/>
      <c r="J27" s="1960" t="n"/>
      <c r="K27" s="1945" t="n"/>
      <c r="L27" s="1946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9.5" customHeight="1" s="1666">
      <c r="A28" s="1990" t="n"/>
      <c r="B28" s="1962" t="n"/>
      <c r="C28" s="1962" t="n"/>
      <c r="D28" s="1962" t="n"/>
      <c r="E28" s="1962" t="n"/>
      <c r="F28" s="1962" t="n"/>
      <c r="G28" s="1962" t="n"/>
      <c r="H28" s="1962" t="n"/>
      <c r="I28" s="1962" t="n"/>
      <c r="J28" s="1963" t="n"/>
      <c r="K28" s="1938" t="n"/>
      <c r="L28" s="1939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9.5" customHeight="1" s="1666">
      <c r="B29" s="1980" t="inlineStr">
        <is>
          <t>💡 VERDICT J+30 : Remplir "✅ Bon · [raison]" ou "❌ Mauvais · [raison]" · Ce sont les données qui améliorent Claude session après session</t>
        </is>
      </c>
      <c r="C29" s="1945" t="n"/>
      <c r="D29" s="1979" t="n"/>
      <c r="E29" s="1945" t="n"/>
      <c r="F29" s="1978" t="n"/>
      <c r="G29" s="1978" t="n"/>
      <c r="H29" s="1978" t="n"/>
      <c r="I29" s="1978" t="n"/>
      <c r="J29" s="1979" t="n"/>
      <c r="K29" s="1945" t="n"/>
      <c r="L29" s="1946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9.5" customHeight="1" s="1666">
      <c r="B30" s="1986" t="n"/>
      <c r="C30" s="1938" t="n"/>
      <c r="D30" s="1979" t="n"/>
      <c r="E30" s="1938" t="n"/>
      <c r="F30" s="1978" t="n"/>
      <c r="G30" s="1978" t="n"/>
      <c r="H30" s="1978" t="n"/>
      <c r="I30" s="1978" t="n"/>
      <c r="J30" s="1979" t="n"/>
      <c r="K30" s="1938" t="n"/>
      <c r="L30" s="1939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9.5" customHeight="1" s="1666">
      <c r="B31" s="1957" t="n"/>
      <c r="C31" s="1945" t="n"/>
      <c r="D31" s="1979" t="n"/>
      <c r="E31" s="1945" t="n"/>
      <c r="F31" s="1978" t="n"/>
      <c r="G31" s="1978" t="n"/>
      <c r="H31" s="1978" t="n"/>
      <c r="I31" s="1978" t="n"/>
      <c r="J31" s="1979" t="n"/>
      <c r="K31" s="1945" t="n"/>
      <c r="L31" s="1946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9.5" customHeight="1" s="1666">
      <c r="B32" s="1986" t="n"/>
      <c r="C32" s="1938" t="n"/>
      <c r="D32" s="1979" t="n"/>
      <c r="E32" s="1938" t="n"/>
      <c r="F32" s="1978" t="n"/>
      <c r="G32" s="1978" t="n"/>
      <c r="H32" s="1978" t="n"/>
      <c r="I32" s="1978" t="n"/>
      <c r="J32" s="1979" t="n"/>
      <c r="K32" s="1938" t="n"/>
      <c r="L32" s="1939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9.5" customHeight="1" s="1666">
      <c r="B33" s="1957" t="n"/>
      <c r="C33" s="1945" t="n"/>
      <c r="D33" s="1979" t="n"/>
      <c r="E33" s="1945" t="n"/>
      <c r="F33" s="1978" t="n"/>
      <c r="G33" s="1978" t="n"/>
      <c r="H33" s="1978" t="n"/>
      <c r="I33" s="1978" t="n"/>
      <c r="J33" s="1979" t="n"/>
      <c r="K33" s="1945" t="n"/>
      <c r="L33" s="1946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9.5" customHeight="1" s="1666">
      <c r="B34" s="1986" t="n"/>
      <c r="C34" s="1938" t="n"/>
      <c r="D34" s="1979" t="n"/>
      <c r="E34" s="1938" t="n"/>
      <c r="F34" s="1978" t="n"/>
      <c r="G34" s="1978" t="n"/>
      <c r="H34" s="1978" t="n"/>
      <c r="I34" s="1978" t="n"/>
      <c r="J34" s="1979" t="n"/>
      <c r="K34" s="1938" t="n"/>
      <c r="L34" s="1939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9.5" customHeight="1" s="1666">
      <c r="B35" s="1957" t="n"/>
      <c r="C35" s="1945" t="n"/>
      <c r="D35" s="1945" t="n"/>
      <c r="E35" s="1945" t="n"/>
      <c r="F35" s="1958" t="n"/>
      <c r="G35" s="1959" t="n"/>
      <c r="H35" s="1945" t="n"/>
      <c r="I35" s="1945" t="n"/>
      <c r="J35" s="1960" t="n"/>
      <c r="K35" s="1945" t="n"/>
      <c r="L35" s="1946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9.5" customHeight="1" s="1666">
      <c r="A36" s="1689" t="inlineStr">
        <is>
          <t>🧠  PATTERNS COMPORTEMENTAUX  ·  Reconnus par Claude · Mis à jour chaque session</t>
        </is>
      </c>
      <c r="B36" s="1986" t="n"/>
      <c r="C36" s="1938" t="n"/>
      <c r="D36" s="1938" t="n"/>
      <c r="E36" s="1938" t="n"/>
      <c r="F36" s="1987" t="n"/>
      <c r="G36" s="1988" t="n"/>
      <c r="H36" s="1938" t="n"/>
      <c r="I36" s="1938" t="n"/>
      <c r="J36" s="1989" t="n"/>
      <c r="K36" s="1938" t="n"/>
      <c r="L36" s="1939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9.5" customHeight="1" s="1666">
      <c r="B37" s="1991" t="inlineStr">
        <is>
          <t>ID</t>
        </is>
      </c>
      <c r="C37" s="1992" t="inlineStr">
        <is>
          <t>PATTERN</t>
        </is>
      </c>
      <c r="D37" s="1945" t="n"/>
      <c r="E37" s="1992" t="inlineStr">
        <is>
          <t>DESCRIPTION</t>
        </is>
      </c>
      <c r="F37" s="1958" t="n"/>
      <c r="G37" s="1959" t="n"/>
      <c r="H37" s="1945" t="n"/>
      <c r="I37" s="1945" t="n"/>
      <c r="J37" s="1960" t="n"/>
      <c r="K37" s="1945" t="n"/>
      <c r="L37" s="1946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9.5" customHeight="1" s="1666">
      <c r="B38" s="1993" t="inlineStr">
        <is>
          <t>P1</t>
        </is>
      </c>
      <c r="C38" s="1994" t="inlineStr">
        <is>
          <t>Buy the dip</t>
        </is>
      </c>
      <c r="D38" s="1938" t="n"/>
      <c r="E38" s="1995" t="inlineStr">
        <is>
          <t>Achat systématique en correction · COVID playbook · jamais paniquer · AVGO -10% = achète plus</t>
        </is>
      </c>
      <c r="F38" s="1987" t="n"/>
      <c r="G38" s="1988" t="n"/>
      <c r="H38" s="1938" t="n"/>
      <c r="I38" s="1938" t="n"/>
      <c r="J38" s="1989" t="n"/>
      <c r="K38" s="1938" t="n"/>
      <c r="L38" s="1939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9.5" customHeight="1" s="1666">
      <c r="B39" s="1996" t="inlineStr">
        <is>
          <t>P2</t>
        </is>
      </c>
      <c r="C39" s="1997" t="inlineStr">
        <is>
          <t>Timing mi-mois</t>
        </is>
      </c>
      <c r="D39" s="1945" t="n"/>
      <c r="E39" s="1998" t="inlineStr">
        <is>
          <t>Liquidités arrivent mi-mois pas début · planifier achats en conséquence · pas de FOMO</t>
        </is>
      </c>
      <c r="F39" s="1958" t="n"/>
      <c r="G39" s="1959" t="n"/>
      <c r="H39" s="1945" t="n"/>
      <c r="I39" s="1945" t="n"/>
      <c r="J39" s="1960" t="n"/>
      <c r="K39" s="1945" t="n"/>
      <c r="L39" s="1946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9.5" customHeight="1" s="1666">
      <c r="B40" s="1993" t="inlineStr">
        <is>
          <t>P3</t>
        </is>
      </c>
      <c r="C40" s="1994" t="inlineStr">
        <is>
          <t>Sessions intensives</t>
        </is>
      </c>
      <c r="D40" s="1938" t="n"/>
      <c r="E40" s="1995" t="inlineStr">
        <is>
          <t>Sessions longues et profondes (vacances) vs courtes quotidiennes · adapter profondeur analyse</t>
        </is>
      </c>
      <c r="F40" s="1987" t="n"/>
      <c r="G40" s="1988" t="n"/>
      <c r="H40" s="1938" t="n"/>
      <c r="I40" s="1938" t="n"/>
      <c r="J40" s="1989" t="n"/>
      <c r="K40" s="1938" t="n"/>
      <c r="L40" s="1939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9.5" customHeight="1" s="1666">
      <c r="B41" s="1996" t="inlineStr">
        <is>
          <t>P4</t>
        </is>
      </c>
      <c r="C41" s="1997" t="inlineStr">
        <is>
          <t>Rotation T4→T1</t>
        </is>
      </c>
      <c r="D41" s="1945" t="n"/>
      <c r="E41" s="1998" t="inlineStr">
        <is>
          <t>Rotation T4→T1 quand T4 en gain &gt;5% · ne jamais attendre le top · agir quand gain visible</t>
        </is>
      </c>
      <c r="F41" s="1958" t="n"/>
      <c r="G41" s="1959" t="n"/>
      <c r="H41" s="1945" t="n"/>
      <c r="I41" s="1945" t="n"/>
      <c r="J41" s="1960" t="n"/>
      <c r="K41" s="1945" t="n"/>
      <c r="L41" s="1946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9.5" customHeight="1" s="1666">
      <c r="B42" s="1993" t="inlineStr">
        <is>
          <t>P5</t>
        </is>
      </c>
      <c r="C42" s="1994" t="inlineStr">
        <is>
          <t>Fiscal first</t>
        </is>
      </c>
      <c r="D42" s="1938" t="n"/>
      <c r="E42" s="1995" t="inlineStr">
        <is>
          <t>REER avant TFSA si même ticker · 52.98% retour immédiat · règle non négociable</t>
        </is>
      </c>
      <c r="F42" s="1987" t="n"/>
      <c r="G42" s="1988" t="n"/>
      <c r="H42" s="1938" t="n"/>
      <c r="I42" s="1938" t="n"/>
      <c r="J42" s="1989" t="n"/>
      <c r="K42" s="1938" t="n"/>
      <c r="L42" s="1939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9.5" customHeight="1" s="1666">
      <c r="B43" s="1957" t="n"/>
      <c r="C43" s="1945" t="n"/>
      <c r="D43" s="1945" t="n"/>
      <c r="E43" s="1945" t="n"/>
      <c r="F43" s="1958" t="n"/>
      <c r="G43" s="1959" t="n"/>
      <c r="H43" s="1945" t="n"/>
      <c r="I43" s="1945" t="n"/>
      <c r="J43" s="1960" t="n"/>
      <c r="K43" s="1945" t="n"/>
      <c r="L43" s="1946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9.5" customHeight="1" s="1666">
      <c r="B44" s="1986" t="n"/>
      <c r="C44" s="1938" t="n"/>
      <c r="D44" s="1938" t="n"/>
      <c r="E44" s="1938" t="n"/>
      <c r="F44" s="1987" t="n"/>
      <c r="G44" s="1988" t="n"/>
      <c r="H44" s="1938" t="n"/>
      <c r="I44" s="1938" t="n"/>
      <c r="J44" s="1989" t="n"/>
      <c r="K44" s="1938" t="n"/>
      <c r="L44" s="1939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9.5" customHeight="1" s="1666">
      <c r="B45" s="1999" t="inlineStr">
        <is>
          <t>📅  PRÉPARATION VERDICTS J+30  ·  À remplir le 11 avril 2026  ·  Évaluer chaque trade du 11 mars</t>
        </is>
      </c>
      <c r="C45" s="1978" t="n"/>
      <c r="D45" s="1978" t="n"/>
      <c r="E45" s="1978" t="n"/>
      <c r="F45" s="1978" t="n"/>
      <c r="G45" s="1978" t="n"/>
      <c r="H45" s="1978" t="n"/>
      <c r="I45" s="1978" t="n"/>
      <c r="J45" s="1978" t="n"/>
      <c r="K45" s="1978" t="n"/>
      <c r="L45" s="1979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9.5" customHeight="1" s="1666">
      <c r="B46" s="2000" t="inlineStr">
        <is>
          <t>⏰  Le 11 avril 2026 — ouvrir ce tableau, regarder prix Questrade de chaque ticker, remplir col I+J+K</t>
        </is>
      </c>
      <c r="C46" s="1978" t="n"/>
      <c r="D46" s="1978" t="n"/>
      <c r="E46" s="1978" t="n"/>
      <c r="F46" s="1978" t="n"/>
      <c r="G46" s="1978" t="n"/>
      <c r="H46" s="1978" t="n"/>
      <c r="I46" s="1978" t="n"/>
      <c r="J46" s="1978" t="n"/>
      <c r="K46" s="1978" t="n"/>
      <c r="L46" s="1979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9.5" customHeight="1" s="1666">
      <c r="B47" s="2001" t="inlineStr">
        <is>
          <t>TICKER</t>
        </is>
      </c>
      <c r="C47" s="2002" t="inlineStr">
        <is>
          <t>COMPTE</t>
        </is>
      </c>
      <c r="D47" s="2002" t="inlineStr">
        <is>
          <t>PRIX ACHAT</t>
        </is>
      </c>
      <c r="E47" s="2002" t="inlineStr">
        <is>
          <t>QTÉ</t>
        </is>
      </c>
      <c r="F47" s="2003" t="inlineStr">
        <is>
          <t>DATE TRADE</t>
        </is>
      </c>
      <c r="G47" s="2004" t="inlineStr">
        <is>
          <t>PRIX J+30
(11 avr)</t>
        </is>
      </c>
      <c r="H47" s="2002" t="inlineStr">
        <is>
          <t>PERF 30j</t>
        </is>
      </c>
      <c r="I47" s="2002" t="inlineStr">
        <is>
          <t>VERDICT CLAUDE
(bon/mauvais?)</t>
        </is>
      </c>
      <c r="J47" s="2005" t="inlineStr">
        <is>
          <t>LEÇON</t>
        </is>
      </c>
      <c r="K47" s="2002" t="inlineStr">
        <is>
          <t>SCORE CLAUDE</t>
        </is>
      </c>
      <c r="L47" s="1946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9.5" customHeight="1" s="1666">
      <c r="B48" s="2006" t="inlineStr">
        <is>
          <t>PLZ.UN.TO</t>
        </is>
      </c>
      <c r="C48" s="2007" t="inlineStr">
        <is>
          <t>TFSA</t>
        </is>
      </c>
      <c r="D48" s="2007" t="inlineStr">
        <is>
          <t>$4.26 CAD</t>
        </is>
      </c>
      <c r="E48" s="2007" t="inlineStr">
        <is>
          <t>961u</t>
        </is>
      </c>
      <c r="F48" s="2008" t="inlineStr">
        <is>
          <t>2026-03-11</t>
        </is>
      </c>
      <c r="G48" s="2009" t="inlineStr">
        <is>
          <t>⬜ Prix J+30</t>
        </is>
      </c>
      <c r="H48" s="2007" t="inlineStr">
        <is>
          <t>VENDU</t>
        </is>
      </c>
      <c r="I48" s="2010" t="inlineStr">
        <is>
          <t>✅ Bon — T4 en gain +17% → T1</t>
        </is>
      </c>
      <c r="J48" s="2011" t="inlineStr">
        <is>
          <t>⬜</t>
        </is>
      </c>
      <c r="K48" s="2007" t="inlineStr">
        <is>
          <t>—</t>
        </is>
      </c>
      <c r="L48" s="1939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9.5" customHeight="1" s="1666">
      <c r="B49" s="2012" t="inlineStr">
        <is>
          <t>REI.UN.TO</t>
        </is>
      </c>
      <c r="C49" s="2013" t="inlineStr">
        <is>
          <t>TFSA</t>
        </is>
      </c>
      <c r="D49" s="2013" t="inlineStr">
        <is>
          <t>$19.02 CAD</t>
        </is>
      </c>
      <c r="E49" s="2013" t="inlineStr">
        <is>
          <t>332u</t>
        </is>
      </c>
      <c r="F49" s="2014" t="inlineStr">
        <is>
          <t>2026-03-11</t>
        </is>
      </c>
      <c r="G49" s="2015" t="inlineStr">
        <is>
          <t>⬜ Prix J+30</t>
        </is>
      </c>
      <c r="H49" s="2013" t="inlineStr">
        <is>
          <t>VENDU</t>
        </is>
      </c>
      <c r="I49" s="2016" t="inlineStr">
        <is>
          <t>✅ Bon — timing pre-BdC ok</t>
        </is>
      </c>
      <c r="J49" s="2017" t="inlineStr">
        <is>
          <t>⬜</t>
        </is>
      </c>
      <c r="K49" s="2013" t="inlineStr">
        <is>
          <t>—</t>
        </is>
      </c>
      <c r="L49" s="1946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9.5" customHeight="1" s="1666">
      <c r="B50" s="2006" t="inlineStr">
        <is>
          <t>AVGO</t>
        </is>
      </c>
      <c r="C50" s="2007" t="inlineStr">
        <is>
          <t>TFSA</t>
        </is>
      </c>
      <c r="D50" s="2007" t="inlineStr">
        <is>
          <t>$340.65 USD</t>
        </is>
      </c>
      <c r="E50" s="2007" t="inlineStr">
        <is>
          <t>6u</t>
        </is>
      </c>
      <c r="F50" s="2008" t="inlineStr">
        <is>
          <t>2026-03-11</t>
        </is>
      </c>
      <c r="G50" s="2009" t="inlineStr">
        <is>
          <t>⬜ Prix J+30</t>
        </is>
      </c>
      <c r="H50" s="2018" t="inlineStr">
        <is>
          <t>⬜</t>
        </is>
      </c>
      <c r="I50" s="2010" t="inlineStr">
        <is>
          <t>✅ Probable — T1 IA core</t>
        </is>
      </c>
      <c r="J50" s="2011" t="inlineStr">
        <is>
          <t>⬜</t>
        </is>
      </c>
      <c r="K50" s="2018" t="inlineStr">
        <is>
          <t>⬜</t>
        </is>
      </c>
      <c r="L50" s="1939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9.5" customHeight="1" s="1666">
      <c r="B51" s="2012" t="inlineStr">
        <is>
          <t>GEV</t>
        </is>
      </c>
      <c r="C51" s="2013" t="inlineStr">
        <is>
          <t>TFSA</t>
        </is>
      </c>
      <c r="D51" s="2013" t="inlineStr">
        <is>
          <t>$844.18 USD</t>
        </is>
      </c>
      <c r="E51" s="2013" t="inlineStr">
        <is>
          <t>1u</t>
        </is>
      </c>
      <c r="F51" s="2014" t="inlineStr">
        <is>
          <t>2026-03-11</t>
        </is>
      </c>
      <c r="G51" s="2015" t="inlineStr">
        <is>
          <t>⬜ Prix J+30</t>
        </is>
      </c>
      <c r="H51" s="2019" t="inlineStr">
        <is>
          <t>⬜</t>
        </is>
      </c>
      <c r="I51" s="2016" t="inlineStr">
        <is>
          <t>✅ Probable — énergie IA</t>
        </is>
      </c>
      <c r="J51" s="2017" t="inlineStr">
        <is>
          <t>⬜</t>
        </is>
      </c>
      <c r="K51" s="2019" t="inlineStr">
        <is>
          <t>⬜</t>
        </is>
      </c>
      <c r="L51" s="1946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9.5" customHeight="1" s="1666">
      <c r="B52" s="2006" t="inlineStr">
        <is>
          <t>SMH ×5</t>
        </is>
      </c>
      <c r="C52" s="2007" t="inlineStr">
        <is>
          <t>TFSA</t>
        </is>
      </c>
      <c r="D52" s="2007" t="inlineStr">
        <is>
          <t>$400.33 USD</t>
        </is>
      </c>
      <c r="E52" s="2007" t="inlineStr">
        <is>
          <t>5u</t>
        </is>
      </c>
      <c r="F52" s="2008" t="inlineStr">
        <is>
          <t>2026-03-11 13h55</t>
        </is>
      </c>
      <c r="G52" s="2009" t="inlineStr">
        <is>
          <t>⬜ Prix J+30</t>
        </is>
      </c>
      <c r="H52" s="2018" t="inlineStr">
        <is>
          <t>⬜</t>
        </is>
      </c>
      <c r="I52" s="2010" t="inlineStr">
        <is>
          <t>✅ Probable — semis dip</t>
        </is>
      </c>
      <c r="J52" s="2011" t="inlineStr">
        <is>
          <t>⬜</t>
        </is>
      </c>
      <c r="K52" s="2018" t="inlineStr">
        <is>
          <t>⬜</t>
        </is>
      </c>
      <c r="L52" s="1939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9.5" customHeight="1" s="1666">
      <c r="B53" s="2012" t="inlineStr">
        <is>
          <t>SMH ×5</t>
        </is>
      </c>
      <c r="C53" s="2013" t="inlineStr">
        <is>
          <t>TFSA</t>
        </is>
      </c>
      <c r="D53" s="2013" t="inlineStr">
        <is>
          <t>$400.67 USD</t>
        </is>
      </c>
      <c r="E53" s="2013" t="inlineStr">
        <is>
          <t>5u</t>
        </is>
      </c>
      <c r="F53" s="2014" t="inlineStr">
        <is>
          <t>2026-03-11 14h02</t>
        </is>
      </c>
      <c r="G53" s="2015" t="inlineStr">
        <is>
          <t>⬜ Prix J+30</t>
        </is>
      </c>
      <c r="H53" s="2019" t="inlineStr">
        <is>
          <t>⬜</t>
        </is>
      </c>
      <c r="I53" s="2016" t="inlineStr">
        <is>
          <t>✅ Probable — 2e tranche</t>
        </is>
      </c>
      <c r="J53" s="2017" t="inlineStr">
        <is>
          <t>⬜</t>
        </is>
      </c>
      <c r="K53" s="2019" t="inlineStr">
        <is>
          <t>⬜</t>
        </is>
      </c>
      <c r="L53" s="1946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9.5" customHeight="1" s="1666">
      <c r="B54" s="2006" t="inlineStr">
        <is>
          <t>AVGO soir</t>
        </is>
      </c>
      <c r="C54" s="2007" t="inlineStr">
        <is>
          <t>TFSA</t>
        </is>
      </c>
      <c r="D54" s="2007" t="inlineStr">
        <is>
          <t>$340.19 USD</t>
        </is>
      </c>
      <c r="E54" s="2007" t="inlineStr">
        <is>
          <t>~1u</t>
        </is>
      </c>
      <c r="F54" s="2008" t="inlineStr">
        <is>
          <t>2026-03-11 soir</t>
        </is>
      </c>
      <c r="G54" s="2009" t="inlineStr">
        <is>
          <t>⬜ Prix J+30</t>
        </is>
      </c>
      <c r="H54" s="2018" t="inlineStr">
        <is>
          <t>⬜</t>
        </is>
      </c>
      <c r="I54" s="2010" t="inlineStr">
        <is>
          <t>⬜ À évaluer — buying power settle</t>
        </is>
      </c>
      <c r="J54" s="2011" t="inlineStr">
        <is>
          <t>⬜</t>
        </is>
      </c>
      <c r="K54" s="2018" t="inlineStr">
        <is>
          <t>⬜</t>
        </is>
      </c>
      <c r="L54" s="1939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9.5" customHeight="1" s="1666">
      <c r="B55" s="2012" t="inlineStr">
        <is>
          <t>GEV soir</t>
        </is>
      </c>
      <c r="C55" s="2013" t="inlineStr">
        <is>
          <t>TFSA</t>
        </is>
      </c>
      <c r="D55" s="2013" t="inlineStr">
        <is>
          <t>$843.80 USD</t>
        </is>
      </c>
      <c r="E55" s="2013" t="inlineStr">
        <is>
          <t>~0.37u</t>
        </is>
      </c>
      <c r="F55" s="2014" t="inlineStr">
        <is>
          <t>2026-03-11 soir</t>
        </is>
      </c>
      <c r="G55" s="2015" t="inlineStr">
        <is>
          <t>⬜ Prix J+30</t>
        </is>
      </c>
      <c r="H55" s="2019" t="inlineStr">
        <is>
          <t>⬜</t>
        </is>
      </c>
      <c r="I55" s="2016" t="inlineStr">
        <is>
          <t>⬜ À évaluer — fractionnel soir</t>
        </is>
      </c>
      <c r="J55" s="2017" t="inlineStr">
        <is>
          <t>⬜</t>
        </is>
      </c>
      <c r="K55" s="2019" t="inlineStr">
        <is>
          <t>⬜</t>
        </is>
      </c>
      <c r="L55" s="1946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9.5" customHeight="1" s="1666">
      <c r="B56" s="1986" t="n"/>
      <c r="C56" s="1938" t="n"/>
      <c r="D56" s="1938" t="n"/>
      <c r="E56" s="1938" t="n"/>
      <c r="F56" s="1987" t="n"/>
      <c r="G56" s="1988" t="n"/>
      <c r="H56" s="1938" t="n"/>
      <c r="I56" s="1938" t="n"/>
      <c r="J56" s="1989" t="n"/>
      <c r="K56" s="1938" t="n"/>
      <c r="L56" s="1939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9.5" customHeight="1" s="1666">
      <c r="B57" s="2020" t="inlineStr">
        <is>
          <t>💡 PROTOCOLE VERDICT J+30 (11 avril 2026)
① Ouvrir Questrade → noter prix actuel de chaque ticker dans col G
② Calculer PERF 30j = (Prix J+30 − Prix achat) / Prix achat
③ Verdict Claude = "✅ Bon · [raison]" ou "❌ Mauvais · [raison]"
④ Leçon = ce que ça t'apprend sur ta méthode de décision
⑤ Score Claude = si conseil était bon, ça renforce la confiance dans la méthodologie</t>
        </is>
      </c>
      <c r="C57" s="2021" t="n"/>
      <c r="D57" s="2021" t="n"/>
      <c r="E57" s="2021" t="n"/>
      <c r="F57" s="2021" t="n"/>
      <c r="G57" s="2021" t="n"/>
      <c r="H57" s="2021" t="n"/>
      <c r="I57" s="2021" t="n"/>
      <c r="J57" s="2021" t="n"/>
      <c r="K57" s="2022" t="n"/>
      <c r="L57" s="2023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21.75" customHeight="1" s="1666">
      <c r="B60" s="2024" t="inlineStr">
        <is>
          <t>🎓  LEÇONS APPRISES  ·  Boucle d'amélioration permanente · Mise à jour après chaque verdict J+30</t>
        </is>
      </c>
      <c r="C60" s="2025" t="n"/>
      <c r="D60" s="2025" t="n"/>
      <c r="E60" s="2025" t="n"/>
      <c r="F60" s="2025" t="n"/>
      <c r="G60" s="2025" t="n"/>
      <c r="H60" s="2025" t="n"/>
      <c r="I60" s="2025" t="n"/>
      <c r="J60" s="2025" t="n"/>
      <c r="K60" s="202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B61" s="2026" t="inlineStr">
        <is>
          <t>DATE LEÇON</t>
        </is>
      </c>
      <c r="C61" s="2026" t="inlineStr">
        <is>
          <t>DÉCISION ORIGINE</t>
        </is>
      </c>
      <c r="D61" s="2026" t="inlineStr">
        <is>
          <t>CE QUI S'EST PASSÉ</t>
        </is>
      </c>
      <c r="E61" s="2026" t="inlineStr">
        <is>
          <t>ERREUR / BIAIS</t>
        </is>
      </c>
      <c r="F61" s="2026" t="inlineStr">
        <is>
          <t>RÈGLE CRÉÉE</t>
        </is>
      </c>
      <c r="G61" s="2026" t="inlineStr">
        <is>
          <t>STATUT</t>
        </is>
      </c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45" customHeight="1" s="1666">
      <c r="B62" s="2027" t="inlineStr">
        <is>
          <t>2026-03-11</t>
        </is>
      </c>
      <c r="C62" s="2028" t="inlineStr">
        <is>
          <t>Achat AVGO/GEV/SMH
post-rotation T4→T1</t>
        </is>
      </c>
      <c r="D62" s="1928" t="inlineStr">
        <is>
          <t>Bonne décision stratégique. Timing VIX 24.6 = zone d'opportunité. À valider @J+30.</t>
        </is>
      </c>
      <c r="E62" s="2029" t="inlineStr">
        <is>
          <t>Possible FOMO sur IA — surveiller si concentration &gt;45%</t>
        </is>
      </c>
      <c r="F62" s="1919" t="inlineStr">
        <is>
          <t>Règle: vérifier expo IA% avant chaque achat T1 supplémentaire</t>
        </is>
      </c>
      <c r="G62" s="2027" t="inlineStr">
        <is>
          <t>⏳ Verdict 11 avril 2026</t>
        </is>
      </c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45" customHeight="1" s="1666">
      <c r="B63" s="2030" t="inlineStr">
        <is>
          <t>2026-03-11</t>
        </is>
      </c>
      <c r="C63" s="2031" t="inlineStr">
        <is>
          <t>Vente PLZ.UN + REI.UN
T4 dilution naturelle</t>
        </is>
      </c>
      <c r="D63" s="1928" t="inlineStr">
        <is>
          <t>PLZ.UN vendu $4.26 · Coût moy $4.26 → breakeven. REI.UN vendu $19.02.</t>
        </is>
      </c>
      <c r="E63" s="2029" t="inlineStr">
        <is>
          <t>Aurais-tu pu vendre plus tôt ? PLZ.UN était en stagnation depuis mois.</t>
        </is>
      </c>
      <c r="F63" s="1919" t="inlineStr">
        <is>
          <t>Règle: T4 REIT → revoir trim si -15% vs coût et dividende &lt;4%</t>
        </is>
      </c>
      <c r="G63" s="2030" t="inlineStr">
        <is>
          <t>✅ Décision validée</t>
        </is>
      </c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45" customHeight="1" s="1666">
      <c r="B64" s="2030" t="inlineStr">
        <is>
          <t>2026-03-09</t>
        </is>
      </c>
      <c r="C64" s="2031" t="inlineStr">
        <is>
          <t>Nettoyage REER
(XEI/ZEQT/XRE → SCHD)</t>
        </is>
      </c>
      <c r="D64" s="1928" t="inlineStr">
        <is>
          <t>SCHD 64.31u en REER = position snowball centrée. Bonne simplification.</t>
        </is>
      </c>
      <c r="E64" s="2029" t="inlineStr">
        <is>
          <t>Aucun biais identifié. Décision alignée stratégie.</t>
        </is>
      </c>
      <c r="F64" s="1919" t="inlineStr">
        <is>
          <t>Règle: REER = SCHD uniquement jusqu'à $60K RAP + JEPI pour revenus</t>
        </is>
      </c>
      <c r="G64" s="2030" t="inlineStr">
        <is>
          <t>✅ Décision validée</t>
        </is>
      </c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39.75" customHeight="1" s="1666">
      <c r="B65" s="2032" t="inlineStr">
        <is>
          <t>2026-03-12</t>
        </is>
      </c>
      <c r="C65" s="2032" t="inlineStr">
        <is>
          <t>SYSTÈME</t>
        </is>
      </c>
      <c r="D65" s="2032" t="inlineStr">
        <is>
          <t>S20</t>
        </is>
      </c>
      <c r="E65" s="2032" t="inlineStr">
        <is>
          <t>UPGRADE</t>
        </is>
      </c>
      <c r="F65" s="2032" t="inlineStr">
        <is>
          <t>⬜</t>
        </is>
      </c>
      <c r="G65" s="2032" t="inlineStr">
        <is>
          <t>⬜</t>
        </is>
      </c>
      <c r="H65" s="1665" t="inlineStr">
        <is>
          <t>S20 — Dashboard v3 + flow symbiose xlsx↔dashboard. Bouton Recharger. Prix live Yahoo Finance. Architecture: xlsx = source unique de vérité.</t>
        </is>
      </c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39.75" customHeight="1" s="1666">
      <c r="B66" s="2032" t="inlineStr">
        <is>
          <t>⬜</t>
        </is>
      </c>
      <c r="C66" s="2032" t="inlineStr">
        <is>
          <t>⬜</t>
        </is>
      </c>
      <c r="D66" s="2032" t="inlineStr">
        <is>
          <t>⬜</t>
        </is>
      </c>
      <c r="E66" s="2032" t="inlineStr">
        <is>
          <t>⬜</t>
        </is>
      </c>
      <c r="F66" s="2032" t="inlineStr">
        <is>
          <t>⬜</t>
        </is>
      </c>
      <c r="G66" s="2032" t="inlineStr">
        <is>
          <t>⬜</t>
        </is>
      </c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39.75" customHeight="1" s="1666">
      <c r="B67" s="2032" t="inlineStr">
        <is>
          <t>⬜</t>
        </is>
      </c>
      <c r="C67" s="2032" t="inlineStr">
        <is>
          <t>⬜</t>
        </is>
      </c>
      <c r="D67" s="2032" t="inlineStr">
        <is>
          <t>⬜</t>
        </is>
      </c>
      <c r="E67" s="2032" t="inlineStr">
        <is>
          <t>⬜</t>
        </is>
      </c>
      <c r="F67" s="2032" t="inlineStr">
        <is>
          <t>⬜</t>
        </is>
      </c>
      <c r="G67" s="2032" t="inlineStr">
        <is>
          <t>⬜</t>
        </is>
      </c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39.75" customHeight="1" s="1666">
      <c r="B68" s="2032" t="inlineStr">
        <is>
          <t>⬜</t>
        </is>
      </c>
      <c r="C68" s="2032" t="inlineStr">
        <is>
          <t>⬜</t>
        </is>
      </c>
      <c r="D68" s="2032" t="inlineStr">
        <is>
          <t>⬜</t>
        </is>
      </c>
      <c r="E68" s="2032" t="inlineStr">
        <is>
          <t>⬜</t>
        </is>
      </c>
      <c r="F68" s="2032" t="inlineStr">
        <is>
          <t>⬜</t>
        </is>
      </c>
      <c r="G68" s="2032" t="inlineStr">
        <is>
          <t>⬜</t>
        </is>
      </c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39.75" customHeight="1" s="1666">
      <c r="B69" s="2032" t="inlineStr">
        <is>
          <t>⬜</t>
        </is>
      </c>
      <c r="C69" s="2032" t="inlineStr">
        <is>
          <t>⬜</t>
        </is>
      </c>
      <c r="D69" s="2032" t="inlineStr">
        <is>
          <t>⬜</t>
        </is>
      </c>
      <c r="E69" s="2032" t="inlineStr">
        <is>
          <t>⬜</t>
        </is>
      </c>
      <c r="F69" s="2032" t="inlineStr">
        <is>
          <t>⬜</t>
        </is>
      </c>
      <c r="G69" s="2032" t="inlineStr">
        <is>
          <t>⬜</t>
        </is>
      </c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21.75" customHeight="1" s="1666">
      <c r="B72" s="2033" t="inlineStr">
        <is>
          <t>📐  RÈGLES ÉMERGENTES  ·  Extraites des leçons · Se construisent session par session</t>
        </is>
      </c>
      <c r="C72" s="2034" t="n"/>
      <c r="D72" s="2034" t="n"/>
      <c r="E72" s="2034" t="n"/>
      <c r="F72" s="2034" t="n"/>
      <c r="G72" s="2034" t="n"/>
      <c r="H72" s="2034" t="n"/>
      <c r="I72" s="2034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B73" s="2035" t="inlineStr">
        <is>
          <t>R001</t>
        </is>
      </c>
      <c r="C73" s="2036" t="inlineStr">
        <is>
          <t>2026-03-11</t>
        </is>
      </c>
      <c r="D73" s="1919" t="inlineStr">
        <is>
          <t>Jamais acheter T1 si expo IA% &gt; 45% sans d'abord calculer le nouveau %</t>
        </is>
      </c>
      <c r="E73" s="2030" t="inlineStr">
        <is>
          <t>✅ ACTIVE</t>
        </is>
      </c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B74" s="2035" t="inlineStr">
        <is>
          <t>R002</t>
        </is>
      </c>
      <c r="C74" s="2036" t="inlineStr">
        <is>
          <t>2026-03-11</t>
        </is>
      </c>
      <c r="D74" s="1919" t="inlineStr">
        <is>
          <t>T4 REIT: revoir si dividende &lt;4% ET -15% vs coût moy depuis &gt;6 mois</t>
        </is>
      </c>
      <c r="E74" s="2030" t="inlineStr">
        <is>
          <t>✅ ACTIVE</t>
        </is>
      </c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B75" s="2035" t="inlineStr">
        <is>
          <t>R003</t>
        </is>
      </c>
      <c r="C75" s="2036" t="inlineStr">
        <is>
          <t>2026-03-09</t>
        </is>
      </c>
      <c r="D75" s="1919" t="inlineStr">
        <is>
          <t>REER = SCHD exclusivement jusqu'à RAP $60K. Exception: JEPI &lt;5% allocation</t>
        </is>
      </c>
      <c r="E75" s="2030" t="inlineStr">
        <is>
          <t>✅ ACTIVE</t>
        </is>
      </c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B76" s="2035" t="inlineStr">
        <is>
          <t>R004</t>
        </is>
      </c>
      <c r="C76" s="2036" t="inlineStr">
        <is>
          <t>⬜ À créer</t>
        </is>
      </c>
      <c r="D76" s="2029" t="inlineStr">
        <is>
          <t>Quand alléger T1 ? (ex: si position &gt;30% du portfolio → rééquilibrer)</t>
        </is>
      </c>
      <c r="E76" s="2027" t="inlineStr">
        <is>
          <t>⬜ DÉFINIR</t>
        </is>
      </c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B77" s="2035" t="inlineStr">
        <is>
          <t>R005</t>
        </is>
      </c>
      <c r="C77" s="2036" t="inlineStr">
        <is>
          <t>⬜ À créer</t>
        </is>
      </c>
      <c r="D77" s="2029" t="inlineStr">
        <is>
          <t>Seuil psychologique personnel : à partir de quel % drawdown tu agis différemment ?</t>
        </is>
      </c>
      <c r="E77" s="2027" t="inlineStr">
        <is>
          <t>⬜ DÉFINIR</t>
        </is>
      </c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A79" s="2037" t="inlineStr">
        <is>
          <t>── SESSION S16 — 11 mars 2026 ──</t>
        </is>
      </c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A80" s="1875" t="inlineStr">
        <is>
          <t>2026-03-11</t>
        </is>
      </c>
      <c r="B80" s="1875" t="inlineStr">
        <is>
          <t>BUDGET</t>
        </is>
      </c>
      <c r="C80" s="1875" t="inlineStr">
        <is>
          <t>CONFIG</t>
        </is>
      </c>
      <c r="D80" s="1875" t="inlineStr">
        <is>
          <t>MAJ</t>
        </is>
      </c>
      <c r="E80" s="1875" t="inlineStr">
        <is>
          <t>$5,000/mois</t>
        </is>
      </c>
      <c r="F80" s="1875" t="inlineStr">
        <is>
          <t>REER $2K+FHSA $1K+TFSA $500+EQ Bank $1,500</t>
        </is>
      </c>
      <c r="G80" s="1875" t="inlineStr">
        <is>
          <t>Confirmé S16</t>
        </is>
      </c>
      <c r="H80" s="1875" t="inlineStr">
        <is>
          <t>✅ Exécuté</t>
        </is>
      </c>
      <c r="I80" s="1875" t="n"/>
      <c r="J80" s="1875" t="n"/>
      <c r="K80" s="1875" t="n"/>
      <c r="L80" s="187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A81" s="1875" t="inlineStr">
        <is>
          <t>2026-03-11</t>
        </is>
      </c>
      <c r="B81" s="1875" t="inlineStr">
        <is>
          <t>H.TO</t>
        </is>
      </c>
      <c r="C81" s="1875" t="inlineStr">
        <is>
          <t>TFSA</t>
        </is>
      </c>
      <c r="D81" s="1875" t="inlineStr">
        <is>
          <t>TIER CONFIRMÉ</t>
        </is>
      </c>
      <c r="E81" s="1875" t="inlineStr">
        <is>
          <t>T3</t>
        </is>
      </c>
      <c r="F81" s="1875" t="inlineStr">
        <is>
          <t>Hold sans accumulation — P/E 26x, yield 2.3%, mono-régulateur Ontario</t>
        </is>
      </c>
      <c r="G81" s="1875" t="inlineStr">
        <is>
          <t>Défendu vs pression changement</t>
        </is>
      </c>
      <c r="H81" s="1875" t="inlineStr">
        <is>
          <t>✅ T3 maintenu</t>
        </is>
      </c>
      <c r="I81" s="1875" t="n"/>
      <c r="J81" s="1875" t="n"/>
      <c r="K81" s="1875" t="n"/>
      <c r="L81" s="187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A82" s="1875" t="inlineStr">
        <is>
          <t>2026-03-11</t>
        </is>
      </c>
      <c r="B82" s="1875" t="inlineStr">
        <is>
          <t>XIC.TO</t>
        </is>
      </c>
      <c r="C82" s="1875" t="inlineStr">
        <is>
          <t>TFSA</t>
        </is>
      </c>
      <c r="D82" s="1875" t="inlineStr">
        <is>
          <t>TIER CONFIRMÉ</t>
        </is>
      </c>
      <c r="E82" s="1875" t="inlineStr">
        <is>
          <t>T4</t>
        </is>
      </c>
      <c r="F82" s="1875" t="inlineStr">
        <is>
          <t>Diluer naturellement — overlap avec VFV.TO, TSX concentré financières/énergie</t>
        </is>
      </c>
      <c r="G82" s="1875" t="inlineStr">
        <is>
          <t>Défendu vs pression changement</t>
        </is>
      </c>
      <c r="H82" s="1875" t="inlineStr">
        <is>
          <t>✅ T4 maintenu</t>
        </is>
      </c>
      <c r="I82" s="1875" t="n"/>
      <c r="J82" s="1875" t="n"/>
      <c r="K82" s="1875" t="n"/>
      <c r="L82" s="187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A83" s="1875" t="inlineStr">
        <is>
          <t>2026-03-11</t>
        </is>
      </c>
      <c r="B83" s="1875" t="inlineStr">
        <is>
          <t>PLAN ANALYSE</t>
        </is>
      </c>
      <c r="C83" s="1875" t="inlineStr">
        <is>
          <t>TOUS</t>
        </is>
      </c>
      <c r="D83" s="1875" t="inlineStr">
        <is>
          <t>DÉCISION</t>
        </is>
      </c>
      <c r="E83" s="1875" t="inlineStr">
        <is>
          <t>S17+</t>
        </is>
      </c>
      <c r="F83" s="1875" t="inlineStr">
        <is>
          <t>Grille 8 critères scorecard /10 à créer — analyser chaque titre portfolio</t>
        </is>
      </c>
      <c r="G83" s="1875" t="inlineStr">
        <is>
          <t>À exécuter S17</t>
        </is>
      </c>
      <c r="H83" s="1875" t="inlineStr">
        <is>
          <t>⏳ PENDING S17</t>
        </is>
      </c>
      <c r="I83" s="1875" t="n"/>
      <c r="J83" s="1875" t="n"/>
      <c r="K83" s="1875" t="n"/>
      <c r="L83" s="187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21.75" customHeight="1" s="1666">
      <c r="A86" s="2038" t="inlineStr">
        <is>
          <t>📅  PROTOCOLE VERDICTS J+30  ·  Mesurer fiabilité analyses  ·  Gravé S16</t>
        </is>
      </c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9.5" customHeight="1" s="1666">
      <c r="A87" s="2039" t="inlineStr">
        <is>
          <t>🔔 ALARME TÉLÉPHONE : 11 avril 2026 — Verdict J+30 portefeuille · Ouvrir Questrade + noter prix de chaque ticker T1/T2</t>
        </is>
      </c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8" customHeight="1" s="1666">
      <c r="A88" s="2040" t="inlineStr">
        <is>
          <t>OBJECTIF</t>
        </is>
      </c>
      <c r="B88" s="2041" t="inlineStr">
        <is>
          <t>Mesurer si les analyses de Claude sont fiables dans le temps. Si alpha vs VFV.TO = négatif sur 6 mois → simplifier vers index.</t>
        </is>
      </c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8" customHeight="1" s="1666">
      <c r="A89" s="2040" t="inlineStr">
        <is>
          <t>BENCHMARK</t>
        </is>
      </c>
      <c r="B89" s="2041" t="inlineStr">
        <is>
          <t>VFV.TO au 11 mars 2026 = $164.00 CAD. Au 11 avril → calculer %perf VFV vs portfolio total.</t>
        </is>
      </c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8" customHeight="1" s="1666">
      <c r="A91" s="2042" t="inlineStr">
        <is>
          <t>DATE DÉCISION</t>
        </is>
      </c>
      <c r="B91" s="2042" t="inlineStr">
        <is>
          <t>TICKER</t>
        </is>
      </c>
      <c r="C91" s="2042" t="inlineStr">
        <is>
          <t>ACTION</t>
        </is>
      </c>
      <c r="D91" s="2042" t="inlineStr">
        <is>
          <t>PRIX ENTRÉE</t>
        </is>
      </c>
      <c r="E91" s="2042" t="inlineStr">
        <is>
          <t>RAISONNEMENT</t>
        </is>
      </c>
      <c r="F91" s="2042" t="inlineStr">
        <is>
          <t>PRIX J+30</t>
        </is>
      </c>
      <c r="G91" s="2042" t="inlineStr">
        <is>
          <t>RÉSULTAT %</t>
        </is>
      </c>
      <c r="H91" s="2042" t="inlineStr">
        <is>
          <t>VFV J+30</t>
        </is>
      </c>
      <c r="I91" s="2042" t="inlineStr">
        <is>
          <t>ALPHA</t>
        </is>
      </c>
      <c r="J91" s="2042" t="inlineStr">
        <is>
          <t>VERDICT</t>
        </is>
      </c>
      <c r="K91" s="2042" t="inlineStr">
        <is>
          <t>LEÇON</t>
        </is>
      </c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8" customHeight="1" s="1666">
      <c r="A92" s="2043" t="inlineStr">
        <is>
          <t>2026-03-11</t>
        </is>
      </c>
      <c r="B92" s="2044" t="inlineStr">
        <is>
          <t>AVGO</t>
        </is>
      </c>
      <c r="C92" s="2043" t="inlineStr">
        <is>
          <t>🟢 ACHETÉ</t>
        </is>
      </c>
      <c r="D92" s="2043" t="inlineStr">
        <is>
          <t>$340.65 USD</t>
        </is>
      </c>
      <c r="E92" s="2045" t="inlineStr">
        <is>
          <t>T1 core · dip marché · conviction max semi</t>
        </is>
      </c>
      <c r="F92" s="2046" t="inlineStr">
        <is>
          <t>⬜ 11 avril</t>
        </is>
      </c>
      <c r="G92" s="2047">
        <f>IF(ISNUMBER(F92),(F92-D92)/D92,"⬜")</f>
        <v/>
      </c>
      <c r="H92" s="2046" t="inlineStr">
        <is>
          <t>⬜ 11 avril</t>
        </is>
      </c>
      <c r="I92" s="2047">
        <f>IF(ISNUMBER(G92),G92-H92,"⬜")</f>
        <v/>
      </c>
      <c r="J92" s="2048" t="inlineStr">
        <is>
          <t>⬜ OUI/NON</t>
        </is>
      </c>
      <c r="K92" s="2049" t="inlineStr">
        <is>
          <t>⬜ À remplir</t>
        </is>
      </c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8" customHeight="1" s="1666">
      <c r="A93" s="2050" t="inlineStr">
        <is>
          <t>2026-03-11</t>
        </is>
      </c>
      <c r="B93" s="2051" t="inlineStr">
        <is>
          <t>GEV</t>
        </is>
      </c>
      <c r="C93" s="2050" t="inlineStr">
        <is>
          <t>🟢 ACHETÉ</t>
        </is>
      </c>
      <c r="D93" s="2050" t="inlineStr">
        <is>
          <t>$844.18 USD</t>
        </is>
      </c>
      <c r="E93" s="2052" t="inlineStr">
        <is>
          <t>T1 énergie propre · croissance forte</t>
        </is>
      </c>
      <c r="F93" s="2046" t="inlineStr">
        <is>
          <t>⬜ 11 avril</t>
        </is>
      </c>
      <c r="G93" s="2047">
        <f>IF(ISNUMBER(F93),(F93-D93)/D93,"⬜")</f>
        <v/>
      </c>
      <c r="H93" s="2046" t="inlineStr">
        <is>
          <t>⬜ 11 avril</t>
        </is>
      </c>
      <c r="I93" s="2047">
        <f>IF(ISNUMBER(G93),G93-H93,"⬜")</f>
        <v/>
      </c>
      <c r="J93" s="2048" t="inlineStr">
        <is>
          <t>⬜ OUI/NON</t>
        </is>
      </c>
      <c r="K93" s="2049" t="inlineStr">
        <is>
          <t>⬜ À remplir</t>
        </is>
      </c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8" customHeight="1" s="1666">
      <c r="A94" s="2043" t="inlineStr">
        <is>
          <t>2026-03-11</t>
        </is>
      </c>
      <c r="B94" s="2044" t="inlineStr">
        <is>
          <t>SMH</t>
        </is>
      </c>
      <c r="C94" s="2043" t="inlineStr">
        <is>
          <t>🟢 ACHETÉ ×2</t>
        </is>
      </c>
      <c r="D94" s="2043" t="inlineStr">
        <is>
          <t>$400.50 USD</t>
        </is>
      </c>
      <c r="E94" s="2045" t="inlineStr">
        <is>
          <t>T1 semis · diversification secteur</t>
        </is>
      </c>
      <c r="F94" s="2046" t="inlineStr">
        <is>
          <t>⬜ 11 avril</t>
        </is>
      </c>
      <c r="G94" s="2047">
        <f>IF(ISNUMBER(F94),(F94-D94)/D94,"⬜")</f>
        <v/>
      </c>
      <c r="H94" s="2046" t="inlineStr">
        <is>
          <t>⬜ 11 avril</t>
        </is>
      </c>
      <c r="I94" s="2047">
        <f>IF(ISNUMBER(G94),G94-H94,"⬜")</f>
        <v/>
      </c>
      <c r="J94" s="2048" t="inlineStr">
        <is>
          <t>⬜ OUI/NON</t>
        </is>
      </c>
      <c r="K94" s="2049" t="inlineStr">
        <is>
          <t>⬜ À remplir</t>
        </is>
      </c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8" customHeight="1" s="1666">
      <c r="A95" s="2050" t="inlineStr">
        <is>
          <t>2026-03-12</t>
        </is>
      </c>
      <c r="B95" s="2051" t="inlineStr">
        <is>
          <t>SCHD</t>
        </is>
      </c>
      <c r="C95" s="2050" t="inlineStr">
        <is>
          <t>🟢 ACHETÉ</t>
        </is>
      </c>
      <c r="D95" s="2050" t="inlineStr">
        <is>
          <t>$30.88 USD</t>
        </is>
      </c>
      <c r="E95" s="2052" t="inlineStr">
        <is>
          <t>REER · snowball fiscal $1,060/mois ARC</t>
        </is>
      </c>
      <c r="F95" s="2046" t="inlineStr">
        <is>
          <t>⬜ 11 avril</t>
        </is>
      </c>
      <c r="G95" s="2047">
        <f>IF(ISNUMBER(F95),(F95-D95)/D95,"⬜")</f>
        <v/>
      </c>
      <c r="H95" s="2046" t="inlineStr">
        <is>
          <t>⬜ 11 avril</t>
        </is>
      </c>
      <c r="I95" s="2047">
        <f>IF(ISNUMBER(G95),G95-H95,"⬜")</f>
        <v/>
      </c>
      <c r="J95" s="2048" t="inlineStr">
        <is>
          <t>⬜ OUI/NON</t>
        </is>
      </c>
      <c r="K95" s="2049" t="inlineStr">
        <is>
          <t>⬜ À remplir</t>
        </is>
      </c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8" customHeight="1" s="1666">
      <c r="A96" s="2043" t="inlineStr">
        <is>
          <t>2026-03-11</t>
        </is>
      </c>
      <c r="B96" s="2044" t="inlineStr">
        <is>
          <t>PLZ.UN.TO</t>
        </is>
      </c>
      <c r="C96" s="2043" t="inlineStr">
        <is>
          <t>🔴 VENDU</t>
        </is>
      </c>
      <c r="D96" s="2043" t="inlineStr">
        <is>
          <t>$4.26 CAD</t>
        </is>
      </c>
      <c r="E96" s="2045" t="inlineStr">
        <is>
          <t>T4 → T1 · REIT faible rendement → libérer capital</t>
        </is>
      </c>
      <c r="F96" s="2046" t="inlineStr">
        <is>
          <t>✅ N/A vendu</t>
        </is>
      </c>
      <c r="G96" s="2047">
        <f>IF(ISNUMBER(F96),(F96-D96)/D96,"⬜")</f>
        <v/>
      </c>
      <c r="H96" s="2046" t="inlineStr">
        <is>
          <t>⬜ 11 avril</t>
        </is>
      </c>
      <c r="I96" s="2047">
        <f>IF(ISNUMBER(G96),G96-H96,"⬜")</f>
        <v/>
      </c>
      <c r="J96" s="2048" t="inlineStr">
        <is>
          <t>⬜ OUI/NON</t>
        </is>
      </c>
      <c r="K96" s="2049" t="inlineStr">
        <is>
          <t>⬜ À remplir</t>
        </is>
      </c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8" customHeight="1" s="1666">
      <c r="A97" s="2050" t="inlineStr">
        <is>
          <t>2026-03-11</t>
        </is>
      </c>
      <c r="B97" s="2051" t="inlineStr">
        <is>
          <t>REI.UN.TO</t>
        </is>
      </c>
      <c r="C97" s="2050" t="inlineStr">
        <is>
          <t>🔴 VENDU</t>
        </is>
      </c>
      <c r="D97" s="2050" t="inlineStr">
        <is>
          <t>$19.02 CAD</t>
        </is>
      </c>
      <c r="E97" s="2052" t="inlineStr">
        <is>
          <t>T4 → T1 · REIT faible rendement → libérer capital</t>
        </is>
      </c>
      <c r="F97" s="2046" t="inlineStr">
        <is>
          <t>✅ N/A vendu</t>
        </is>
      </c>
      <c r="G97" s="2047">
        <f>IF(ISNUMBER(F97),(F97-D97)/D97,"⬜")</f>
        <v/>
      </c>
      <c r="H97" s="2046" t="inlineStr">
        <is>
          <t>⬜ 11 avril</t>
        </is>
      </c>
      <c r="I97" s="2047">
        <f>IF(ISNUMBER(G97),G97-H97,"⬜")</f>
        <v/>
      </c>
      <c r="J97" s="2048" t="inlineStr">
        <is>
          <t>⬜ OUI/NON</t>
        </is>
      </c>
      <c r="K97" s="2049" t="inlineStr">
        <is>
          <t>⬜ À remplir</t>
        </is>
      </c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34.5" customHeight="1" s="1666">
      <c r="A98" s="2053" t="inlineStr">
        <is>
          <t>2026-03-12</t>
        </is>
      </c>
      <c r="B98" s="2054" t="inlineStr">
        <is>
          <t>SYSTÈME</t>
        </is>
      </c>
      <c r="C98" s="2055" t="inlineStr">
        <is>
          <t>📊 SESSION S21</t>
        </is>
      </c>
      <c r="D98" s="2056" t="inlineStr">
        <is>
          <t>—</t>
        </is>
      </c>
      <c r="E98" s="2057" t="inlineStr">
        <is>
          <t>Analyse complète 80 points (40F+40W) · 10 améliorations xlsx · Dashboard v5 · Onglet RAISONNEMENTS créé · Score santé 68/100</t>
        </is>
      </c>
      <c r="F98" s="2058" t="inlineStr">
        <is>
          <t>—</t>
        </is>
      </c>
      <c r="G98" s="2058" t="inlineStr">
        <is>
          <t>—</t>
        </is>
      </c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34.5" customHeight="1" s="1666">
      <c r="A99" s="2059" t="inlineStr">
        <is>
          <t>2026-03-12</t>
        </is>
      </c>
      <c r="B99" s="2060" t="inlineStr">
        <is>
          <t>FHSA</t>
        </is>
      </c>
      <c r="C99" s="2061" t="inlineStr">
        <is>
          <t>⚠️ ALERTE</t>
        </is>
      </c>
      <c r="D99" s="2062" t="inlineStr">
        <is>
          <t>—</t>
        </is>
      </c>
      <c r="E99" s="2063" t="inlineStr">
        <is>
          <t>FHSA 36% T4 documenté · $4,752 REI+SRU+XIC+XEI → à recycler vers VFV.TO post-BdC 18 mars</t>
        </is>
      </c>
      <c r="F99" s="2064" t="inlineStr">
        <is>
          <t>—</t>
        </is>
      </c>
      <c r="G99" s="2064" t="inlineStr">
        <is>
          <t>—</t>
        </is>
      </c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34.5" customHeight="1" s="1666">
      <c r="A100" s="2053" t="inlineStr">
        <is>
          <t>2026-03-12</t>
        </is>
      </c>
      <c r="B100" s="2054" t="inlineStr">
        <is>
          <t>FTQ</t>
        </is>
      </c>
      <c r="C100" s="2065" t="inlineStr">
        <is>
          <t>✅ DÉCOUVERTE</t>
        </is>
      </c>
      <c r="D100" s="2056" t="inlineStr">
        <is>
          <t>—</t>
        </is>
      </c>
      <c r="E100" s="2057" t="inlineStr">
        <is>
          <t>Si REER $24K + FHSA $16K → revenu imposable $100K &lt; seuil $129,590 → FTQ 2027 éligible · $4,149 récupérable</t>
        </is>
      </c>
      <c r="F100" s="2058" t="inlineStr">
        <is>
          <t>—</t>
        </is>
      </c>
      <c r="G100" s="2058" t="inlineStr">
        <is>
          <t>—</t>
        </is>
      </c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B102" s="1665" t="inlineStr">
        <is>
          <t>2026-03-13</t>
        </is>
      </c>
      <c r="C102" s="1665" t="inlineStr">
        <is>
          <t>XEQT.TO</t>
        </is>
      </c>
      <c r="D102" s="1665" t="inlineStr">
        <is>
          <t>🟢 ACHETÉ</t>
        </is>
      </c>
      <c r="E102" s="1665" t="inlineStr">
        <is>
          <t>$39.93 CAD</t>
        </is>
      </c>
      <c r="F102" s="1665" t="inlineStr">
        <is>
          <t>FHSA · 100u · $3,993 · analyse Research marché complet · 15:06:55 ET</t>
        </is>
      </c>
      <c r="G102" s="1665" t="inlineStr">
        <is>
          <t>⬜ 13 avril 2026</t>
        </is>
      </c>
      <c r="H102" s="1665">
        <f>IF(ISNUMBER(F102),(F102-D102)/D102,"⬜")</f>
        <v/>
      </c>
      <c r="I102" s="1665" t="inlineStr">
        <is>
          <t>⬜ 13 avril 2026</t>
        </is>
      </c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B103" s="1665" t="inlineStr">
        <is>
          <t>2026-03-13</t>
        </is>
      </c>
      <c r="C103" s="1665" t="inlineStr">
        <is>
          <t>SYSTÈME</t>
        </is>
      </c>
      <c r="D103" s="1665" t="inlineStr">
        <is>
          <t>📊 SESSION S34-S35</t>
        </is>
      </c>
      <c r="E103" s="1665" t="inlineStr">
        <is>
          <t>—</t>
        </is>
      </c>
      <c r="F103" s="1665" t="inlineStr">
        <is>
          <t>Research marché exhaustif · Top 15 actions + 15 ETFs · Décision FHSA $4,015 → 100% XEQT · v58-S35</t>
        </is>
      </c>
      <c r="G103" s="1665" t="inlineStr">
        <is>
          <t>—</t>
        </is>
      </c>
      <c r="H103" s="1665" t="inlineStr">
        <is>
          <t>—</t>
        </is>
      </c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B105" s="1665" t="inlineStr">
        <is>
          <t>2026-03-13</t>
        </is>
      </c>
      <c r="C105" s="1665" t="inlineStr">
        <is>
          <t>SYSTÈME</t>
        </is>
      </c>
      <c r="D105" s="1665" t="inlineStr">
        <is>
          <t>📊 SESSION S36</t>
        </is>
      </c>
      <c r="E105" s="1665" t="inlineStr">
        <is>
          <t>—</t>
        </is>
      </c>
      <c r="F105" s="1665" t="inlineStr">
        <is>
          <t>Audit complet HeyOS · Faille boucle apprentissage identifiée · Sources piliers 2-3-4 ajoutées (211-220) · CLAUDE.md S36</t>
        </is>
      </c>
      <c r="G105" s="1665" t="inlineStr">
        <is>
          <t>—</t>
        </is>
      </c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B106" s="1665" t="inlineStr">
        <is>
          <t>2026-04-13</t>
        </is>
      </c>
      <c r="C106" s="1665" t="inlineStr">
        <is>
          <t>VERDICT J+30</t>
        </is>
      </c>
      <c r="D106" s="1665" t="inlineStr">
        <is>
          <t>🔔 ALARME OBLIGATOIRE</t>
        </is>
      </c>
      <c r="E106" s="1665" t="inlineStr">
        <is>
          <t>XEQT.TO @$39.93</t>
        </is>
      </c>
      <c r="F106" s="1665" t="inlineStr">
        <is>
          <t>Comparer XEQT vs VFV vs S&amp;P 500 pur · Fermer boucle apprentissage · Documenter leçon</t>
        </is>
      </c>
      <c r="G106" s="1665" t="inlineStr">
        <is>
          <t>⬜ 13 avril</t>
        </is>
      </c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B107" s="1665" t="inlineStr">
        <is>
          <t>2026-04-11</t>
        </is>
      </c>
      <c r="C107" s="1665" t="inlineStr">
        <is>
          <t>VERDICT J+30</t>
        </is>
      </c>
      <c r="D107" s="1665" t="inlineStr">
        <is>
          <t>🔔 ALARME OBLIGATOIRE</t>
        </is>
      </c>
      <c r="E107" s="1665" t="inlineStr">
        <is>
          <t>AVGO·SMH·GEV·SCHD</t>
        </is>
      </c>
      <c r="F107" s="1665" t="inlineStr">
        <is>
          <t>Calculer alpha vs VFV.TO · Si alpha négatif → réviser conviction · FERMER BOUCLE — pas laisser ⬜</t>
        </is>
      </c>
      <c r="G107" s="1665" t="inlineStr">
        <is>
          <t>⬜ 11 avril</t>
        </is>
      </c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26">
    <mergeCell ref="C34:D34"/>
    <mergeCell ref="C30:D30"/>
    <mergeCell ref="C33:D33"/>
    <mergeCell ref="E31:J31"/>
    <mergeCell ref="B1:J1"/>
    <mergeCell ref="A4:J4"/>
    <mergeCell ref="B46:L46"/>
    <mergeCell ref="E34:J34"/>
    <mergeCell ref="B88:M88"/>
    <mergeCell ref="A28:J28"/>
    <mergeCell ref="E30:J30"/>
    <mergeCell ref="C29:D29"/>
    <mergeCell ref="B21:L21"/>
    <mergeCell ref="C31:D31"/>
    <mergeCell ref="E29:J29"/>
    <mergeCell ref="E32:J32"/>
    <mergeCell ref="B89:M89"/>
    <mergeCell ref="A87:M87"/>
    <mergeCell ref="A16:J16"/>
    <mergeCell ref="E33:J33"/>
    <mergeCell ref="C32:D32"/>
    <mergeCell ref="B57:K57"/>
    <mergeCell ref="A86:M86"/>
    <mergeCell ref="A79:L79"/>
    <mergeCell ref="B45:L45"/>
    <mergeCell ref="B2:J2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665" min="1" max="2"/>
    <col width="16" customWidth="1" style="1665" min="3" max="3"/>
    <col width="20" customWidth="1" style="1665" min="4" max="4"/>
    <col width="28" customWidth="1" style="1665" min="5" max="5"/>
    <col width="22" customWidth="1" style="1665" min="6" max="6"/>
    <col width="14" customWidth="1" style="1665" min="7" max="7"/>
    <col width="28" customWidth="1" style="1665" min="8" max="8"/>
    <col width="16" customWidth="1" style="1665" min="9" max="9"/>
  </cols>
  <sheetData>
    <row r="1" ht="30" customHeight="1" s="1666">
      <c r="A1" s="2066" t="inlineStr">
        <is>
          <t>🧠  RAISONNEMENTS &amp; PSYCHOLOGIE  ·  Le POURQUOI des décisions  ·  Mémoire comportementale cumulée  ·  S21</t>
        </is>
      </c>
    </row>
    <row r="2" ht="24.75" customHeight="1" s="1666">
      <c r="A2" s="2067" t="inlineStr">
        <is>
          <t>📌  Ce qui compte n'est pas QUOI tu as acheté, mais POURQUOI — et si ce pourquoi était bon. Chaque ligne = une leçon permanente.</t>
        </is>
      </c>
    </row>
    <row r="3" ht="21.75" customHeight="1" s="1666">
      <c r="A3" s="1744" t="inlineStr">
        <is>
          <t>① BIAIS PSYCHOLOGIQUES DOCUMENTÉS  ·  Identifiés en session · Pattern recognition cumulatif</t>
        </is>
      </c>
    </row>
    <row r="4" ht="21.75" customHeight="1" s="1666">
      <c r="A4" s="2068" t="inlineStr">
        <is>
          <t>BIAIS</t>
        </is>
      </c>
      <c r="B4" s="2068" t="inlineStr">
        <is>
          <t>DESCRIPTION</t>
        </is>
      </c>
      <c r="C4" s="2068" t="inlineStr">
        <is>
          <t>MANIFESTATION RÉELLE</t>
        </is>
      </c>
      <c r="D4" s="2068" t="inlineStr">
        <is>
          <t>DÉCLENCHEUR</t>
        </is>
      </c>
      <c r="E4" s="2068" t="inlineStr">
        <is>
          <t>STRATÉGIE CONTRE</t>
        </is>
      </c>
      <c r="F4" s="2068" t="inlineStr">
        <is>
          <t>STATUT</t>
        </is>
      </c>
      <c r="G4" s="2068" t="inlineStr">
        <is>
          <t>SESSIONS</t>
        </is>
      </c>
    </row>
    <row r="5" ht="51.75" customHeight="1" s="1666">
      <c r="A5" s="2065" t="inlineStr">
        <is>
          <t>Buy-the-dip fort ✅</t>
        </is>
      </c>
      <c r="B5" s="2069" t="inlineStr">
        <is>
          <t>Achat agressif pendant corrections</t>
        </is>
      </c>
      <c r="C5" s="2069" t="inlineStr">
        <is>
          <t>COVID mars 2020 : achat à -35% → retour exceptionnel. 11 mars 2026 : AVGO+SMH+GEV achetés pendant correction -3.4%.</t>
        </is>
      </c>
      <c r="D5" s="2069" t="inlineStr">
        <is>
          <t>VIX &gt; 20, S&amp;P -5%+ depuis ATH</t>
        </is>
      </c>
      <c r="E5" s="2069" t="inlineStr">
        <is>
          <t>Ancrer sur historique COVID. Calculer valeur à 10 ans.</t>
        </is>
      </c>
      <c r="F5" s="2065" t="inlineStr">
        <is>
          <t>✅ FORCE</t>
        </is>
      </c>
      <c r="G5" s="2070" t="inlineStr">
        <is>
          <t>S1→S21</t>
        </is>
      </c>
    </row>
    <row r="6" ht="51.75" customHeight="1" s="1666">
      <c r="A6" s="2071" t="inlineStr">
        <is>
          <t>Frein pré-achat ⚠️</t>
        </is>
      </c>
      <c r="B6" s="2072" t="inlineStr">
        <is>
          <t>Hésitation 1-3 jours avant achat même en conviction max</t>
        </is>
      </c>
      <c r="C6" s="2072" t="inlineStr">
        <is>
          <t>AVGO 11 mars : 2 jours d'hésitation. Peur d'acheter trop tôt dans la correction.</t>
        </is>
      </c>
      <c r="D6" s="2072" t="inlineStr">
        <is>
          <t>Incertitude marché en cours</t>
        </is>
      </c>
      <c r="E6" s="2072" t="inlineStr">
        <is>
          <t>Pre-commit : décider le soir, exécuter à l'ouverture.</t>
        </is>
      </c>
      <c r="F6" s="2061" t="inlineStr">
        <is>
          <t>⚠️ ACTIF</t>
        </is>
      </c>
      <c r="G6" s="2073" t="inlineStr">
        <is>
          <t>S18-S21</t>
        </is>
      </c>
    </row>
    <row r="7" ht="51.75" customHeight="1" s="1666">
      <c r="A7" s="2065" t="inlineStr">
        <is>
          <t>FOMO IA possible ⚠️</t>
        </is>
      </c>
      <c r="B7" s="2069" t="inlineStr">
        <is>
          <t>Surpondération secteur IA par enthousiasme</t>
        </is>
      </c>
      <c r="C7" s="2069" t="inlineStr">
        <is>
          <t>Expo IA ~35% coût base. Documenté comme risque toutes les sessions.</t>
        </is>
      </c>
      <c r="D7" s="2069" t="inlineStr">
        <is>
          <t>Nouvelles IA · perf AVGO/SMH</t>
        </is>
      </c>
      <c r="E7" s="2069" t="inlineStr">
        <is>
          <t>Règle absolue ≤45%. Calculer expo avant chaque achat T1 IA.</t>
        </is>
      </c>
      <c r="F7" s="2074" t="inlineStr">
        <is>
          <t>⚠️ ACTIF</t>
        </is>
      </c>
      <c r="G7" s="2070" t="inlineStr">
        <is>
          <t>S14→S21</t>
        </is>
      </c>
    </row>
    <row r="8" ht="51.75" customHeight="1" s="1666">
      <c r="A8" s="2071" t="inlineStr">
        <is>
          <t>Inaction sur urgences 🔴</t>
        </is>
      </c>
      <c r="B8" s="2072" t="inlineStr">
        <is>
          <t>Retarder actions simples malgré documentation répétée</t>
        </is>
      </c>
      <c r="C8" s="2072" t="inlineStr">
        <is>
          <t>EQ Bank $0 après 4+ sessions. Bénéficiaires non désignés. Automatisation non faite.</t>
        </is>
      </c>
      <c r="D8" s="2072" t="inlineStr">
        <is>
          <t>Sentiment que c'est moins urgent que les trades</t>
        </is>
      </c>
      <c r="E8" s="2072" t="inlineStr">
        <is>
          <t>Lier action urgente à prochaine paie. Alarme téléphone.</t>
        </is>
      </c>
      <c r="F8" s="2075" t="inlineStr">
        <is>
          <t>🔴 CRITIQUE</t>
        </is>
      </c>
      <c r="G8" s="2073" t="inlineStr">
        <is>
          <t>S17→S21</t>
        </is>
      </c>
    </row>
    <row r="9" ht="51.75" customHeight="1" s="1666">
      <c r="A9" s="2065" t="inlineStr">
        <is>
          <t>Timing parfait ⚠️</t>
        </is>
      </c>
      <c r="B9" s="2069" t="inlineStr">
        <is>
          <t>Attendre le meilleur moment au lieu de DCA systématique</t>
        </is>
      </c>
      <c r="C9" s="2069" t="inlineStr">
        <is>
          <t>Contributions non automatisées → risque timer le marché chaque mois.</t>
        </is>
      </c>
      <c r="D9" s="2069" t="inlineStr">
        <is>
          <t>Volatilité · incertitude macro</t>
        </is>
      </c>
      <c r="E9" s="2069" t="inlineStr">
        <is>
          <t>Automatiser le 15 de chaque mois.</t>
        </is>
      </c>
      <c r="F9" s="2074" t="inlineStr">
        <is>
          <t>⚠️ ACTIF</t>
        </is>
      </c>
      <c r="G9" s="2070" t="inlineStr">
        <is>
          <t>S16→S21</t>
        </is>
      </c>
    </row>
    <row r="11" ht="21.75" customHeight="1" s="1666">
      <c r="A11" s="2076" t="inlineStr">
        <is>
          <t>② JOURNAL DES RAISONNEMENTS  ·  Décisions clés avec le POURQUOI réel · Verdict J+30 intégré</t>
        </is>
      </c>
    </row>
    <row r="12" ht="15" customHeight="1" s="1666">
      <c r="A12" s="2077" t="inlineStr">
        <is>
          <t>DATE</t>
        </is>
      </c>
      <c r="B12" s="2077" t="inlineStr">
        <is>
          <t>TICKER</t>
        </is>
      </c>
      <c r="C12" s="2077" t="inlineStr">
        <is>
          <t>ACTION</t>
        </is>
      </c>
      <c r="D12" s="2077" t="inlineStr">
        <is>
          <t>ÉMOTION</t>
        </is>
      </c>
      <c r="E12" s="2077" t="inlineStr">
        <is>
          <t>RAISONNEMENT RÉEL</t>
        </is>
      </c>
      <c r="F12" s="2077" t="inlineStr">
        <is>
          <t>DOUTES AU MOMENT</t>
        </is>
      </c>
      <c r="G12" s="2077" t="inlineStr">
        <is>
          <t>VERDICT J+30</t>
        </is>
      </c>
      <c r="H12" s="2077" t="inlineStr">
        <is>
          <t>LEÇON APPRISE</t>
        </is>
      </c>
    </row>
    <row r="13" ht="54.75" customHeight="1" s="1666">
      <c r="A13" s="2078" t="inlineStr">
        <is>
          <t>2026-03-11</t>
        </is>
      </c>
      <c r="B13" s="2079" t="inlineStr">
        <is>
          <t>AVGO</t>
        </is>
      </c>
      <c r="C13" s="2080" t="inlineStr">
        <is>
          <t>🟢 ACHETÉ</t>
        </is>
      </c>
      <c r="D13" s="2081" t="inlineStr">
        <is>
          <t>Conviction + légère hésitation</t>
        </is>
      </c>
      <c r="E13" s="2082" t="inlineStr">
        <is>
          <t>T1 core IA. Dip -3.4% ATH. VIX 24.6. Broadcom = quasi-monopole switch semis IA. Prix $340.65 = -15% depuis ATH.</t>
        </is>
      </c>
      <c r="F13" s="2083" t="inlineStr">
        <is>
          <t>Trop tôt dans la correction? Attendre -20%?</t>
        </is>
      </c>
      <c r="G13" s="2084" t="inlineStr">
        <is>
          <t>⬜ 11 avril 2026</t>
        </is>
      </c>
      <c r="H13" s="2082" t="inlineStr">
        <is>
          <t>Hésitation = frein pré-achat actif. Conviction fondamentale = correcte. Pre-commit aurait éliminé 2 jours d'attente.</t>
        </is>
      </c>
    </row>
    <row r="14" ht="54.75" customHeight="1" s="1666">
      <c r="A14" s="2059" t="inlineStr">
        <is>
          <t>2026-03-11</t>
        </is>
      </c>
      <c r="B14" s="1749" t="inlineStr">
        <is>
          <t>SMH ×2</t>
        </is>
      </c>
      <c r="C14" s="2071" t="inlineStr">
        <is>
          <t>🟢 ACHETÉ</t>
        </is>
      </c>
      <c r="D14" s="2085" t="inlineStr">
        <is>
          <t>Conviction forte</t>
        </is>
      </c>
      <c r="E14" s="2072" t="inlineStr">
        <is>
          <t>ETF semis = expo T1 sans risque titre unique. NVDA+AVGO+TSM sans concentration. VIX élevé = opportunité.</t>
        </is>
      </c>
      <c r="F14" s="2086" t="inlineStr">
        <is>
          <t>Double position trop agressif?</t>
        </is>
      </c>
      <c r="G14" s="2064" t="inlineStr">
        <is>
          <t>⬜ 11 avril 2026</t>
        </is>
      </c>
      <c r="H14" s="2072" t="inlineStr">
        <is>
          <t>Double achat ETF = bon si conviction sectorielle. Moins risqué qu'un titre seul. À refaire en correction.</t>
        </is>
      </c>
    </row>
    <row r="15" ht="54.75" customHeight="1" s="1666">
      <c r="A15" s="2078" t="inlineStr">
        <is>
          <t>2026-03-11</t>
        </is>
      </c>
      <c r="B15" s="2079" t="inlineStr">
        <is>
          <t>GEV</t>
        </is>
      </c>
      <c r="C15" s="2080" t="inlineStr">
        <is>
          <t>🟢 ACHETÉ</t>
        </is>
      </c>
      <c r="D15" s="2081" t="inlineStr">
        <is>
          <t>Conviction forte</t>
        </is>
      </c>
      <c r="E15" s="2082" t="inlineStr">
        <is>
          <t>Infrastructure IA + énergie propre. Croissance &gt;30%/an. Complémentaire AVBO/SMH. Small position = risque contrôlé.</t>
        </is>
      </c>
      <c r="F15" s="2083" t="inlineStr">
        <is>
          <t>Valorisation élevée? Cyclique?</t>
        </is>
      </c>
      <c r="G15" s="2084" t="inlineStr">
        <is>
          <t>⬜ 11 avril 2026</t>
        </is>
      </c>
      <c r="H15" s="2082" t="inlineStr">
        <is>
          <t>Position initiée à conviction. Petite taille = entrée prudente. Accumuler si confirmation.</t>
        </is>
      </c>
    </row>
    <row r="16" ht="54.75" customHeight="1" s="1666">
      <c r="A16" s="2059" t="inlineStr">
        <is>
          <t>2026-03-11</t>
        </is>
      </c>
      <c r="B16" s="1749" t="inlineStr">
        <is>
          <t>PLZ.UN</t>
        </is>
      </c>
      <c r="C16" s="2075" t="inlineStr">
        <is>
          <t>🔴 VENDU</t>
        </is>
      </c>
      <c r="D16" s="2085" t="inlineStr">
        <is>
          <t>Soulagement rationnel</t>
        </is>
      </c>
      <c r="E16" s="2072" t="inlineStr">
        <is>
          <t>T4 REIT faible croissance. Libérer capital T1. Décision système, pas émotionnelle. $4,094 recyclés.</t>
        </is>
      </c>
      <c r="F16" s="2086" t="inlineStr">
        <is>
          <t>Vendre en correction = bon timing?</t>
        </is>
      </c>
      <c r="G16" s="2071" t="inlineStr">
        <is>
          <t>✅ Correct</t>
        </is>
      </c>
      <c r="H16" s="2072" t="inlineStr">
        <is>
          <t>Rotation T4→T1 = décision système pure. Résultat: $4,094 → AVGO+SMH+GEV. À reproduire systématiquement.</t>
        </is>
      </c>
    </row>
    <row r="17" ht="54.75" customHeight="1" s="1666">
      <c r="A17" s="2078" t="inlineStr">
        <is>
          <t>2026-03-12</t>
        </is>
      </c>
      <c r="B17" s="2079" t="inlineStr">
        <is>
          <t>SCHD</t>
        </is>
      </c>
      <c r="C17" s="2080" t="inlineStr">
        <is>
          <t>🟢 ACHETÉ</t>
        </is>
      </c>
      <c r="D17" s="2081" t="inlineStr">
        <is>
          <t>Discipline pure — zéro émotion</t>
        </is>
      </c>
      <c r="E17" s="2082" t="inlineStr">
        <is>
          <t>REER $2,000 → SCHD. Planifié S19. Exécuté 9h30 HNE. Snowball $1,060/mois ARC activé.</t>
        </is>
      </c>
      <c r="F17" s="2083" t="inlineStr">
        <is>
          <t>Aucun — pré-commité la veille</t>
        </is>
      </c>
      <c r="G17" s="2080" t="inlineStr">
        <is>
          <t>✅ Parfait</t>
        </is>
      </c>
      <c r="H17" s="2082" t="inlineStr">
        <is>
          <t>Pre-commitment = zéro hésitation. Meilleur trade = décidé avant l'ouverture. Modèle à reproduire.</t>
        </is>
      </c>
    </row>
    <row r="19" ht="21.75" customHeight="1" s="1666">
      <c r="A19" s="2087" t="inlineStr">
        <is>
          <t>③ PATTERNS RÉCURRENTS  ·  Ce que les données révèlent sur le style décisionnel</t>
        </is>
      </c>
    </row>
    <row r="20" ht="15" customHeight="1" s="1666">
      <c r="A20" s="2088" t="inlineStr">
        <is>
          <t>PATTERN</t>
        </is>
      </c>
      <c r="B20" s="2088" t="inlineStr">
        <is>
          <t>FRÉQUENCE</t>
        </is>
      </c>
      <c r="C20" s="2088" t="inlineStr">
        <is>
          <t>IMPACT</t>
        </is>
      </c>
      <c r="D20" s="2088" t="inlineStr">
        <is>
          <t>VERDICT GLOBAL</t>
        </is>
      </c>
      <c r="E20" s="2089" t="n"/>
      <c r="F20" s="2089" t="n"/>
      <c r="G20" s="2089" t="n"/>
      <c r="H20" s="2089" t="n"/>
      <c r="I20" s="2090" t="n"/>
    </row>
    <row r="21" ht="37.5" customHeight="1" s="1666">
      <c r="A21" s="2091" t="inlineStr">
        <is>
          <t>Buy-the-dip systématique</t>
        </is>
      </c>
      <c r="B21" s="2092" t="inlineStr">
        <is>
          <t>Chaque correction &gt;3% → achat T1</t>
        </is>
      </c>
      <c r="C21" s="2092" t="inlineStr">
        <is>
          <t>Très positif — retours supérieurs au DCA fixe 2020-2026</t>
        </is>
      </c>
      <c r="D21" s="2093" t="inlineStr">
        <is>
          <t>✅ GARDER — C'est l'avantage compétitif principal</t>
        </is>
      </c>
    </row>
    <row r="22" ht="37.5" customHeight="1" s="1666">
      <c r="A22" s="2094" t="inlineStr">
        <is>
          <t>Pre-commitment = zéro friction</t>
        </is>
      </c>
      <c r="B22" s="2072" t="inlineStr">
        <is>
          <t>SCHD 12 mars = zéro hésitation vs AVGO 11 mars = 2 jours</t>
        </is>
      </c>
      <c r="C22" s="2072" t="inlineStr">
        <is>
          <t>Pré-décider = exécution parfaite sans stress</t>
        </is>
      </c>
      <c r="D22" s="2095" t="inlineStr">
        <is>
          <t>✅ SYSTÉMATISER — Décider le soir, exécuter à l'ouverture</t>
        </is>
      </c>
    </row>
    <row r="23" ht="37.5" customHeight="1" s="1666">
      <c r="A23" s="2091" t="inlineStr">
        <is>
          <t>Inaction sur non-trades</t>
        </is>
      </c>
      <c r="B23" s="2092" t="inlineStr">
        <is>
          <t>EQ Bank, automatisation, bénéficiaires = toujours reportés</t>
        </is>
      </c>
      <c r="C23" s="2092" t="inlineStr">
        <is>
          <t>Risque opérationnel cumulatif élevé</t>
        </is>
      </c>
      <c r="D23" s="2096" t="inlineStr">
        <is>
          <t>🔴 PATTERN DANGEREUX — Alarme téléphone = seule solution</t>
        </is>
      </c>
    </row>
    <row r="24" ht="37.5" customHeight="1" s="1666">
      <c r="A24" s="2094" t="inlineStr">
        <is>
          <t>Validation Claude = accélérateur</t>
        </is>
      </c>
      <c r="B24" s="2072" t="inlineStr">
        <is>
          <t>Sessions Claude → décisions plus rapides et plus sûres</t>
        </is>
      </c>
      <c r="C24" s="2072" t="inlineStr">
        <is>
          <t>Frein pré-achat réduit de 80%</t>
        </is>
      </c>
      <c r="D24" s="2095" t="inlineStr">
        <is>
          <t>✅ CONTINUER — Valeur principale des sessions</t>
        </is>
      </c>
    </row>
    <row r="26" ht="21.75" customHeight="1" s="1666">
      <c r="A26" s="2097" t="inlineStr">
        <is>
          <t>④ RÈGLES PSYCHOLOGIQUES PERSONNELLES  ·  Validées par expérience réelle · Gravées S21</t>
        </is>
      </c>
    </row>
    <row r="27" ht="15" customHeight="1" s="1666">
      <c r="A27" s="2098" t="inlineStr">
        <is>
          <t>CODE</t>
        </is>
      </c>
      <c r="B27" s="2098" t="inlineStr">
        <is>
          <t>NOM</t>
        </is>
      </c>
      <c r="C27" s="2098" t="inlineStr">
        <is>
          <t>RÈGLE COMPLÈTE</t>
        </is>
      </c>
      <c r="D27" s="2089" t="n"/>
      <c r="E27" s="2089" t="n"/>
      <c r="F27" s="2089" t="n"/>
      <c r="G27" s="2089" t="n"/>
      <c r="H27" s="2090" t="n"/>
      <c r="I27" s="2098" t="inlineStr">
        <is>
          <t>STATUT</t>
        </is>
      </c>
    </row>
    <row r="28" ht="31.5" customHeight="1" s="1666">
      <c r="A28" s="2099" t="inlineStr">
        <is>
          <t>R-PSY-01</t>
        </is>
      </c>
      <c r="B28" s="2100" t="inlineStr">
        <is>
          <t>Ancre COVID 2020</t>
        </is>
      </c>
      <c r="C28" s="2101" t="inlineStr">
        <is>
          <t>En crise → rappeler : mars 2020, tu as acheté à -35% → retour exceptionnel. Même playbook toujours.</t>
        </is>
      </c>
      <c r="I28" s="2102" t="inlineStr">
        <is>
          <t>✅ Actif S1</t>
        </is>
      </c>
    </row>
    <row r="29" ht="31.5" customHeight="1" s="1666">
      <c r="A29" s="2061" t="inlineStr">
        <is>
          <t>R-PSY-02</t>
        </is>
      </c>
      <c r="B29" s="2060" t="inlineStr">
        <is>
          <t>Pre-commitment obligatoire</t>
        </is>
      </c>
      <c r="C29" s="2103" t="inlineStr">
        <is>
          <t>Décider le soir QUOI et COMBIEN. Exécuter à l'ouverture sans revoir la décision.</t>
        </is>
      </c>
      <c r="I29" s="1748" t="inlineStr">
        <is>
          <t>✅ Actif S20</t>
        </is>
      </c>
    </row>
    <row r="30" ht="31.5" customHeight="1" s="1666">
      <c r="A30" s="2099" t="inlineStr">
        <is>
          <t>R-PSY-03</t>
        </is>
      </c>
      <c r="B30" s="2100" t="inlineStr">
        <is>
          <t>Émotion = signal, pas décision</t>
        </is>
      </c>
      <c r="C30" s="2101" t="inlineStr">
        <is>
          <t>Si FOMO → reculer. Si peur → vérifier fondamentaux. Émotion = information, jamais instruction.</t>
        </is>
      </c>
      <c r="I30" s="2102" t="inlineStr">
        <is>
          <t>✅ Actif S18</t>
        </is>
      </c>
    </row>
    <row r="31" ht="31.5" customHeight="1" s="1666">
      <c r="A31" s="2061" t="inlineStr">
        <is>
          <t>R-PSY-04</t>
        </is>
      </c>
      <c r="B31" s="2060" t="inlineStr">
        <is>
          <t>Urgences = alarme téléphone</t>
        </is>
      </c>
      <c r="C31" s="2103" t="inlineStr">
        <is>
          <t>EQ Bank, bénéficiaires, automatisation → alarme téléphone immédiatement, pas 'tantôt'.</t>
        </is>
      </c>
      <c r="I31" s="2104" t="inlineStr">
        <is>
          <t>🔴 À implémenter</t>
        </is>
      </c>
    </row>
    <row r="32" ht="31.5" customHeight="1" s="1666">
      <c r="A32" s="2099" t="inlineStr">
        <is>
          <t>R-PSY-05</t>
        </is>
      </c>
      <c r="B32" s="2100" t="inlineStr">
        <is>
          <t>Validation externe = accélérateur</t>
        </is>
      </c>
      <c r="C32" s="2101" t="inlineStr">
        <is>
          <t>Partager le raisonnement avec Claude avant d'exécuter réduit le frein de 80%.</t>
        </is>
      </c>
      <c r="I32" s="2102" t="inlineStr">
        <is>
          <t>✅ Actif S16</t>
        </is>
      </c>
    </row>
    <row r="33" ht="34.5" customHeight="1" s="1666">
      <c r="B33" s="2105" t="inlineStr">
        <is>
          <t>Infrastructure avant contenu</t>
        </is>
      </c>
      <c r="C33" s="2105" t="inlineStr">
        <is>
          <t>Récurrent</t>
        </is>
      </c>
      <c r="D33" s="2105" t="inlineStr">
        <is>
          <t>On construit de beaux outils mais les onglets restent vides</t>
        </is>
      </c>
      <c r="E33" s="2105" t="inlineStr">
        <is>
          <t>⚠️ À surveiller — nourrir le cerveau à chaque session</t>
        </is>
      </c>
      <c r="F33" s="2105" t="n"/>
    </row>
    <row r="35">
      <c r="A35" s="3273" t="inlineStr">
        <is>
          <t>S34 · 13 mars 2026 · DÉCISION FHSA $4,015</t>
        </is>
      </c>
    </row>
    <row r="36">
      <c r="A36" s="1665" t="inlineStr">
        <is>
          <t>CONTEXTE</t>
        </is>
      </c>
      <c r="B36" s="1665" t="inlineStr">
        <is>
          <t>Marché en correction –4.6% depuis ATH jan 2026. Iran/pétrole. Fed bloquée. Cash FHSA $4,015 disponible.</t>
        </is>
      </c>
    </row>
    <row r="37">
      <c r="A37" s="1665" t="inlineStr">
        <is>
          <t>ANALYSE RÉALISÉE</t>
        </is>
      </c>
      <c r="B37" s="1665" t="inlineStr">
        <is>
          <t>Top 15 actions Questrade + Top 15 ETFs canadiens analysés. Comparaison 3 options (100% VFV / 50-50 / 100% XEQT).</t>
        </is>
      </c>
    </row>
    <row r="38">
      <c r="A38" s="1665" t="inlineStr">
        <is>
          <t>CONCLUSION ANALYSE</t>
        </is>
      </c>
      <c r="B38" s="1665" t="inlineStr">
        <is>
          <t>Aucune action individuelle appropriée pour FHSA (risque concentré, compte maison 2030). VFV.TO + XEQT.TO = meilleurs ETFs pour profil.</t>
        </is>
      </c>
    </row>
    <row r="39">
      <c r="A39" s="1665" t="inlineStr">
        <is>
          <t>PLAN RETENU</t>
        </is>
      </c>
      <c r="B39" s="1665" t="inlineStr">
        <is>
          <t>100% XEQT.TO · 100 unités @$39.93 · $3,993 CAD</t>
        </is>
      </c>
    </row>
    <row r="40">
      <c r="A40" s="1665" t="inlineStr">
        <is>
          <t>RATIONALE</t>
        </is>
      </c>
      <c r="B40" s="1665" t="inlineStr">
        <is>
          <t>VFV = continuité + track record. XEQT = comble vide intl. Sharpe XEQT 1.46 &gt; VFV 0.83. USD reste ≤65%. Deux gratuits Questrade.</t>
        </is>
      </c>
    </row>
    <row r="41">
      <c r="A41" s="1665" t="inlineStr">
        <is>
          <t>DEVIL'S ADVOCATE</t>
        </is>
      </c>
      <c r="B41" s="1665" t="inlineStr">
        <is>
          <t>100% VFV surperforme long terme (10+ ans) mais concentre encore plus en US dans compte déjà à 62% USD.</t>
        </is>
      </c>
    </row>
    <row r="42">
      <c r="A42" s="1665" t="inlineStr">
        <is>
          <t>VERDICT J+30</t>
        </is>
      </c>
      <c r="B42" s="1665" t="inlineStr">
        <is>
          <t>13 avril 2026 · comparer XEQT.TO vs VFV.TO et vs portefeuille S&amp;P 500 pur</t>
        </is>
      </c>
    </row>
    <row r="43">
      <c r="A43" s="1665" t="inlineStr">
        <is>
          <t>STATUT</t>
        </is>
      </c>
      <c r="B43" s="1665" t="inlineStr">
        <is>
          <t>✅ EXÉCUTÉ — 13 mars 2026 · 15:06:55 ET</t>
        </is>
      </c>
    </row>
    <row r="45">
      <c r="A45" s="1665" t="inlineStr">
        <is>
          <t>S36 · 13 mars 2026 · AUDIT SYSTÈME APPRENTISSAGE</t>
        </is>
      </c>
    </row>
    <row r="46">
      <c r="A46" s="1665" t="inlineStr">
        <is>
          <t>FAILLE IDENTIFIÉE</t>
        </is>
      </c>
      <c r="B46" s="1665" t="inlineStr">
        <is>
          <t>Verdicts J+30 tous ⬜ depuis S16. Cycle incomplet : décision ✅ → document ✅ → verdict ⬜ → leçon ⬜. Sans résultats mesurés, Claude apprend les patterns d'action mais pas la qualité des décisions.</t>
        </is>
      </c>
    </row>
    <row r="47">
      <c r="A47" s="1665" t="inlineStr">
        <is>
          <t>CORRECTION</t>
        </is>
      </c>
      <c r="B47" s="1665" t="inlineStr">
        <is>
          <t>R-ANA-02 créée. Alarmes téléphone J+30 dans JOURNAL. Verdict = noter prix + calculer alpha vs VFV.TO + écrire 1 leçon.</t>
        </is>
      </c>
    </row>
    <row r="48">
      <c r="A48" s="1665" t="inlineStr">
        <is>
          <t>IMPLICATION</t>
        </is>
      </c>
      <c r="B48" s="1665" t="inlineStr">
        <is>
          <t>Si alpha vs VFV.TO négatif sur 6 mois cumulés → réviser conviction titres individuels → simplifier vers index. Mesurer pour améliorer.</t>
        </is>
      </c>
    </row>
    <row r="50">
      <c r="A50" s="1665" t="inlineStr">
        <is>
          <t>S36 · ÉQUILIBRE SOURCES INDICE</t>
        </is>
      </c>
    </row>
    <row r="51">
      <c r="A51" s="1665" t="inlineStr">
        <is>
          <t>PROBLÈME</t>
        </is>
      </c>
      <c r="B51" s="1665" t="inlineStr">
        <is>
          <t>210 sources indexées → 95% finances. Piliers 2-3-4 = 0 source. Research corps ou immobilier = impossible sans sources fiables.</t>
        </is>
      </c>
    </row>
    <row r="52">
      <c r="A52" s="1665" t="inlineStr">
        <is>
          <t>SOLUTION</t>
        </is>
      </c>
      <c r="B52" s="1665" t="inlineStr">
        <is>
          <t>10 sources ajoutées (211-220) : Stronger by Science, Alan Aragon, Jeff Nippard, BJJ Fanatics, Examine.com, Atomic Habits, Morgan Housel, Centris.ca, SCHL, NutritionFacts. Score moyen: 90.</t>
        </is>
      </c>
    </row>
    <row r="53">
      <c r="A53" s="1665" t="inlineStr">
        <is>
          <t>RÈGLE</t>
        </is>
      </c>
      <c r="B53" s="1665" t="inlineStr">
        <is>
          <t>R-ANA-03 : chaque trimestre, vérifier équilibre sources. Piliers 2-3-4 ≥ 20% indice (cible : 44/220 = 20%).</t>
        </is>
      </c>
    </row>
  </sheetData>
  <mergeCells count="17">
    <mergeCell ref="C32:H32"/>
    <mergeCell ref="D24:I24"/>
    <mergeCell ref="A19:I19"/>
    <mergeCell ref="A11:I11"/>
    <mergeCell ref="A2:I2"/>
    <mergeCell ref="C28:H28"/>
    <mergeCell ref="C27:H27"/>
    <mergeCell ref="D22:I22"/>
    <mergeCell ref="D23:I23"/>
    <mergeCell ref="C31:H31"/>
    <mergeCell ref="A1:I1"/>
    <mergeCell ref="D21:I21"/>
    <mergeCell ref="C30:H30"/>
    <mergeCell ref="A3:I3"/>
    <mergeCell ref="D20:I20"/>
    <mergeCell ref="C29:H29"/>
    <mergeCell ref="A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Z2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11" customWidth="1" style="1665" min="1" max="1"/>
    <col width="22" customWidth="1" style="1665" min="2" max="2"/>
    <col width="9" customWidth="1" style="1665" min="3" max="3"/>
    <col width="6" customWidth="1" style="1665" min="4" max="4"/>
    <col width="7" customWidth="1" style="1665" min="5" max="5"/>
    <col width="9" customWidth="1" style="1665" min="6" max="6"/>
    <col width="10" customWidth="1" style="1665" min="7" max="7"/>
    <col width="5" customWidth="1" style="1665" min="8" max="8"/>
    <col width="10" customWidth="1" style="1665" min="9" max="9"/>
    <col width="13" customWidth="1" style="1665" min="10" max="12"/>
    <col width="9" customWidth="1" style="1665" min="13" max="14"/>
    <col width="8" customWidth="1" style="1665" min="15" max="15"/>
    <col width="11" customWidth="1" style="1665" min="16" max="16"/>
    <col width="9" customWidth="1" style="1665" min="17" max="17"/>
    <col width="22" customWidth="1" style="1665" min="18" max="18"/>
  </cols>
  <sheetData>
    <row r="1" ht="27.75" customHeight="1" s="1666">
      <c r="A1" s="2106" t="inlineStr">
        <is>
          <t>📋  MON PORTEFEUILLE  ·  LIVE via formules  ·  Mise à jour auto depuis 📈 PORTEFEUILLE  ·  Trier: cliquer sur les en-têtes ▲▼</t>
        </is>
      </c>
      <c r="B1" s="2107" t="n"/>
      <c r="C1" s="2107" t="n"/>
      <c r="D1" s="2107" t="n"/>
      <c r="E1" s="2107" t="n"/>
      <c r="F1" s="2107" t="n"/>
      <c r="G1" s="2107" t="n"/>
      <c r="H1" s="2107" t="n"/>
      <c r="I1" s="2107" t="n"/>
      <c r="J1" s="2107" t="n"/>
      <c r="K1" s="2107" t="n"/>
      <c r="L1" s="2107" t="n"/>
      <c r="M1" s="2107" t="n"/>
      <c r="N1" s="2107" t="n"/>
      <c r="O1" s="2107" t="n"/>
      <c r="P1" s="2107" t="n"/>
      <c r="Q1" s="2107" t="n"/>
      <c r="R1" s="2108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A2" s="2109">
        <f>"💰 Total: $"&amp;TEXT('📈 PORTEFEUILLE'!C11,"#,##0")&amp;" CAD"</f>
        <v/>
      </c>
      <c r="B2" s="2107" t="n"/>
      <c r="C2" s="2107" t="n"/>
      <c r="D2" s="2108" t="n"/>
      <c r="E2" s="2110" t="inlineStr">
        <is>
          <t>📈 Gain: +$14,788 (20.6%)</t>
        </is>
      </c>
      <c r="F2" s="2107" t="n"/>
      <c r="G2" s="2107" t="n"/>
      <c r="H2" s="2108" t="n"/>
      <c r="I2" s="2111" t="inlineStr">
        <is>
          <t>💵 Div/an: $1,926 CAD</t>
        </is>
      </c>
      <c r="J2" s="2107" t="n"/>
      <c r="K2" s="2108" t="n"/>
      <c r="L2" s="2112" t="inlineStr">
        <is>
          <t>📊 39 positions · TFSA + FHSA + REER</t>
        </is>
      </c>
      <c r="M2" s="2107" t="n"/>
      <c r="N2" s="2108" t="n"/>
      <c r="O2" s="2109" t="inlineStr">
        <is>
          <t>🇺🇸 USD: 44.8%  🇨🇦 CAD: 55.2%</t>
        </is>
      </c>
      <c r="P2" s="2107" t="n"/>
      <c r="Q2" s="2107" t="n"/>
      <c r="R2" s="2108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8" customHeight="1" s="1666">
      <c r="A3" s="2113" t="inlineStr">
        <is>
          <t>🟢 T1 = Conviction max — Accumuler</t>
        </is>
      </c>
      <c r="B3" s="2107" t="n"/>
      <c r="C3" s="2107" t="n"/>
      <c r="D3" s="2108" t="n"/>
      <c r="E3" s="2114" t="inlineStr">
        <is>
          <t>🟡 T2 = Accumuler sélectivement</t>
        </is>
      </c>
      <c r="F3" s="2107" t="n"/>
      <c r="G3" s="2107" t="n"/>
      <c r="H3" s="2108" t="n"/>
      <c r="I3" s="2115" t="inlineStr">
        <is>
          <t>🟠 T3 = Garder, ne plus acheter</t>
        </is>
      </c>
      <c r="J3" s="2107" t="n"/>
      <c r="K3" s="2107" t="n"/>
      <c r="L3" s="2108" t="n"/>
      <c r="M3" s="2116" t="inlineStr">
        <is>
          <t>⬜ T4 = Diluer naturellement</t>
        </is>
      </c>
      <c r="N3" s="2107" t="n"/>
      <c r="O3" s="2107" t="n"/>
      <c r="P3" s="2107" t="n"/>
      <c r="Q3" s="2107" t="n"/>
      <c r="R3" s="2108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9.5" customHeight="1" s="1666">
      <c r="A4" s="2117" t="inlineStr">
        <is>
          <t>TICKER ▲▼</t>
        </is>
      </c>
      <c r="B4" s="2117" t="inlineStr">
        <is>
          <t>NOM ▲▼</t>
        </is>
      </c>
      <c r="C4" s="2117" t="inlineStr">
        <is>
          <t>TYPE ▲▼</t>
        </is>
      </c>
      <c r="D4" s="2117" t="inlineStr">
        <is>
          <t>TIER ▲▼</t>
        </is>
      </c>
      <c r="E4" s="2117" t="inlineStr">
        <is>
          <t>COMPTE ▲▼</t>
        </is>
      </c>
      <c r="F4" s="2117" t="inlineStr">
        <is>
          <t>QTÉ ▲▼</t>
        </is>
      </c>
      <c r="G4" s="2117" t="inlineStr">
        <is>
          <t>PRIX ACT ▲▼</t>
        </is>
      </c>
      <c r="H4" s="2117" t="inlineStr">
        <is>
          <t>DEV ▲▼</t>
        </is>
      </c>
      <c r="I4" s="2117" t="inlineStr">
        <is>
          <t>PRIX CAD ▲▼</t>
        </is>
      </c>
      <c r="J4" s="2117" t="inlineStr">
        <is>
          <t>VALEUR CAD ▲▼</t>
        </is>
      </c>
      <c r="K4" s="2117" t="inlineStr">
        <is>
          <t>INVESTI CAD ▲▼</t>
        </is>
      </c>
      <c r="L4" s="2117" t="inlineStr">
        <is>
          <t>GAIN $CAD ▲▼</t>
        </is>
      </c>
      <c r="M4" s="2117" t="inlineStr">
        <is>
          <t>GAIN % ▲▼</t>
        </is>
      </c>
      <c r="N4" s="2117" t="inlineStr">
        <is>
          <t>% PORT. ▲▼</t>
        </is>
      </c>
      <c r="O4" s="2117" t="inlineStr">
        <is>
          <t>YIELD % ▲▼</t>
        </is>
      </c>
      <c r="P4" s="2117" t="inlineStr">
        <is>
          <t>DIV/AN CAD ▲▼</t>
        </is>
      </c>
      <c r="Q4" s="2117" t="inlineStr">
        <is>
          <t>DIV/MOIS ▲▼</t>
        </is>
      </c>
      <c r="R4" s="2117" t="inlineStr">
        <is>
          <t>SIGNAL ▲▼</t>
        </is>
      </c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.75" customHeight="1" s="1666">
      <c r="A5" s="2118">
        <f>'📈 PORTEFEUILLE'!B15</f>
        <v/>
      </c>
      <c r="B5" s="2119">
        <f>'📈 PORTEFEUILLE'!C15</f>
        <v/>
      </c>
      <c r="C5" s="2120">
        <f>'📈 PORTEFEUILLE'!D15</f>
        <v/>
      </c>
      <c r="D5" s="2121">
        <f>'📈 PORTEFEUILLE'!E15</f>
        <v/>
      </c>
      <c r="E5" s="2122">
        <f>'📈 PORTEFEUILLE'!F15</f>
        <v/>
      </c>
      <c r="F5" s="2123">
        <f>'📈 PORTEFEUILLE'!G15</f>
        <v/>
      </c>
      <c r="G5" s="2124">
        <f>'📈 PORTEFEUILLE'!I15</f>
        <v/>
      </c>
      <c r="H5" s="2125">
        <f>'📈 PORTEFEUILLE'!K15</f>
        <v/>
      </c>
      <c r="I5" s="2124">
        <f>'📈 PORTEFEUILLE'!I15</f>
        <v/>
      </c>
      <c r="J5" s="2126">
        <f>'📈 PORTEFEUILLE'!L15</f>
        <v/>
      </c>
      <c r="K5" s="2127">
        <f>IFERROR('📈 PORTEFEUILLE'!G15*'📈 PORTEFEUILLE'!H15,0)</f>
        <v/>
      </c>
      <c r="L5" s="2128">
        <f>'📈 PORTEFEUILLE'!N15</f>
        <v/>
      </c>
      <c r="M5" s="2129">
        <f>'📈 PORTEFEUILLE'!O15</f>
        <v/>
      </c>
      <c r="N5" s="2130">
        <f>'📈 PORTEFEUILLE'!P15</f>
        <v/>
      </c>
      <c r="O5" s="2131" t="n">
        <v>0.0092</v>
      </c>
      <c r="P5" s="2124" t="n">
        <v>126.383712</v>
      </c>
      <c r="Q5" s="2124" t="n">
        <v>10.531976</v>
      </c>
      <c r="R5" s="2119">
        <f>'📈 PORTEFEUILLE'!Q15</f>
        <v/>
      </c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5.75" customHeight="1" s="1666">
      <c r="A6" s="2132">
        <f>'📈 PORTEFEUILLE'!B29</f>
        <v/>
      </c>
      <c r="B6" s="2133">
        <f>'📈 PORTEFEUILLE'!C29</f>
        <v/>
      </c>
      <c r="C6" s="2134">
        <f>'📈 PORTEFEUILLE'!D29</f>
        <v/>
      </c>
      <c r="D6" s="2135">
        <f>'📈 PORTEFEUILLE'!E29</f>
        <v/>
      </c>
      <c r="E6" s="2136">
        <f>'📈 PORTEFEUILLE'!F29</f>
        <v/>
      </c>
      <c r="F6" s="2137">
        <f>'📈 PORTEFEUILLE'!G29</f>
        <v/>
      </c>
      <c r="G6" s="2138">
        <f>'📈 PORTEFEUILLE'!I29</f>
        <v/>
      </c>
      <c r="H6" s="2139">
        <f>'📈 PORTEFEUILLE'!K29</f>
        <v/>
      </c>
      <c r="I6" s="2138">
        <f>'📈 PORTEFEUILLE'!I29</f>
        <v/>
      </c>
      <c r="J6" s="2140">
        <f>'📈 PORTEFEUILLE'!L29</f>
        <v/>
      </c>
      <c r="K6" s="2141">
        <f>IFERROR('📈 PORTEFEUILLE'!G29*'📈 PORTEFEUILLE'!H29,0)</f>
        <v/>
      </c>
      <c r="L6" s="2142">
        <f>'📈 PORTEFEUILLE'!N29</f>
        <v/>
      </c>
      <c r="M6" s="2143">
        <f>'📈 PORTEFEUILLE'!O29</f>
        <v/>
      </c>
      <c r="N6" s="2144">
        <f>'📈 PORTEFEUILLE'!P29</f>
        <v/>
      </c>
      <c r="O6" s="2145" t="n">
        <v>0.048</v>
      </c>
      <c r="P6" s="2138" t="n">
        <v>544.17456</v>
      </c>
      <c r="Q6" s="2138" t="n">
        <v>45.34788</v>
      </c>
      <c r="R6" s="2133">
        <f>'📈 PORTEFEUILLE'!Q29</f>
        <v/>
      </c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5.75" customHeight="1" s="1666">
      <c r="A7" s="2146">
        <f>'📈 PORTEFEUILLE'!B19</f>
        <v/>
      </c>
      <c r="B7" s="2119">
        <f>'📈 PORTEFEUILLE'!C19</f>
        <v/>
      </c>
      <c r="C7" s="2120">
        <f>'📈 PORTEFEUILLE'!D19</f>
        <v/>
      </c>
      <c r="D7" s="2121">
        <f>'📈 PORTEFEUILLE'!E19</f>
        <v/>
      </c>
      <c r="E7" s="2122">
        <f>'📈 PORTEFEUILLE'!F19</f>
        <v/>
      </c>
      <c r="F7" s="2123">
        <f>'📈 PORTEFEUILLE'!G19</f>
        <v/>
      </c>
      <c r="G7" s="2124">
        <f>'📈 PORTEFEUILLE'!I19</f>
        <v/>
      </c>
      <c r="H7" s="2147">
        <f>'📈 PORTEFEUILLE'!K19</f>
        <v/>
      </c>
      <c r="I7" s="2124">
        <f>'📈 PORTEFEUILLE'!I19</f>
        <v/>
      </c>
      <c r="J7" s="2126">
        <f>'📈 PORTEFEUILLE'!L19</f>
        <v/>
      </c>
      <c r="K7" s="2127">
        <f>IFERROR('📈 PORTEFEUILLE'!G19*'📈 PORTEFEUILLE'!H19,0)</f>
        <v/>
      </c>
      <c r="L7" s="2128">
        <f>'📈 PORTEFEUILLE'!N19</f>
        <v/>
      </c>
      <c r="M7" s="2129">
        <f>'📈 PORTEFEUILLE'!O19</f>
        <v/>
      </c>
      <c r="N7" s="2130">
        <f>'📈 PORTEFEUILLE'!P19</f>
        <v/>
      </c>
      <c r="O7" s="2131" t="n">
        <v>0.007</v>
      </c>
      <c r="P7" s="2124" t="n">
        <v>72.5960733929858</v>
      </c>
      <c r="Q7" s="2124" t="n">
        <v>6.04967278274882</v>
      </c>
      <c r="R7" s="2119">
        <f>'📈 PORTEFEUILLE'!Q19</f>
        <v/>
      </c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5.75" customHeight="1" s="1666">
      <c r="A8" s="2146">
        <f>'📈 PORTEFEUILLE'!B17</f>
        <v/>
      </c>
      <c r="B8" s="2119">
        <f>'📈 PORTEFEUILLE'!C17</f>
        <v/>
      </c>
      <c r="C8" s="2120">
        <f>'📈 PORTEFEUILLE'!D17</f>
        <v/>
      </c>
      <c r="D8" s="2121">
        <f>'📈 PORTEFEUILLE'!E17</f>
        <v/>
      </c>
      <c r="E8" s="2122">
        <f>'📈 PORTEFEUILLE'!F17</f>
        <v/>
      </c>
      <c r="F8" s="2123">
        <f>'📈 PORTEFEUILLE'!G17</f>
        <v/>
      </c>
      <c r="G8" s="2124">
        <f>'📈 PORTEFEUILLE'!I17</f>
        <v/>
      </c>
      <c r="H8" s="2147">
        <f>'📈 PORTEFEUILLE'!K17</f>
        <v/>
      </c>
      <c r="I8" s="2124">
        <f>'📈 PORTEFEUILLE'!I17</f>
        <v/>
      </c>
      <c r="J8" s="2126">
        <f>'📈 PORTEFEUILLE'!L17</f>
        <v/>
      </c>
      <c r="K8" s="2127">
        <f>IFERROR('📈 PORTEFEUILLE'!G17*'📈 PORTEFEUILLE'!H17,0)</f>
        <v/>
      </c>
      <c r="L8" s="2148">
        <f>'📈 PORTEFEUILLE'!N17</f>
        <v/>
      </c>
      <c r="M8" s="2149">
        <f>'📈 PORTEFEUILLE'!O17</f>
        <v/>
      </c>
      <c r="N8" s="2130">
        <f>'📈 PORTEFEUILLE'!P17</f>
        <v/>
      </c>
      <c r="O8" s="2131" t="n">
        <v>0.012</v>
      </c>
      <c r="P8" s="2124" t="n">
        <v>91.446738847338</v>
      </c>
      <c r="Q8" s="2124" t="n">
        <v>7.6205615706115</v>
      </c>
      <c r="R8" s="2119">
        <f>'📈 PORTEFEUILLE'!Q17</f>
        <v/>
      </c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.75" customHeight="1" s="1666">
      <c r="A9" s="2146">
        <f>'📈 PORTEFEUILLE'!B22</f>
        <v/>
      </c>
      <c r="B9" s="2119">
        <f>'📈 PORTEFEUILLE'!C22</f>
        <v/>
      </c>
      <c r="C9" s="2120">
        <f>'📈 PORTEFEUILLE'!D22</f>
        <v/>
      </c>
      <c r="D9" s="2121">
        <f>'📈 PORTEFEUILLE'!E22</f>
        <v/>
      </c>
      <c r="E9" s="2122">
        <f>'📈 PORTEFEUILLE'!F22</f>
        <v/>
      </c>
      <c r="F9" s="2123">
        <f>'📈 PORTEFEUILLE'!G22</f>
        <v/>
      </c>
      <c r="G9" s="2124">
        <f>'📈 PORTEFEUILLE'!I22</f>
        <v/>
      </c>
      <c r="H9" s="2147">
        <f>'📈 PORTEFEUILLE'!K22</f>
        <v/>
      </c>
      <c r="I9" s="2124">
        <f>'📈 PORTEFEUILLE'!I22</f>
        <v/>
      </c>
      <c r="J9" s="2126">
        <f>'📈 PORTEFEUILLE'!L22</f>
        <v/>
      </c>
      <c r="K9" s="2127">
        <f>IFERROR('📈 PORTEFEUILLE'!G22*'📈 PORTEFEUILLE'!H22,0)</f>
        <v/>
      </c>
      <c r="L9" s="2128">
        <f>'📈 PORTEFEUILLE'!N22</f>
        <v/>
      </c>
      <c r="M9" s="2129">
        <f>'📈 PORTEFEUILLE'!O22</f>
        <v/>
      </c>
      <c r="N9" s="2130">
        <f>'📈 PORTEFEUILLE'!P22</f>
        <v/>
      </c>
      <c r="O9" s="2131" t="n">
        <v>0.003</v>
      </c>
      <c r="P9" s="2124" t="n">
        <v>8.35367081934</v>
      </c>
      <c r="Q9" s="2124" t="n">
        <v>0.696139234945</v>
      </c>
      <c r="R9" s="2119">
        <f>'📈 PORTEFEUILLE'!Q22</f>
        <v/>
      </c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5.75" customHeight="1" s="1666">
      <c r="A10" s="2146">
        <f>'📈 PORTEFEUILLE'!B62</f>
        <v/>
      </c>
      <c r="B10" s="2119">
        <f>'📈 PORTEFEUILLE'!C62</f>
        <v/>
      </c>
      <c r="C10" s="2120">
        <f>'📈 PORTEFEUILLE'!D62</f>
        <v/>
      </c>
      <c r="D10" s="2121">
        <f>'📈 PORTEFEUILLE'!E62</f>
        <v/>
      </c>
      <c r="E10" s="2150">
        <f>'📈 PORTEFEUILLE'!F62</f>
        <v/>
      </c>
      <c r="F10" s="2123">
        <f>'📈 PORTEFEUILLE'!G62</f>
        <v/>
      </c>
      <c r="G10" s="2124">
        <f>'📈 PORTEFEUILLE'!I62</f>
        <v/>
      </c>
      <c r="H10" s="2147">
        <f>'📈 PORTEFEUILLE'!K62</f>
        <v/>
      </c>
      <c r="I10" s="2124">
        <f>'📈 PORTEFEUILLE'!I62</f>
        <v/>
      </c>
      <c r="J10" s="2126">
        <f>'📈 PORTEFEUILLE'!L62</f>
        <v/>
      </c>
      <c r="K10" s="2127">
        <f>IFERROR('📈 PORTEFEUILLE'!G62*'📈 PORTEFEUILLE'!H62,0)</f>
        <v/>
      </c>
      <c r="L10" s="2128">
        <f>'📈 PORTEFEUILLE'!N62</f>
        <v/>
      </c>
      <c r="M10" s="2129">
        <f>'📈 PORTEFEUILLE'!O62</f>
        <v/>
      </c>
      <c r="N10" s="2130">
        <f>'📈 PORTEFEUILLE'!P62</f>
        <v/>
      </c>
      <c r="O10" s="2131" t="n">
        <v>0.035</v>
      </c>
      <c r="P10" s="2124" t="n">
        <v>94.4367042027675</v>
      </c>
      <c r="Q10" s="2124" t="n">
        <v>7.86972535023063</v>
      </c>
      <c r="R10" s="2119">
        <f>'📈 PORTEFEUILLE'!Q62</f>
        <v/>
      </c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.75" customHeight="1" s="1666">
      <c r="A11" s="2118">
        <f>'📈 PORTEFEUILLE'!B47</f>
        <v/>
      </c>
      <c r="B11" s="2119">
        <f>'📈 PORTEFEUILLE'!C47</f>
        <v/>
      </c>
      <c r="C11" s="2120">
        <f>'📈 PORTEFEUILLE'!D47</f>
        <v/>
      </c>
      <c r="D11" s="2121">
        <f>'📈 PORTEFEUILLE'!E47</f>
        <v/>
      </c>
      <c r="E11" s="2121">
        <f>'📈 PORTEFEUILLE'!F47</f>
        <v/>
      </c>
      <c r="F11" s="2123">
        <f>'📈 PORTEFEUILLE'!G47</f>
        <v/>
      </c>
      <c r="G11" s="2124">
        <f>'📈 PORTEFEUILLE'!I47</f>
        <v/>
      </c>
      <c r="H11" s="2125">
        <f>'📈 PORTEFEUILLE'!K47</f>
        <v/>
      </c>
      <c r="I11" s="2124">
        <f>'📈 PORTEFEUILLE'!I47</f>
        <v/>
      </c>
      <c r="J11" s="2126">
        <f>'📈 PORTEFEUILLE'!L47</f>
        <v/>
      </c>
      <c r="K11" s="2127">
        <f>IFERROR('📈 PORTEFEUILLE'!G47*'📈 PORTEFEUILLE'!H47,0)</f>
        <v/>
      </c>
      <c r="L11" s="2128">
        <f>'📈 PORTEFEUILLE'!N47</f>
        <v/>
      </c>
      <c r="M11" s="2129">
        <f>'📈 PORTEFEUILLE'!O47</f>
        <v/>
      </c>
      <c r="N11" s="2130">
        <f>'📈 PORTEFEUILLE'!P47</f>
        <v/>
      </c>
      <c r="O11" s="2131" t="n">
        <v>0.0092</v>
      </c>
      <c r="P11" s="2124" t="n">
        <v>24.073088</v>
      </c>
      <c r="Q11" s="2124" t="n">
        <v>2.00609066666667</v>
      </c>
      <c r="R11" s="2119">
        <f>'📈 PORTEFEUILLE'!Q47</f>
        <v/>
      </c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5.75" customHeight="1" s="1666">
      <c r="A12" s="2146">
        <f>'📈 PORTEFEUILLE'!B16</f>
        <v/>
      </c>
      <c r="B12" s="2119">
        <f>'📈 PORTEFEUILLE'!C16</f>
        <v/>
      </c>
      <c r="C12" s="2120">
        <f>'📈 PORTEFEUILLE'!D16</f>
        <v/>
      </c>
      <c r="D12" s="2121">
        <f>'📈 PORTEFEUILLE'!E16</f>
        <v/>
      </c>
      <c r="E12" s="2122">
        <f>'📈 PORTEFEUILLE'!F16</f>
        <v/>
      </c>
      <c r="F12" s="2123">
        <f>'📈 PORTEFEUILLE'!G16</f>
        <v/>
      </c>
      <c r="G12" s="2124">
        <f>'📈 PORTEFEUILLE'!I16</f>
        <v/>
      </c>
      <c r="H12" s="2147">
        <f>'📈 PORTEFEUILLE'!K16</f>
        <v/>
      </c>
      <c r="I12" s="2124">
        <f>'📈 PORTEFEUILLE'!I16</f>
        <v/>
      </c>
      <c r="J12" s="2126">
        <f>'📈 PORTEFEUILLE'!L16</f>
        <v/>
      </c>
      <c r="K12" s="2127">
        <f>IFERROR('📈 PORTEFEUILLE'!G16*'📈 PORTEFEUILLE'!H16,0)</f>
        <v/>
      </c>
      <c r="L12" s="2128">
        <f>'📈 PORTEFEUILLE'!N16</f>
        <v/>
      </c>
      <c r="M12" s="2129">
        <f>'📈 PORTEFEUILLE'!O16</f>
        <v/>
      </c>
      <c r="N12" s="2130">
        <f>'📈 PORTEFEUILLE'!P16</f>
        <v/>
      </c>
      <c r="O12" s="2131" t="n">
        <v>0.005</v>
      </c>
      <c r="P12" s="2124" t="n">
        <v>12.46286832</v>
      </c>
      <c r="Q12" s="2124" t="n">
        <v>1.03857236</v>
      </c>
      <c r="R12" s="2119">
        <f>'📈 PORTEFEUILLE'!Q16</f>
        <v/>
      </c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5.75" customHeight="1" s="1666">
      <c r="A13" s="2132">
        <f>'📈 PORTEFEUILLE'!B30</f>
        <v/>
      </c>
      <c r="B13" s="2133">
        <f>'📈 PORTEFEUILLE'!C30</f>
        <v/>
      </c>
      <c r="C13" s="2134">
        <f>'📈 PORTEFEUILLE'!D30</f>
        <v/>
      </c>
      <c r="D13" s="2135">
        <f>'📈 PORTEFEUILLE'!E30</f>
        <v/>
      </c>
      <c r="E13" s="2136">
        <f>'📈 PORTEFEUILLE'!F30</f>
        <v/>
      </c>
      <c r="F13" s="2137">
        <f>'📈 PORTEFEUILLE'!G30</f>
        <v/>
      </c>
      <c r="G13" s="2138">
        <f>'📈 PORTEFEUILLE'!I30</f>
        <v/>
      </c>
      <c r="H13" s="2139">
        <f>'📈 PORTEFEUILLE'!K30</f>
        <v/>
      </c>
      <c r="I13" s="2138">
        <f>'📈 PORTEFEUILLE'!I30</f>
        <v/>
      </c>
      <c r="J13" s="2140">
        <f>'📈 PORTEFEUILLE'!L30</f>
        <v/>
      </c>
      <c r="K13" s="2141">
        <f>IFERROR('📈 PORTEFEUILLE'!G30*'📈 PORTEFEUILLE'!H30,0)</f>
        <v/>
      </c>
      <c r="L13" s="2142">
        <f>'📈 PORTEFEUILLE'!N30</f>
        <v/>
      </c>
      <c r="M13" s="2143">
        <f>'📈 PORTEFEUILLE'!O30</f>
        <v/>
      </c>
      <c r="N13" s="2144">
        <f>'📈 PORTEFEUILLE'!P30</f>
        <v/>
      </c>
      <c r="O13" s="2145" t="n">
        <v>0.024</v>
      </c>
      <c r="P13" s="2138" t="n">
        <v>52.40088</v>
      </c>
      <c r="Q13" s="2138" t="n">
        <v>4.36674</v>
      </c>
      <c r="R13" s="2133">
        <f>'📈 PORTEFEUILLE'!Q30</f>
        <v/>
      </c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5.75" customHeight="1" s="1666">
      <c r="A14" s="2146">
        <f>'📈 PORTEFEUILLE'!B18</f>
        <v/>
      </c>
      <c r="B14" s="2119">
        <f>'📈 PORTEFEUILLE'!C18</f>
        <v/>
      </c>
      <c r="C14" s="2120">
        <f>'📈 PORTEFEUILLE'!D18</f>
        <v/>
      </c>
      <c r="D14" s="2121">
        <f>'📈 PORTEFEUILLE'!E18</f>
        <v/>
      </c>
      <c r="E14" s="2122">
        <f>'📈 PORTEFEUILLE'!F18</f>
        <v/>
      </c>
      <c r="F14" s="2123">
        <f>'📈 PORTEFEUILLE'!G18</f>
        <v/>
      </c>
      <c r="G14" s="2124">
        <f>'📈 PORTEFEUILLE'!I18</f>
        <v/>
      </c>
      <c r="H14" s="2147">
        <f>'📈 PORTEFEUILLE'!K18</f>
        <v/>
      </c>
      <c r="I14" s="2124">
        <f>'📈 PORTEFEUILLE'!I18</f>
        <v/>
      </c>
      <c r="J14" s="2126">
        <f>'📈 PORTEFEUILLE'!L18</f>
        <v/>
      </c>
      <c r="K14" s="2127">
        <f>IFERROR('📈 PORTEFEUILLE'!G18*'📈 PORTEFEUILLE'!H18,0)</f>
        <v/>
      </c>
      <c r="L14" s="2128">
        <f>'📈 PORTEFEUILLE'!N18</f>
        <v/>
      </c>
      <c r="M14" s="2129">
        <f>'📈 PORTEFEUILLE'!O18</f>
        <v/>
      </c>
      <c r="N14" s="2130">
        <f>'📈 PORTEFEUILLE'!P18</f>
        <v/>
      </c>
      <c r="O14" s="2131" t="n">
        <v>0</v>
      </c>
      <c r="P14" s="2124" t="n">
        <v>0</v>
      </c>
      <c r="Q14" s="2124" t="n">
        <v>0</v>
      </c>
      <c r="R14" s="2119">
        <f>'📈 PORTEFEUILLE'!Q18</f>
        <v/>
      </c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5.75" customHeight="1" s="1666">
      <c r="A15" s="2146">
        <f>'📈 PORTEFEUILLE'!B48</f>
        <v/>
      </c>
      <c r="B15" s="2119">
        <f>'📈 PORTEFEUILLE'!C48</f>
        <v/>
      </c>
      <c r="C15" s="2120">
        <f>'📈 PORTEFEUILLE'!D48</f>
        <v/>
      </c>
      <c r="D15" s="2121">
        <f>'📈 PORTEFEUILLE'!E48</f>
        <v/>
      </c>
      <c r="E15" s="2121">
        <f>'📈 PORTEFEUILLE'!F48</f>
        <v/>
      </c>
      <c r="F15" s="2123">
        <f>'📈 PORTEFEUILLE'!G48</f>
        <v/>
      </c>
      <c r="G15" s="2124">
        <f>'📈 PORTEFEUILLE'!I48</f>
        <v/>
      </c>
      <c r="H15" s="2147">
        <f>'📈 PORTEFEUILLE'!K48</f>
        <v/>
      </c>
      <c r="I15" s="2124">
        <f>'📈 PORTEFEUILLE'!I48</f>
        <v/>
      </c>
      <c r="J15" s="2126">
        <f>'📈 PORTEFEUILLE'!L48</f>
        <v/>
      </c>
      <c r="K15" s="2127">
        <f>IFERROR('📈 PORTEFEUILLE'!G48*'📈 PORTEFEUILLE'!H48,0)</f>
        <v/>
      </c>
      <c r="L15" s="2128">
        <f>'📈 PORTEFEUILLE'!N48</f>
        <v/>
      </c>
      <c r="M15" s="2129">
        <f>'📈 PORTEFEUILLE'!O48</f>
        <v/>
      </c>
      <c r="N15" s="2130">
        <f>'📈 PORTEFEUILLE'!P48</f>
        <v/>
      </c>
      <c r="O15" s="2131" t="n">
        <v>0</v>
      </c>
      <c r="P15" s="2124" t="n">
        <v>0</v>
      </c>
      <c r="Q15" s="2124" t="n">
        <v>0</v>
      </c>
      <c r="R15" s="2119">
        <f>'📈 PORTEFEUILLE'!Q48</f>
        <v/>
      </c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5.75" customHeight="1" s="1666">
      <c r="A16" s="2132">
        <f>'📈 PORTEFEUILLE'!B51</f>
        <v/>
      </c>
      <c r="B16" s="2133">
        <f>'📈 PORTEFEUILLE'!C51</f>
        <v/>
      </c>
      <c r="C16" s="2134">
        <f>'📈 PORTEFEUILLE'!D51</f>
        <v/>
      </c>
      <c r="D16" s="2135">
        <f>'📈 PORTEFEUILLE'!E51</f>
        <v/>
      </c>
      <c r="E16" s="2151">
        <f>'📈 PORTEFEUILLE'!F51</f>
        <v/>
      </c>
      <c r="F16" s="2137">
        <f>'📈 PORTEFEUILLE'!G51</f>
        <v/>
      </c>
      <c r="G16" s="2138">
        <f>'📈 PORTEFEUILLE'!I51</f>
        <v/>
      </c>
      <c r="H16" s="2139">
        <f>'📈 PORTEFEUILLE'!K51</f>
        <v/>
      </c>
      <c r="I16" s="2138">
        <f>'📈 PORTEFEUILLE'!I51</f>
        <v/>
      </c>
      <c r="J16" s="2140">
        <f>'📈 PORTEFEUILLE'!L51</f>
        <v/>
      </c>
      <c r="K16" s="2141">
        <f>IFERROR('📈 PORTEFEUILLE'!G51*'📈 PORTEFEUILLE'!H51,0)</f>
        <v/>
      </c>
      <c r="L16" s="2142">
        <f>'📈 PORTEFEUILLE'!N51</f>
        <v/>
      </c>
      <c r="M16" s="2143">
        <f>'📈 PORTEFEUILLE'!O51</f>
        <v/>
      </c>
      <c r="N16" s="2144">
        <f>'📈 PORTEFEUILLE'!P51</f>
        <v/>
      </c>
      <c r="O16" s="2145" t="n">
        <v>0.048</v>
      </c>
      <c r="P16" s="2138" t="n">
        <v>93.8232</v>
      </c>
      <c r="Q16" s="2138" t="n">
        <v>7.8186</v>
      </c>
      <c r="R16" s="2133">
        <f>'📈 PORTEFEUILLE'!Q51</f>
        <v/>
      </c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5.75" customHeight="1" s="1666">
      <c r="A17" s="2152">
        <f>'📈 PORTEFEUILLE'!B37</f>
        <v/>
      </c>
      <c r="B17" s="2153">
        <f>'📈 PORTEFEUILLE'!C37</f>
        <v/>
      </c>
      <c r="C17" s="2154">
        <f>'📈 PORTEFEUILLE'!D37</f>
        <v/>
      </c>
      <c r="D17" s="2155">
        <f>'📈 PORTEFEUILLE'!E37</f>
        <v/>
      </c>
      <c r="E17" s="2156">
        <f>'📈 PORTEFEUILLE'!F37</f>
        <v/>
      </c>
      <c r="F17" s="2157">
        <f>'📈 PORTEFEUILLE'!G37</f>
        <v/>
      </c>
      <c r="G17" s="2158">
        <f>'📈 PORTEFEUILLE'!I37</f>
        <v/>
      </c>
      <c r="H17" s="2159">
        <f>'📈 PORTEFEUILLE'!K37</f>
        <v/>
      </c>
      <c r="I17" s="2158">
        <f>'📈 PORTEFEUILLE'!I37</f>
        <v/>
      </c>
      <c r="J17" s="2160">
        <f>'📈 PORTEFEUILLE'!L37</f>
        <v/>
      </c>
      <c r="K17" s="2161">
        <f>IFERROR('📈 PORTEFEUILLE'!G37*'📈 PORTEFEUILLE'!H37,0)</f>
        <v/>
      </c>
      <c r="L17" s="2162">
        <f>'📈 PORTEFEUILLE'!N37</f>
        <v/>
      </c>
      <c r="M17" s="2163">
        <f>'📈 PORTEFEUILLE'!O37</f>
        <v/>
      </c>
      <c r="N17" s="2164">
        <f>'📈 PORTEFEUILLE'!P37</f>
        <v/>
      </c>
      <c r="O17" s="2165" t="n">
        <v>0.055</v>
      </c>
      <c r="P17" s="2158" t="n">
        <v>100.1385</v>
      </c>
      <c r="Q17" s="2158" t="n">
        <v>8.344875</v>
      </c>
      <c r="R17" s="2153">
        <f>'📈 PORTEFEUILLE'!Q37</f>
        <v/>
      </c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5.75" customHeight="1" s="1666">
      <c r="A18" s="2166">
        <f>'📈 PORTEFEUILLE'!B49</f>
        <v/>
      </c>
      <c r="B18" s="2167">
        <f>'📈 PORTEFEUILLE'!C49</f>
        <v/>
      </c>
      <c r="C18" s="2168">
        <f>'📈 PORTEFEUILLE'!D49</f>
        <v/>
      </c>
      <c r="D18" s="2169">
        <f>'📈 PORTEFEUILLE'!E49</f>
        <v/>
      </c>
      <c r="E18" s="2170">
        <f>'📈 PORTEFEUILLE'!F49</f>
        <v/>
      </c>
      <c r="F18" s="2171">
        <f>'📈 PORTEFEUILLE'!G49</f>
        <v/>
      </c>
      <c r="G18" s="2172">
        <f>'📈 PORTEFEUILLE'!I49</f>
        <v/>
      </c>
      <c r="H18" s="2173">
        <f>'📈 PORTEFEUILLE'!K49</f>
        <v/>
      </c>
      <c r="I18" s="2172">
        <f>'📈 PORTEFEUILLE'!I49</f>
        <v/>
      </c>
      <c r="J18" s="2174">
        <f>'📈 PORTEFEUILLE'!L49</f>
        <v/>
      </c>
      <c r="K18" s="2175">
        <f>IFERROR('📈 PORTEFEUILLE'!G49*'📈 PORTEFEUILLE'!H49,0)</f>
        <v/>
      </c>
      <c r="L18" s="2176">
        <f>'📈 PORTEFEUILLE'!N49</f>
        <v/>
      </c>
      <c r="M18" s="2177">
        <f>'📈 PORTEFEUILLE'!O49</f>
        <v/>
      </c>
      <c r="N18" s="2178">
        <f>'📈 PORTEFEUILLE'!P49</f>
        <v/>
      </c>
      <c r="O18" s="2179" t="n">
        <v>0.006</v>
      </c>
      <c r="P18" s="2172" t="n">
        <v>10.750288394664</v>
      </c>
      <c r="Q18" s="2172" t="n">
        <v>0.895857366222</v>
      </c>
      <c r="R18" s="2167">
        <f>'📈 PORTEFEUILLE'!Q49</f>
        <v/>
      </c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5.75" customHeight="1" s="1666">
      <c r="A19" s="2152">
        <f>'📈 PORTEFEUILLE'!B54</f>
        <v/>
      </c>
      <c r="B19" s="2153">
        <f>'📈 PORTEFEUILLE'!C54</f>
        <v/>
      </c>
      <c r="C19" s="2154">
        <f>'📈 PORTEFEUILLE'!D54</f>
        <v/>
      </c>
      <c r="D19" s="2155">
        <f>'📈 PORTEFEUILLE'!E54</f>
        <v/>
      </c>
      <c r="E19" s="2180">
        <f>'📈 PORTEFEUILLE'!F54</f>
        <v/>
      </c>
      <c r="F19" s="2157">
        <f>'📈 PORTEFEUILLE'!G54</f>
        <v/>
      </c>
      <c r="G19" s="2158">
        <f>'📈 PORTEFEUILLE'!I54</f>
        <v/>
      </c>
      <c r="H19" s="2159">
        <f>'📈 PORTEFEUILLE'!K54</f>
        <v/>
      </c>
      <c r="I19" s="2158">
        <f>'📈 PORTEFEUILLE'!I54</f>
        <v/>
      </c>
      <c r="J19" s="2160">
        <f>'📈 PORTEFEUILLE'!L54</f>
        <v/>
      </c>
      <c r="K19" s="2161">
        <f>IFERROR('📈 PORTEFEUILLE'!G54*'📈 PORTEFEUILLE'!H54,0)</f>
        <v/>
      </c>
      <c r="L19" s="2162">
        <f>'📈 PORTEFEUILLE'!N54</f>
        <v/>
      </c>
      <c r="M19" s="2163">
        <f>'📈 PORTEFEUILLE'!O54</f>
        <v/>
      </c>
      <c r="N19" s="2164">
        <f>'📈 PORTEFEUILLE'!P54</f>
        <v/>
      </c>
      <c r="O19" s="2165" t="n">
        <v>0.07199999999999999</v>
      </c>
      <c r="P19" s="2158" t="n">
        <v>121.338</v>
      </c>
      <c r="Q19" s="2158" t="n">
        <v>10.1115</v>
      </c>
      <c r="R19" s="2153">
        <f>'📈 PORTEFEUILLE'!Q54</f>
        <v/>
      </c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5.75" customHeight="1" s="1666">
      <c r="A20" s="2152">
        <f>'📈 PORTEFEUILLE'!B55</f>
        <v/>
      </c>
      <c r="B20" s="2153">
        <f>'📈 PORTEFEUILLE'!C55</f>
        <v/>
      </c>
      <c r="C20" s="2154">
        <f>'📈 PORTEFEUILLE'!D55</f>
        <v/>
      </c>
      <c r="D20" s="2155">
        <f>'📈 PORTEFEUILLE'!E55</f>
        <v/>
      </c>
      <c r="E20" s="2180">
        <f>'📈 PORTEFEUILLE'!F55</f>
        <v/>
      </c>
      <c r="F20" s="2157">
        <f>'📈 PORTEFEUILLE'!G55</f>
        <v/>
      </c>
      <c r="G20" s="2158">
        <f>'📈 PORTEFEUILLE'!I55</f>
        <v/>
      </c>
      <c r="H20" s="2159">
        <f>'📈 PORTEFEUILLE'!K55</f>
        <v/>
      </c>
      <c r="I20" s="2158">
        <f>'📈 PORTEFEUILLE'!I55</f>
        <v/>
      </c>
      <c r="J20" s="2160">
        <f>'📈 PORTEFEUILLE'!L55</f>
        <v/>
      </c>
      <c r="K20" s="2161">
        <f>IFERROR('📈 PORTEFEUILLE'!G55*'📈 PORTEFEUILLE'!H55,0)</f>
        <v/>
      </c>
      <c r="L20" s="2162">
        <f>'📈 PORTEFEUILLE'!N55</f>
        <v/>
      </c>
      <c r="M20" s="2163">
        <f>'📈 PORTEFEUILLE'!O55</f>
        <v/>
      </c>
      <c r="N20" s="2164">
        <f>'📈 PORTEFEUILLE'!P55</f>
        <v/>
      </c>
      <c r="O20" s="2165" t="n">
        <v>0.056</v>
      </c>
      <c r="P20" s="2158" t="n">
        <v>85.5232</v>
      </c>
      <c r="Q20" s="2158" t="n">
        <v>7.12693333333333</v>
      </c>
      <c r="R20" s="2153">
        <f>'📈 PORTEFEUILLE'!Q55</f>
        <v/>
      </c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5.75" customHeight="1" s="1666">
      <c r="A21" s="2152">
        <f>'📈 PORTEFEUILLE'!B38</f>
        <v/>
      </c>
      <c r="B21" s="2153">
        <f>'📈 PORTEFEUILLE'!C38</f>
        <v/>
      </c>
      <c r="C21" s="2154">
        <f>'📈 PORTEFEUILLE'!D38</f>
        <v/>
      </c>
      <c r="D21" s="2155">
        <f>'📈 PORTEFEUILLE'!E38</f>
        <v/>
      </c>
      <c r="E21" s="2156">
        <f>'📈 PORTEFEUILLE'!F38</f>
        <v/>
      </c>
      <c r="F21" s="2157">
        <f>'📈 PORTEFEUILLE'!G38</f>
        <v/>
      </c>
      <c r="G21" s="2158">
        <f>'📈 PORTEFEUILLE'!I38</f>
        <v/>
      </c>
      <c r="H21" s="2159">
        <f>'📈 PORTEFEUILLE'!K38</f>
        <v/>
      </c>
      <c r="I21" s="2158">
        <f>'📈 PORTEFEUILLE'!I38</f>
        <v/>
      </c>
      <c r="J21" s="2160">
        <f>'📈 PORTEFEUILLE'!L38</f>
        <v/>
      </c>
      <c r="K21" s="2161">
        <f>IFERROR('📈 PORTEFEUILLE'!G38*'📈 PORTEFEUILLE'!H38,0)</f>
        <v/>
      </c>
      <c r="L21" s="2162">
        <f>'📈 PORTEFEUILLE'!N38</f>
        <v/>
      </c>
      <c r="M21" s="2163">
        <f>'📈 PORTEFEUILLE'!O38</f>
        <v/>
      </c>
      <c r="N21" s="2164">
        <f>'📈 PORTEFEUILLE'!P38</f>
        <v/>
      </c>
      <c r="O21" s="2165" t="n">
        <v>0.07199999999999999</v>
      </c>
      <c r="P21" s="2158" t="n">
        <v>109.782</v>
      </c>
      <c r="Q21" s="2158" t="n">
        <v>9.1485</v>
      </c>
      <c r="R21" s="2153">
        <f>'📈 PORTEFEUILLE'!Q38</f>
        <v/>
      </c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5.75" customHeight="1" s="1666">
      <c r="A22" s="2166">
        <f>'📈 PORTEFEUILLE'!B26</f>
        <v/>
      </c>
      <c r="B22" s="2167">
        <f>'📈 PORTEFEUILLE'!C26</f>
        <v/>
      </c>
      <c r="C22" s="2168">
        <f>'📈 PORTEFEUILLE'!D26</f>
        <v/>
      </c>
      <c r="D22" s="2169">
        <f>'📈 PORTEFEUILLE'!E26</f>
        <v/>
      </c>
      <c r="E22" s="2181">
        <f>'📈 PORTEFEUILLE'!F26</f>
        <v/>
      </c>
      <c r="F22" s="2171">
        <f>'📈 PORTEFEUILLE'!G26</f>
        <v/>
      </c>
      <c r="G22" s="2172">
        <f>'📈 PORTEFEUILLE'!I26</f>
        <v/>
      </c>
      <c r="H22" s="2173">
        <f>'📈 PORTEFEUILLE'!K26</f>
        <v/>
      </c>
      <c r="I22" s="2172">
        <f>'📈 PORTEFEUILLE'!I26</f>
        <v/>
      </c>
      <c r="J22" s="2174">
        <f>'📈 PORTEFEUILLE'!L26</f>
        <v/>
      </c>
      <c r="K22" s="2175">
        <f>IFERROR('📈 PORTEFEUILLE'!G26*'📈 PORTEFEUILLE'!H26,0)</f>
        <v/>
      </c>
      <c r="L22" s="2176">
        <f>'📈 PORTEFEUILLE'!N26</f>
        <v/>
      </c>
      <c r="M22" s="2177">
        <f>'📈 PORTEFEUILLE'!O26</f>
        <v/>
      </c>
      <c r="N22" s="2178">
        <f>'📈 PORTEFEUILLE'!P26</f>
        <v/>
      </c>
      <c r="O22" s="2179" t="n">
        <v>0.006</v>
      </c>
      <c r="P22" s="2172" t="n">
        <v>9.010526979635999</v>
      </c>
      <c r="Q22" s="2172" t="n">
        <v>0.750877248303</v>
      </c>
      <c r="R22" s="2167">
        <f>'📈 PORTEFEUILLE'!Q26</f>
        <v/>
      </c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5.75" customHeight="1" s="1666">
      <c r="A23" s="2132">
        <f>'📈 PORTEFEUILLE'!B31</f>
        <v/>
      </c>
      <c r="B23" s="2133">
        <f>'📈 PORTEFEUILLE'!C31</f>
        <v/>
      </c>
      <c r="C23" s="2134">
        <f>'📈 PORTEFEUILLE'!D31</f>
        <v/>
      </c>
      <c r="D23" s="2135">
        <f>'📈 PORTEFEUILLE'!E31</f>
        <v/>
      </c>
      <c r="E23" s="2136">
        <f>'📈 PORTEFEUILLE'!F31</f>
        <v/>
      </c>
      <c r="F23" s="2137">
        <f>'📈 PORTEFEUILLE'!G31</f>
        <v/>
      </c>
      <c r="G23" s="2138">
        <f>'📈 PORTEFEUILLE'!I31</f>
        <v/>
      </c>
      <c r="H23" s="2139">
        <f>'📈 PORTEFEUILLE'!K31</f>
        <v/>
      </c>
      <c r="I23" s="2138">
        <f>'📈 PORTEFEUILLE'!I31</f>
        <v/>
      </c>
      <c r="J23" s="2140">
        <f>'📈 PORTEFEUILLE'!L31</f>
        <v/>
      </c>
      <c r="K23" s="2141">
        <f>IFERROR('📈 PORTEFEUILLE'!G31*'📈 PORTEFEUILLE'!H31,0)</f>
        <v/>
      </c>
      <c r="L23" s="2142">
        <f>'📈 PORTEFEUILLE'!N31</f>
        <v/>
      </c>
      <c r="M23" s="2143">
        <f>'📈 PORTEFEUILLE'!O31</f>
        <v/>
      </c>
      <c r="N23" s="2144">
        <f>'📈 PORTEFEUILLE'!P31</f>
        <v/>
      </c>
      <c r="O23" s="2145" t="n">
        <v>0.03</v>
      </c>
      <c r="P23" s="2138" t="n">
        <v>38.7222</v>
      </c>
      <c r="Q23" s="2138" t="n">
        <v>3.22685</v>
      </c>
      <c r="R23" s="2133">
        <f>'📈 PORTEFEUILLE'!Q31</f>
        <v/>
      </c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5.75" customHeight="1" s="1666">
      <c r="A24" s="2152">
        <f>'📈 PORTEFEUILLE'!B39</f>
        <v/>
      </c>
      <c r="B24" s="2153">
        <f>'📈 PORTEFEUILLE'!C39</f>
        <v/>
      </c>
      <c r="C24" s="2154">
        <f>'📈 PORTEFEUILLE'!D39</f>
        <v/>
      </c>
      <c r="D24" s="2155">
        <f>'📈 PORTEFEUILLE'!E39</f>
        <v/>
      </c>
      <c r="E24" s="2156">
        <f>'📈 PORTEFEUILLE'!F39</f>
        <v/>
      </c>
      <c r="F24" s="2157">
        <f>'📈 PORTEFEUILLE'!G39</f>
        <v/>
      </c>
      <c r="G24" s="2158">
        <f>'📈 PORTEFEUILLE'!I39</f>
        <v/>
      </c>
      <c r="H24" s="2159">
        <f>'📈 PORTEFEUILLE'!K39</f>
        <v/>
      </c>
      <c r="I24" s="2158">
        <f>'📈 PORTEFEUILLE'!I39</f>
        <v/>
      </c>
      <c r="J24" s="2160">
        <f>'📈 PORTEFEUILLE'!L39</f>
        <v/>
      </c>
      <c r="K24" s="2161">
        <f>IFERROR('📈 PORTEFEUILLE'!G39*'📈 PORTEFEUILLE'!H39,0)</f>
        <v/>
      </c>
      <c r="L24" s="2162">
        <f>'📈 PORTEFEUILLE'!N39</f>
        <v/>
      </c>
      <c r="M24" s="2163">
        <f>'📈 PORTEFEUILLE'!O39</f>
        <v/>
      </c>
      <c r="N24" s="2164">
        <f>'📈 PORTEFEUILLE'!P39</f>
        <v/>
      </c>
      <c r="O24" s="2165" t="n">
        <v>0.025</v>
      </c>
      <c r="P24" s="2158" t="n">
        <v>27.8355</v>
      </c>
      <c r="Q24" s="2158" t="n">
        <v>2.319625</v>
      </c>
      <c r="R24" s="2153">
        <f>'📈 PORTEFEUILLE'!Q39</f>
        <v/>
      </c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A25" s="2166">
        <f>'📈 PORTEFEUILLE'!B23</f>
        <v/>
      </c>
      <c r="B25" s="2167">
        <f>'📈 PORTEFEUILLE'!C23</f>
        <v/>
      </c>
      <c r="C25" s="2168">
        <f>'📈 PORTEFEUILLE'!D23</f>
        <v/>
      </c>
      <c r="D25" s="2169">
        <f>'📈 PORTEFEUILLE'!E23</f>
        <v/>
      </c>
      <c r="E25" s="2181">
        <f>'📈 PORTEFEUILLE'!F23</f>
        <v/>
      </c>
      <c r="F25" s="2171">
        <f>'📈 PORTEFEUILLE'!G23</f>
        <v/>
      </c>
      <c r="G25" s="2172">
        <f>'📈 PORTEFEUILLE'!I23</f>
        <v/>
      </c>
      <c r="H25" s="2173">
        <f>'📈 PORTEFEUILLE'!K23</f>
        <v/>
      </c>
      <c r="I25" s="2172">
        <f>'📈 PORTEFEUILLE'!I23</f>
        <v/>
      </c>
      <c r="J25" s="2174">
        <f>'📈 PORTEFEUILLE'!L23</f>
        <v/>
      </c>
      <c r="K25" s="2175">
        <f>IFERROR('📈 PORTEFEUILLE'!G23*'📈 PORTEFEUILLE'!H23,0)</f>
        <v/>
      </c>
      <c r="L25" s="2176">
        <f>'📈 PORTEFEUILLE'!N23</f>
        <v/>
      </c>
      <c r="M25" s="2177">
        <f>'📈 PORTEFEUILLE'!O23</f>
        <v/>
      </c>
      <c r="N25" s="2178">
        <f>'📈 PORTEFEUILLE'!P23</f>
        <v/>
      </c>
      <c r="O25" s="2179" t="n">
        <v>0.008</v>
      </c>
      <c r="P25" s="2172" t="n">
        <v>8.751645055999999</v>
      </c>
      <c r="Q25" s="2172" t="n">
        <v>0.729303754666667</v>
      </c>
      <c r="R25" s="2167">
        <f>'📈 PORTEFEUILLE'!Q23</f>
        <v/>
      </c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5.75" customHeight="1" s="1666">
      <c r="A26" s="2166">
        <f>'📈 PORTEFEUILLE'!B25</f>
        <v/>
      </c>
      <c r="B26" s="2167">
        <f>'📈 PORTEFEUILLE'!C25</f>
        <v/>
      </c>
      <c r="C26" s="2168">
        <f>'📈 PORTEFEUILLE'!D25</f>
        <v/>
      </c>
      <c r="D26" s="2169">
        <f>'📈 PORTEFEUILLE'!E25</f>
        <v/>
      </c>
      <c r="E26" s="2181">
        <f>'📈 PORTEFEUILLE'!F25</f>
        <v/>
      </c>
      <c r="F26" s="2171">
        <f>'📈 PORTEFEUILLE'!G25</f>
        <v/>
      </c>
      <c r="G26" s="2172">
        <f>'📈 PORTEFEUILLE'!I25</f>
        <v/>
      </c>
      <c r="H26" s="2173">
        <f>'📈 PORTEFEUILLE'!K25</f>
        <v/>
      </c>
      <c r="I26" s="2172">
        <f>'📈 PORTEFEUILLE'!I25</f>
        <v/>
      </c>
      <c r="J26" s="2174">
        <f>'📈 PORTEFEUILLE'!L25</f>
        <v/>
      </c>
      <c r="K26" s="2175">
        <f>IFERROR('📈 PORTEFEUILLE'!G25*'📈 PORTEFEUILLE'!H25,0)</f>
        <v/>
      </c>
      <c r="L26" s="2176">
        <f>'📈 PORTEFEUILLE'!N25</f>
        <v/>
      </c>
      <c r="M26" s="2177">
        <f>'📈 PORTEFEUILLE'!O25</f>
        <v/>
      </c>
      <c r="N26" s="2178">
        <f>'📈 PORTEFEUILLE'!P25</f>
        <v/>
      </c>
      <c r="O26" s="2179" t="n">
        <v>0</v>
      </c>
      <c r="P26" s="2172" t="n">
        <v>0</v>
      </c>
      <c r="Q26" s="2172" t="n">
        <v>0</v>
      </c>
      <c r="R26" s="2167">
        <f>'📈 PORTEFEUILLE'!Q25</f>
        <v/>
      </c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.75" customHeight="1" s="1666">
      <c r="A27" s="2182">
        <f>'📈 PORTEFEUILLE'!B27</f>
        <v/>
      </c>
      <c r="B27" s="2167">
        <f>'📈 PORTEFEUILLE'!C27</f>
        <v/>
      </c>
      <c r="C27" s="2168">
        <f>'📈 PORTEFEUILLE'!D27</f>
        <v/>
      </c>
      <c r="D27" s="2169">
        <f>'📈 PORTEFEUILLE'!E27</f>
        <v/>
      </c>
      <c r="E27" s="2181">
        <f>'📈 PORTEFEUILLE'!F27</f>
        <v/>
      </c>
      <c r="F27" s="2171">
        <f>'📈 PORTEFEUILLE'!G27</f>
        <v/>
      </c>
      <c r="G27" s="2172">
        <f>'📈 PORTEFEUILLE'!I27</f>
        <v/>
      </c>
      <c r="H27" s="2183">
        <f>'📈 PORTEFEUILLE'!K27</f>
        <v/>
      </c>
      <c r="I27" s="2172">
        <f>'📈 PORTEFEUILLE'!I27</f>
        <v/>
      </c>
      <c r="J27" s="2174">
        <f>'📈 PORTEFEUILLE'!L27</f>
        <v/>
      </c>
      <c r="K27" s="2175">
        <f>IFERROR('📈 PORTEFEUILLE'!G27*'📈 PORTEFEUILLE'!H27,0)</f>
        <v/>
      </c>
      <c r="L27" s="2176">
        <f>'📈 PORTEFEUILLE'!N27</f>
        <v/>
      </c>
      <c r="M27" s="2177">
        <f>'📈 PORTEFEUILLE'!O27</f>
        <v/>
      </c>
      <c r="N27" s="2178">
        <f>'📈 PORTEFEUILLE'!P27</f>
        <v/>
      </c>
      <c r="O27" s="2179" t="n">
        <v>0.02</v>
      </c>
      <c r="P27" s="2172" t="n">
        <v>20.23</v>
      </c>
      <c r="Q27" s="2172" t="n">
        <v>1.68583333333333</v>
      </c>
      <c r="R27" s="2167">
        <f>'📈 PORTEFEUILLE'!Q27</f>
        <v/>
      </c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5.75" customHeight="1" s="1666">
      <c r="A28" s="2152">
        <f>'📈 PORTEFEUILLE'!B56</f>
        <v/>
      </c>
      <c r="B28" s="2153">
        <f>'📈 PORTEFEUILLE'!C56</f>
        <v/>
      </c>
      <c r="C28" s="2154">
        <f>'📈 PORTEFEUILLE'!D56</f>
        <v/>
      </c>
      <c r="D28" s="2155">
        <f>'📈 PORTEFEUILLE'!E56</f>
        <v/>
      </c>
      <c r="E28" s="2180">
        <f>'📈 PORTEFEUILLE'!F56</f>
        <v/>
      </c>
      <c r="F28" s="2157">
        <f>'📈 PORTEFEUILLE'!G56</f>
        <v/>
      </c>
      <c r="G28" s="2158">
        <f>'📈 PORTEFEUILLE'!I56</f>
        <v/>
      </c>
      <c r="H28" s="2159">
        <f>'📈 PORTEFEUILLE'!K56</f>
        <v/>
      </c>
      <c r="I28" s="2158">
        <f>'📈 PORTEFEUILLE'!I56</f>
        <v/>
      </c>
      <c r="J28" s="2160">
        <f>'📈 PORTEFEUILLE'!L56</f>
        <v/>
      </c>
      <c r="K28" s="2161">
        <f>IFERROR('📈 PORTEFEUILLE'!G56*'📈 PORTEFEUILLE'!H56,0)</f>
        <v/>
      </c>
      <c r="L28" s="2162">
        <f>'📈 PORTEFEUILLE'!N56</f>
        <v/>
      </c>
      <c r="M28" s="2163">
        <f>'📈 PORTEFEUILLE'!O56</f>
        <v/>
      </c>
      <c r="N28" s="2164">
        <f>'📈 PORTEFEUILLE'!P56</f>
        <v/>
      </c>
      <c r="O28" s="2165" t="n">
        <v>0.025</v>
      </c>
      <c r="P28" s="2158" t="n">
        <v>25.1845</v>
      </c>
      <c r="Q28" s="2158" t="n">
        <v>2.09870833333333</v>
      </c>
      <c r="R28" s="2153">
        <f>'📈 PORTEFEUILLE'!Q56</f>
        <v/>
      </c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5.75" customHeight="1" s="1666">
      <c r="A29" s="2166">
        <f>'📈 PORTEFEUILLE'!B24</f>
        <v/>
      </c>
      <c r="B29" s="2167">
        <f>'📈 PORTEFEUILLE'!C24</f>
        <v/>
      </c>
      <c r="C29" s="2168">
        <f>'📈 PORTEFEUILLE'!D24</f>
        <v/>
      </c>
      <c r="D29" s="2169">
        <f>'📈 PORTEFEUILLE'!E24</f>
        <v/>
      </c>
      <c r="E29" s="2181">
        <f>'📈 PORTEFEUILLE'!F24</f>
        <v/>
      </c>
      <c r="F29" s="2171">
        <f>'📈 PORTEFEUILLE'!G24</f>
        <v/>
      </c>
      <c r="G29" s="2172">
        <f>'📈 PORTEFEUILLE'!I24</f>
        <v/>
      </c>
      <c r="H29" s="2173">
        <f>'📈 PORTEFEUILLE'!K24</f>
        <v/>
      </c>
      <c r="I29" s="2172">
        <f>'📈 PORTEFEUILLE'!I24</f>
        <v/>
      </c>
      <c r="J29" s="2174">
        <f>'📈 PORTEFEUILLE'!L24</f>
        <v/>
      </c>
      <c r="K29" s="2175">
        <f>IFERROR('📈 PORTEFEUILLE'!G24*'📈 PORTEFEUILLE'!H24,0)</f>
        <v/>
      </c>
      <c r="L29" s="2176">
        <f>'📈 PORTEFEUILLE'!N24</f>
        <v/>
      </c>
      <c r="M29" s="2177">
        <f>'📈 PORTEFEUILLE'!O24</f>
        <v/>
      </c>
      <c r="N29" s="2178">
        <f>'📈 PORTEFEUILLE'!P24</f>
        <v/>
      </c>
      <c r="O29" s="2179" t="n">
        <v>0.003</v>
      </c>
      <c r="P29" s="2172" t="n">
        <v>3.00636504</v>
      </c>
      <c r="Q29" s="2172" t="n">
        <v>0.25053042</v>
      </c>
      <c r="R29" s="2167">
        <f>'📈 PORTEFEUILLE'!Q24</f>
        <v/>
      </c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.75" customHeight="1" s="1666">
      <c r="A30" s="2152">
        <f>'📈 PORTEFEUILLE'!B57</f>
        <v/>
      </c>
      <c r="B30" s="2153">
        <f>'📈 PORTEFEUILLE'!C57</f>
        <v/>
      </c>
      <c r="C30" s="2154">
        <f>'📈 PORTEFEUILLE'!D57</f>
        <v/>
      </c>
      <c r="D30" s="2155">
        <f>'📈 PORTEFEUILLE'!E57</f>
        <v/>
      </c>
      <c r="E30" s="2180">
        <f>'📈 PORTEFEUILLE'!F57</f>
        <v/>
      </c>
      <c r="F30" s="2157">
        <f>'📈 PORTEFEUILLE'!G57</f>
        <v/>
      </c>
      <c r="G30" s="2158">
        <f>'📈 PORTEFEUILLE'!I57</f>
        <v/>
      </c>
      <c r="H30" s="2159">
        <f>'📈 PORTEFEUILLE'!K57</f>
        <v/>
      </c>
      <c r="I30" s="2158">
        <f>'📈 PORTEFEUILLE'!I57</f>
        <v/>
      </c>
      <c r="J30" s="2160">
        <f>'📈 PORTEFEUILLE'!L57</f>
        <v/>
      </c>
      <c r="K30" s="2161">
        <f>IFERROR('📈 PORTEFEUILLE'!G57*'📈 PORTEFEUILLE'!H57,0)</f>
        <v/>
      </c>
      <c r="L30" s="2162">
        <f>'📈 PORTEFEUILLE'!N57</f>
        <v/>
      </c>
      <c r="M30" s="2163">
        <f>'📈 PORTEFEUILLE'!O57</f>
        <v/>
      </c>
      <c r="N30" s="2164">
        <f>'📈 PORTEFEUILLE'!P57</f>
        <v/>
      </c>
      <c r="O30" s="2165" t="n">
        <v>0.055</v>
      </c>
      <c r="P30" s="2158" t="n">
        <v>51.051</v>
      </c>
      <c r="Q30" s="2158" t="n">
        <v>4.25425</v>
      </c>
      <c r="R30" s="2153">
        <f>'📈 PORTEFEUILLE'!Q57</f>
        <v/>
      </c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A31" s="2146">
        <f>'📈 PORTEFEUILLE'!B20</f>
        <v/>
      </c>
      <c r="B31" s="2119">
        <f>'📈 PORTEFEUILLE'!C20</f>
        <v/>
      </c>
      <c r="C31" s="2120">
        <f>'📈 PORTEFEUILLE'!D20</f>
        <v/>
      </c>
      <c r="D31" s="2121">
        <f>'📈 PORTEFEUILLE'!E20</f>
        <v/>
      </c>
      <c r="E31" s="2122">
        <f>'📈 PORTEFEUILLE'!F20</f>
        <v/>
      </c>
      <c r="F31" s="2123">
        <f>'📈 PORTEFEUILLE'!G20</f>
        <v/>
      </c>
      <c r="G31" s="2124">
        <f>'📈 PORTEFEUILLE'!I20</f>
        <v/>
      </c>
      <c r="H31" s="2147">
        <f>'📈 PORTEFEUILLE'!K20</f>
        <v/>
      </c>
      <c r="I31" s="2124">
        <f>'📈 PORTEFEUILLE'!I20</f>
        <v/>
      </c>
      <c r="J31" s="2126">
        <f>'📈 PORTEFEUILLE'!L20</f>
        <v/>
      </c>
      <c r="K31" s="2127">
        <f>IFERROR('📈 PORTEFEUILLE'!G20*'📈 PORTEFEUILLE'!H20,0)</f>
        <v/>
      </c>
      <c r="L31" s="2128">
        <f>'📈 PORTEFEUILLE'!N20</f>
        <v/>
      </c>
      <c r="M31" s="2129">
        <f>'📈 PORTEFEUILLE'!O20</f>
        <v/>
      </c>
      <c r="N31" s="2130">
        <f>'📈 PORTEFEUILLE'!P20</f>
        <v/>
      </c>
      <c r="O31" s="2131" t="n">
        <v>0.004</v>
      </c>
      <c r="P31" s="2124" t="n">
        <v>3.5335398</v>
      </c>
      <c r="Q31" s="2124" t="n">
        <v>0.29446165</v>
      </c>
      <c r="R31" s="2119">
        <f>'📈 PORTEFEUILLE'!Q20</f>
        <v/>
      </c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.75" customHeight="1" s="1666">
      <c r="A32" s="2184">
        <f>'📈 PORTEFEUILLE'!B33</f>
        <v/>
      </c>
      <c r="B32" s="2133">
        <f>'📈 PORTEFEUILLE'!C33</f>
        <v/>
      </c>
      <c r="C32" s="2134">
        <f>'📈 PORTEFEUILLE'!D33</f>
        <v/>
      </c>
      <c r="D32" s="2135">
        <f>'📈 PORTEFEUILLE'!E33</f>
        <v/>
      </c>
      <c r="E32" s="2136">
        <f>'📈 PORTEFEUILLE'!F33</f>
        <v/>
      </c>
      <c r="F32" s="2137">
        <f>'📈 PORTEFEUILLE'!G33</f>
        <v/>
      </c>
      <c r="G32" s="2138">
        <f>'📈 PORTEFEUILLE'!I33</f>
        <v/>
      </c>
      <c r="H32" s="2185">
        <f>'📈 PORTEFEUILLE'!K33</f>
        <v/>
      </c>
      <c r="I32" s="2138">
        <f>'📈 PORTEFEUILLE'!I33</f>
        <v/>
      </c>
      <c r="J32" s="2140">
        <f>'📈 PORTEFEUILLE'!L33</f>
        <v/>
      </c>
      <c r="K32" s="2141">
        <f>IFERROR('📈 PORTEFEUILLE'!G33*'📈 PORTEFEUILLE'!H33,0)</f>
        <v/>
      </c>
      <c r="L32" s="2186">
        <f>'📈 PORTEFEUILLE'!N33</f>
        <v/>
      </c>
      <c r="M32" s="2187">
        <f>'📈 PORTEFEUILLE'!O33</f>
        <v/>
      </c>
      <c r="N32" s="2144">
        <f>'📈 PORTEFEUILLE'!P33</f>
        <v/>
      </c>
      <c r="O32" s="2145" t="n">
        <v>0.004</v>
      </c>
      <c r="P32" s="2138" t="n">
        <v>3.05913692</v>
      </c>
      <c r="Q32" s="2138" t="n">
        <v>0.254928076666667</v>
      </c>
      <c r="R32" s="2133">
        <f>'📈 PORTEFEUILLE'!Q33</f>
        <v/>
      </c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.75" customHeight="1" s="1666">
      <c r="A33" s="2118">
        <f>'📈 PORTEFEUILLE'!B21</f>
        <v/>
      </c>
      <c r="B33" s="2119">
        <f>'📈 PORTEFEUILLE'!C21</f>
        <v/>
      </c>
      <c r="C33" s="2120">
        <f>'📈 PORTEFEUILLE'!D21</f>
        <v/>
      </c>
      <c r="D33" s="2121">
        <f>'📈 PORTEFEUILLE'!E21</f>
        <v/>
      </c>
      <c r="E33" s="2122">
        <f>'📈 PORTEFEUILLE'!F21</f>
        <v/>
      </c>
      <c r="F33" s="2123">
        <f>'📈 PORTEFEUILLE'!G21</f>
        <v/>
      </c>
      <c r="G33" s="2124">
        <f>'📈 PORTEFEUILLE'!I21</f>
        <v/>
      </c>
      <c r="H33" s="2125">
        <f>'📈 PORTEFEUILLE'!K21</f>
        <v/>
      </c>
      <c r="I33" s="2124">
        <f>'📈 PORTEFEUILLE'!I21</f>
        <v/>
      </c>
      <c r="J33" s="2126">
        <f>'📈 PORTEFEUILLE'!L21</f>
        <v/>
      </c>
      <c r="K33" s="2127">
        <f>IFERROR('📈 PORTEFEUILLE'!G21*'📈 PORTEFEUILLE'!H21,0)</f>
        <v/>
      </c>
      <c r="L33" s="2128">
        <f>'📈 PORTEFEUILLE'!N21</f>
        <v/>
      </c>
      <c r="M33" s="2129">
        <f>'📈 PORTEFEUILLE'!O21</f>
        <v/>
      </c>
      <c r="N33" s="2130">
        <f>'📈 PORTEFEUILLE'!P21</f>
        <v/>
      </c>
      <c r="O33" s="2131" t="n">
        <v>0.065</v>
      </c>
      <c r="P33" s="2124" t="n">
        <v>42.6231</v>
      </c>
      <c r="Q33" s="2124" t="n">
        <v>3.551925</v>
      </c>
      <c r="R33" s="2119">
        <f>'📈 PORTEFEUILLE'!Q21</f>
        <v/>
      </c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A34" s="2182">
        <f>'📈 PORTEFEUILLE'!B50</f>
        <v/>
      </c>
      <c r="B34" s="2167">
        <f>'📈 PORTEFEUILLE'!C50</f>
        <v/>
      </c>
      <c r="C34" s="2168">
        <f>'📈 PORTEFEUILLE'!D50</f>
        <v/>
      </c>
      <c r="D34" s="2169">
        <f>'📈 PORTEFEUILLE'!E50</f>
        <v/>
      </c>
      <c r="E34" s="2170">
        <f>'📈 PORTEFEUILLE'!F50</f>
        <v/>
      </c>
      <c r="F34" s="2171">
        <f>'📈 PORTEFEUILLE'!G50</f>
        <v/>
      </c>
      <c r="G34" s="2172">
        <f>'📈 PORTEFEUILLE'!I50</f>
        <v/>
      </c>
      <c r="H34" s="2183">
        <f>'📈 PORTEFEUILLE'!K50</f>
        <v/>
      </c>
      <c r="I34" s="2172">
        <f>'📈 PORTEFEUILLE'!I50</f>
        <v/>
      </c>
      <c r="J34" s="2174">
        <f>'📈 PORTEFEUILLE'!L50</f>
        <v/>
      </c>
      <c r="K34" s="2175">
        <f>IFERROR('📈 PORTEFEUILLE'!G50*'📈 PORTEFEUILLE'!H50,0)</f>
        <v/>
      </c>
      <c r="L34" s="2176">
        <f>'📈 PORTEFEUILLE'!N50</f>
        <v/>
      </c>
      <c r="M34" s="2177">
        <f>'📈 PORTEFEUILLE'!O50</f>
        <v/>
      </c>
      <c r="N34" s="2178">
        <f>'📈 PORTEFEUILLE'!P50</f>
        <v/>
      </c>
      <c r="O34" s="2179" t="n">
        <v>0.02</v>
      </c>
      <c r="P34" s="2172" t="n">
        <v>12.138</v>
      </c>
      <c r="Q34" s="2172" t="n">
        <v>1.0115</v>
      </c>
      <c r="R34" s="2167">
        <f>'📈 PORTEFEUILLE'!Q50</f>
        <v/>
      </c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5.75" customHeight="1" s="1666">
      <c r="A35" s="2132">
        <f>'📈 PORTEFEUILLE'!B52</f>
        <v/>
      </c>
      <c r="B35" s="2133">
        <f>'📈 PORTEFEUILLE'!C52</f>
        <v/>
      </c>
      <c r="C35" s="2134">
        <f>'📈 PORTEFEUILLE'!D52</f>
        <v/>
      </c>
      <c r="D35" s="2135">
        <f>'📈 PORTEFEUILLE'!E52</f>
        <v/>
      </c>
      <c r="E35" s="2151">
        <f>'📈 PORTEFEUILLE'!F52</f>
        <v/>
      </c>
      <c r="F35" s="2137">
        <f>'📈 PORTEFEUILLE'!G52</f>
        <v/>
      </c>
      <c r="G35" s="2138">
        <f>'📈 PORTEFEUILLE'!I52</f>
        <v/>
      </c>
      <c r="H35" s="2139">
        <f>'📈 PORTEFEUILLE'!K52</f>
        <v/>
      </c>
      <c r="I35" s="2138">
        <f>'📈 PORTEFEUILLE'!I52</f>
        <v/>
      </c>
      <c r="J35" s="2140">
        <f>'📈 PORTEFEUILLE'!L52</f>
        <v/>
      </c>
      <c r="K35" s="2141">
        <f>IFERROR('📈 PORTEFEUILLE'!G52*'📈 PORTEFEUILLE'!H52,0)</f>
        <v/>
      </c>
      <c r="L35" s="2142">
        <f>'📈 PORTEFEUILLE'!N52</f>
        <v/>
      </c>
      <c r="M35" s="2143">
        <f>'📈 PORTEFEUILLE'!O52</f>
        <v/>
      </c>
      <c r="N35" s="2144">
        <f>'📈 PORTEFEUILLE'!P52</f>
        <v/>
      </c>
      <c r="O35" s="2145" t="n">
        <v>0.03</v>
      </c>
      <c r="P35" s="2138" t="n">
        <v>17.601</v>
      </c>
      <c r="Q35" s="2138" t="n">
        <v>1.46675</v>
      </c>
      <c r="R35" s="2133">
        <f>'📈 PORTEFEUILLE'!Q52</f>
        <v/>
      </c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.75" customHeight="1" s="1666">
      <c r="A36" s="2166">
        <f>'📈 PORTEFEUILLE'!B28</f>
        <v/>
      </c>
      <c r="B36" s="2167">
        <f>'📈 PORTEFEUILLE'!C28</f>
        <v/>
      </c>
      <c r="C36" s="2168">
        <f>'📈 PORTEFEUILLE'!D28</f>
        <v/>
      </c>
      <c r="D36" s="2169">
        <f>'📈 PORTEFEUILLE'!E28</f>
        <v/>
      </c>
      <c r="E36" s="2181">
        <f>'📈 PORTEFEUILLE'!F28</f>
        <v/>
      </c>
      <c r="F36" s="2171">
        <f>'📈 PORTEFEUILLE'!G28</f>
        <v/>
      </c>
      <c r="G36" s="2172">
        <f>'📈 PORTEFEUILLE'!I28</f>
        <v/>
      </c>
      <c r="H36" s="2173">
        <f>'📈 PORTEFEUILLE'!K28</f>
        <v/>
      </c>
      <c r="I36" s="2172">
        <f>'📈 PORTEFEUILLE'!I28</f>
        <v/>
      </c>
      <c r="J36" s="2174">
        <f>'📈 PORTEFEUILLE'!L28</f>
        <v/>
      </c>
      <c r="K36" s="2175">
        <f>IFERROR('📈 PORTEFEUILLE'!G28*'📈 PORTEFEUILLE'!H28,0)</f>
        <v/>
      </c>
      <c r="L36" s="2188">
        <f>'📈 PORTEFEUILLE'!N28</f>
        <v/>
      </c>
      <c r="M36" s="2189">
        <f>'📈 PORTEFEUILLE'!O28</f>
        <v/>
      </c>
      <c r="N36" s="2178">
        <f>'📈 PORTEFEUILLE'!P28</f>
        <v/>
      </c>
      <c r="O36" s="2179" t="n">
        <v>0.008999999999999999</v>
      </c>
      <c r="P36" s="2172" t="n">
        <v>5.2158412716228</v>
      </c>
      <c r="Q36" s="2172" t="n">
        <v>0.4346534393019</v>
      </c>
      <c r="R36" s="2167">
        <f>'📈 PORTEFEUILLE'!Q28</f>
        <v/>
      </c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.75" customHeight="1" s="1666">
      <c r="A37" s="2132">
        <f>'📈 PORTEFEUILLE'!B32</f>
        <v/>
      </c>
      <c r="B37" s="2133">
        <f>'📈 PORTEFEUILLE'!C32</f>
        <v/>
      </c>
      <c r="C37" s="2134">
        <f>'📈 PORTEFEUILLE'!D32</f>
        <v/>
      </c>
      <c r="D37" s="2135">
        <f>'📈 PORTEFEUILLE'!E32</f>
        <v/>
      </c>
      <c r="E37" s="2136">
        <f>'📈 PORTEFEUILLE'!F32</f>
        <v/>
      </c>
      <c r="F37" s="2137">
        <f>'📈 PORTEFEUILLE'!G32</f>
        <v/>
      </c>
      <c r="G37" s="2138">
        <f>'📈 PORTEFEUILLE'!I32</f>
        <v/>
      </c>
      <c r="H37" s="2139">
        <f>'📈 PORTEFEUILLE'!K32</f>
        <v/>
      </c>
      <c r="I37" s="2138">
        <f>'📈 PORTEFEUILLE'!I32</f>
        <v/>
      </c>
      <c r="J37" s="2140">
        <f>'📈 PORTEFEUILLE'!L32</f>
        <v/>
      </c>
      <c r="K37" s="2141">
        <f>IFERROR('📈 PORTEFEUILLE'!G32*'📈 PORTEFEUILLE'!H32,0)</f>
        <v/>
      </c>
      <c r="L37" s="2186">
        <f>'📈 PORTEFEUILLE'!N32</f>
        <v/>
      </c>
      <c r="M37" s="2187">
        <f>'📈 PORTEFEUILLE'!O32</f>
        <v/>
      </c>
      <c r="N37" s="2144">
        <f>'📈 PORTEFEUILLE'!P32</f>
        <v/>
      </c>
      <c r="O37" s="2145" t="n">
        <v>0.08500000000000001</v>
      </c>
      <c r="P37" s="2138" t="n">
        <v>49.0688</v>
      </c>
      <c r="Q37" s="2138" t="n">
        <v>4.08906666666667</v>
      </c>
      <c r="R37" s="2133">
        <f>'📈 PORTEFEUILLE'!Q32</f>
        <v/>
      </c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.75" customHeight="1" s="1666">
      <c r="A38" s="2152">
        <f>'📈 PORTEFEUILLE'!B40</f>
        <v/>
      </c>
      <c r="B38" s="2153">
        <f>'📈 PORTEFEUILLE'!C40</f>
        <v/>
      </c>
      <c r="C38" s="2154">
        <f>'📈 PORTEFEUILLE'!D40</f>
        <v/>
      </c>
      <c r="D38" s="2155">
        <f>'📈 PORTEFEUILLE'!E40</f>
        <v/>
      </c>
      <c r="E38" s="2156">
        <f>'📈 PORTEFEUILLE'!F40</f>
        <v/>
      </c>
      <c r="F38" s="2157">
        <f>'📈 PORTEFEUILLE'!G40</f>
        <v/>
      </c>
      <c r="G38" s="2158">
        <f>'📈 PORTEFEUILLE'!I40</f>
        <v/>
      </c>
      <c r="H38" s="2159">
        <f>'📈 PORTEFEUILLE'!K40</f>
        <v/>
      </c>
      <c r="I38" s="2158">
        <f>'📈 PORTEFEUILLE'!I40</f>
        <v/>
      </c>
      <c r="J38" s="2160">
        <f>'📈 PORTEFEUILLE'!L40</f>
        <v/>
      </c>
      <c r="K38" s="2161">
        <f>IFERROR('📈 PORTEFEUILLE'!G40*'📈 PORTEFEUILLE'!H40,0)</f>
        <v/>
      </c>
      <c r="L38" s="2162">
        <f>'📈 PORTEFEUILLE'!N40</f>
        <v/>
      </c>
      <c r="M38" s="2163">
        <f>'📈 PORTEFEUILLE'!O40</f>
        <v/>
      </c>
      <c r="N38" s="2164">
        <f>'📈 PORTEFEUILLE'!P40</f>
        <v/>
      </c>
      <c r="O38" s="2165" t="n">
        <v>0.05</v>
      </c>
      <c r="P38" s="2158" t="n">
        <v>21.4225</v>
      </c>
      <c r="Q38" s="2158" t="n">
        <v>1.78520833333333</v>
      </c>
      <c r="R38" s="2153">
        <f>'📈 PORTEFEUILLE'!Q40</f>
        <v/>
      </c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5.75" customHeight="1" s="1666">
      <c r="A39" s="2152">
        <f>'📈 PORTEFEUILLE'!B41</f>
        <v/>
      </c>
      <c r="B39" s="2153">
        <f>'📈 PORTEFEUILLE'!C41</f>
        <v/>
      </c>
      <c r="C39" s="2154">
        <f>'📈 PORTEFEUILLE'!D41</f>
        <v/>
      </c>
      <c r="D39" s="2155">
        <f>'📈 PORTEFEUILLE'!E41</f>
        <v/>
      </c>
      <c r="E39" s="2156">
        <f>'📈 PORTEFEUILLE'!F41</f>
        <v/>
      </c>
      <c r="F39" s="2157">
        <f>'📈 PORTEFEUILLE'!G41</f>
        <v/>
      </c>
      <c r="G39" s="2158">
        <f>'📈 PORTEFEUILLE'!I41</f>
        <v/>
      </c>
      <c r="H39" s="2159">
        <f>'📈 PORTEFEUILLE'!K41</f>
        <v/>
      </c>
      <c r="I39" s="2158">
        <f>'📈 PORTEFEUILLE'!I41</f>
        <v/>
      </c>
      <c r="J39" s="2160">
        <f>'📈 PORTEFEUILLE'!L41</f>
        <v/>
      </c>
      <c r="K39" s="2161">
        <f>IFERROR('📈 PORTEFEUILLE'!G41*'📈 PORTEFEUILLE'!H41,0)</f>
        <v/>
      </c>
      <c r="L39" s="2190">
        <f>'📈 PORTEFEUILLE'!N41</f>
        <v/>
      </c>
      <c r="M39" s="2191">
        <f>'📈 PORTEFEUILLE'!O41</f>
        <v/>
      </c>
      <c r="N39" s="2164">
        <f>'📈 PORTEFEUILLE'!P41</f>
        <v/>
      </c>
      <c r="O39" s="2165" t="n">
        <v>0.044</v>
      </c>
      <c r="P39" s="2158" t="n">
        <v>16.14624</v>
      </c>
      <c r="Q39" s="2158" t="n">
        <v>1.34552</v>
      </c>
      <c r="R39" s="2153">
        <f>'📈 PORTEFEUILLE'!Q41</f>
        <v/>
      </c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5.75" customHeight="1" s="1666">
      <c r="A40" s="2132">
        <f>'📈 PORTEFEUILLE'!B34</f>
        <v/>
      </c>
      <c r="B40" s="2133">
        <f>'📈 PORTEFEUILLE'!C34</f>
        <v/>
      </c>
      <c r="C40" s="2134">
        <f>'📈 PORTEFEUILLE'!D34</f>
        <v/>
      </c>
      <c r="D40" s="2135">
        <f>'📈 PORTEFEUILLE'!E34</f>
        <v/>
      </c>
      <c r="E40" s="2136">
        <f>'📈 PORTEFEUILLE'!F34</f>
        <v/>
      </c>
      <c r="F40" s="2137">
        <f>'📈 PORTEFEUILLE'!G34</f>
        <v/>
      </c>
      <c r="G40" s="2138">
        <f>'📈 PORTEFEUILLE'!I34</f>
        <v/>
      </c>
      <c r="H40" s="2139">
        <f>'📈 PORTEFEUILLE'!K34</f>
        <v/>
      </c>
      <c r="I40" s="2138">
        <f>'📈 PORTEFEUILLE'!I34</f>
        <v/>
      </c>
      <c r="J40" s="2140">
        <f>'📈 PORTEFEUILLE'!L34</f>
        <v/>
      </c>
      <c r="K40" s="2141">
        <f>IFERROR('📈 PORTEFEUILLE'!G34*'📈 PORTEFEUILLE'!H34,0)</f>
        <v/>
      </c>
      <c r="L40" s="2142">
        <f>'📈 PORTEFEUILLE'!N34</f>
        <v/>
      </c>
      <c r="M40" s="2143">
        <f>'📈 PORTEFEUILLE'!O34</f>
        <v/>
      </c>
      <c r="N40" s="2144">
        <f>'📈 PORTEFEUILLE'!P34</f>
        <v/>
      </c>
      <c r="O40" s="2145" t="n">
        <v>0.002</v>
      </c>
      <c r="P40" s="2138" t="n">
        <v>0.71424</v>
      </c>
      <c r="Q40" s="2138" t="n">
        <v>0.05952</v>
      </c>
      <c r="R40" s="2133">
        <f>'📈 PORTEFEUILLE'!Q34</f>
        <v/>
      </c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A41" s="2152">
        <f>'📈 PORTEFEUILLE'!B42</f>
        <v/>
      </c>
      <c r="B41" s="2153">
        <f>'📈 PORTEFEUILLE'!C42</f>
        <v/>
      </c>
      <c r="C41" s="2154">
        <f>'📈 PORTEFEUILLE'!D42</f>
        <v/>
      </c>
      <c r="D41" s="2155">
        <f>'📈 PORTEFEUILLE'!E42</f>
        <v/>
      </c>
      <c r="E41" s="2156">
        <f>'📈 PORTEFEUILLE'!F42</f>
        <v/>
      </c>
      <c r="F41" s="2157">
        <f>'📈 PORTEFEUILLE'!G42</f>
        <v/>
      </c>
      <c r="G41" s="2158">
        <f>'📈 PORTEFEUILLE'!I42</f>
        <v/>
      </c>
      <c r="H41" s="2159">
        <f>'📈 PORTEFEUILLE'!K42</f>
        <v/>
      </c>
      <c r="I41" s="2158">
        <f>'📈 PORTEFEUILLE'!I42</f>
        <v/>
      </c>
      <c r="J41" s="2160">
        <f>'📈 PORTEFEUILLE'!L42</f>
        <v/>
      </c>
      <c r="K41" s="2161">
        <f>IFERROR('📈 PORTEFEUILLE'!G42*'📈 PORTEFEUILLE'!H42,0)</f>
        <v/>
      </c>
      <c r="L41" s="2162">
        <f>'📈 PORTEFEUILLE'!N42</f>
        <v/>
      </c>
      <c r="M41" s="2163">
        <f>'📈 PORTEFEUILLE'!O42</f>
        <v/>
      </c>
      <c r="N41" s="2164">
        <f>'📈 PORTEFEUILLE'!P42</f>
        <v/>
      </c>
      <c r="O41" s="2165" t="n">
        <v>0.038</v>
      </c>
      <c r="P41" s="2158" t="n">
        <v>12.81132</v>
      </c>
      <c r="Q41" s="2158" t="n">
        <v>1.06761</v>
      </c>
      <c r="R41" s="2153">
        <f>'📈 PORTEFEUILLE'!Q42</f>
        <v/>
      </c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A42" s="2132">
        <f>'📈 PORTEFEUILLE'!B53</f>
        <v/>
      </c>
      <c r="B42" s="2133">
        <f>'📈 PORTEFEUILLE'!C53</f>
        <v/>
      </c>
      <c r="C42" s="2134">
        <f>'📈 PORTEFEUILLE'!D53</f>
        <v/>
      </c>
      <c r="D42" s="2135">
        <f>'📈 PORTEFEUILLE'!E53</f>
        <v/>
      </c>
      <c r="E42" s="2151">
        <f>'📈 PORTEFEUILLE'!F53</f>
        <v/>
      </c>
      <c r="F42" s="2137">
        <f>'📈 PORTEFEUILLE'!G53</f>
        <v/>
      </c>
      <c r="G42" s="2138">
        <f>'📈 PORTEFEUILLE'!I53</f>
        <v/>
      </c>
      <c r="H42" s="2139">
        <f>'📈 PORTEFEUILLE'!K53</f>
        <v/>
      </c>
      <c r="I42" s="2138">
        <f>'📈 PORTEFEUILLE'!I53</f>
        <v/>
      </c>
      <c r="J42" s="2140">
        <f>'📈 PORTEFEUILLE'!L53</f>
        <v/>
      </c>
      <c r="K42" s="2141">
        <f>IFERROR('📈 PORTEFEUILLE'!G53*'📈 PORTEFEUILLE'!H53,0)</f>
        <v/>
      </c>
      <c r="L42" s="2186">
        <f>'📈 PORTEFEUILLE'!N53</f>
        <v/>
      </c>
      <c r="M42" s="2187">
        <f>'📈 PORTEFEUILLE'!O53</f>
        <v/>
      </c>
      <c r="N42" s="2144">
        <f>'📈 PORTEFEUILLE'!P53</f>
        <v/>
      </c>
      <c r="O42" s="2145" t="n">
        <v>0.024</v>
      </c>
      <c r="P42" s="2138" t="n">
        <v>4.24872</v>
      </c>
      <c r="Q42" s="2138" t="n">
        <v>0.35406</v>
      </c>
      <c r="R42" s="2133">
        <f>'📈 PORTEFEUILLE'!Q53</f>
        <v/>
      </c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A43" s="2166">
        <f>'📈 PORTEFEUILLE'!B63</f>
        <v/>
      </c>
      <c r="B43" s="2167">
        <f>'📈 PORTEFEUILLE'!C63</f>
        <v/>
      </c>
      <c r="C43" s="2168">
        <f>'📈 PORTEFEUILLE'!D63</f>
        <v/>
      </c>
      <c r="D43" s="2169">
        <f>'📈 PORTEFEUILLE'!E63</f>
        <v/>
      </c>
      <c r="E43" s="2192">
        <f>'📈 PORTEFEUILLE'!F63</f>
        <v/>
      </c>
      <c r="F43" s="2171">
        <f>'📈 PORTEFEUILLE'!G63</f>
        <v/>
      </c>
      <c r="G43" s="2172">
        <f>'📈 PORTEFEUILLE'!I63</f>
        <v/>
      </c>
      <c r="H43" s="2173">
        <f>'📈 PORTEFEUILLE'!K63</f>
        <v/>
      </c>
      <c r="I43" s="2172">
        <f>'📈 PORTEFEUILLE'!I63</f>
        <v/>
      </c>
      <c r="J43" s="2174">
        <f>'📈 PORTEFEUILLE'!L63</f>
        <v/>
      </c>
      <c r="K43" s="2175">
        <f>IFERROR('📈 PORTEFEUILLE'!G63*'📈 PORTEFEUILLE'!H63,0)</f>
        <v/>
      </c>
      <c r="L43" s="2176">
        <f>'📈 PORTEFEUILLE'!N63</f>
        <v/>
      </c>
      <c r="M43" s="2177">
        <f>'📈 PORTEFEUILLE'!O63</f>
        <v/>
      </c>
      <c r="N43" s="2178">
        <f>'📈 PORTEFEUILLE'!P63</f>
        <v/>
      </c>
      <c r="O43" s="2179" t="n">
        <v>0.075</v>
      </c>
      <c r="P43" s="2172" t="n">
        <v>5.88583275</v>
      </c>
      <c r="Q43" s="2172" t="n">
        <v>0.4904860625</v>
      </c>
      <c r="R43" s="2167">
        <f>'📈 PORTEFEUILLE'!Q63</f>
        <v/>
      </c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21.75" customHeight="1" s="1666">
      <c r="A44" s="2193" t="inlineStr">
        <is>
          <t>◼  TOTAL PORTEFEUILLE</t>
        </is>
      </c>
      <c r="B44" s="2107" t="n"/>
      <c r="C44" s="2107" t="n"/>
      <c r="D44" s="2107" t="n"/>
      <c r="E44" s="2108" t="n"/>
      <c r="F44" s="2194" t="n"/>
      <c r="G44" s="2194" t="n"/>
      <c r="H44" s="2194" t="n"/>
      <c r="I44" s="2194" t="n"/>
      <c r="J44" s="2195">
        <f>SUM(J5:J43)</f>
        <v/>
      </c>
      <c r="K44" s="2195">
        <f>SUM(K5:K43)</f>
        <v/>
      </c>
      <c r="L44" s="2196">
        <f>SUM(L5:L43)</f>
        <v/>
      </c>
      <c r="M44" s="2197" t="n">
        <v>0.205728980765037</v>
      </c>
      <c r="N44" s="2198" t="n">
        <v>1</v>
      </c>
      <c r="O44" s="2194" t="n"/>
      <c r="P44" s="2199" t="n">
        <v>1925.94349179435</v>
      </c>
      <c r="Q44" s="2199" t="n">
        <v>160.495290982863</v>
      </c>
      <c r="R44" s="2194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21.75" customHeight="1" s="1666">
      <c r="A46" s="2200" t="inlineStr">
        <is>
          <t>📊  RÉSUMÉ PAR TIER  ·  12 mars 2026</t>
        </is>
      </c>
      <c r="B46" s="2107" t="n"/>
      <c r="C46" s="2107" t="n"/>
      <c r="D46" s="2107" t="n"/>
      <c r="E46" s="2107" t="n"/>
      <c r="F46" s="2107" t="n"/>
      <c r="G46" s="2107" t="n"/>
      <c r="H46" s="2107" t="n"/>
      <c r="I46" s="2107" t="n"/>
      <c r="J46" s="2107" t="n"/>
      <c r="K46" s="2107" t="n"/>
      <c r="L46" s="2107" t="n"/>
      <c r="M46" s="2107" t="n"/>
      <c r="N46" s="2107" t="n"/>
      <c r="O46" s="2107" t="n"/>
      <c r="P46" s="2107" t="n"/>
      <c r="Q46" s="2107" t="n"/>
      <c r="R46" s="2108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8" customHeight="1" s="1666">
      <c r="A47" s="2201" t="inlineStr">
        <is>
          <t>TIER</t>
        </is>
      </c>
      <c r="B47" s="2201" t="inlineStr">
        <is>
          <t>NB POS.</t>
        </is>
      </c>
      <c r="C47" s="2201" t="inlineStr">
        <is>
          <t>VALEUR CAD</t>
        </is>
      </c>
      <c r="D47" s="2201" t="inlineStr">
        <is>
          <t>% PORT.</t>
        </is>
      </c>
      <c r="E47" s="2201" t="inlineStr">
        <is>
          <t>GAIN $</t>
        </is>
      </c>
      <c r="F47" s="2201" t="inlineStr">
        <is>
          <t>GAIN %</t>
        </is>
      </c>
      <c r="G47" s="2201" t="inlineStr">
        <is>
          <t>DIV/AN</t>
        </is>
      </c>
      <c r="H47" s="2202" t="inlineStr">
        <is>
          <t>DESCRIPTION</t>
        </is>
      </c>
      <c r="I47" s="2107" t="n"/>
      <c r="J47" s="2107" t="n"/>
      <c r="K47" s="2107" t="n"/>
      <c r="L47" s="2107" t="n"/>
      <c r="M47" s="2107" t="n"/>
      <c r="N47" s="2107" t="n"/>
      <c r="O47" s="2107" t="n"/>
      <c r="P47" s="2107" t="n"/>
      <c r="Q47" s="2107" t="n"/>
      <c r="R47" s="2108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A48" s="2121" t="inlineStr">
        <is>
          <t>T1</t>
        </is>
      </c>
      <c r="B48" s="2203" t="n">
        <v>11</v>
      </c>
      <c r="C48" s="2204" t="n">
        <v>48010.7293908372</v>
      </c>
      <c r="D48" s="2205" t="n">
        <v>0.553943448737745</v>
      </c>
      <c r="E48" s="2206" t="n">
        <v>7733.12289046736</v>
      </c>
      <c r="F48" s="2207" t="n">
        <v>0.191995591654543</v>
      </c>
      <c r="G48" s="2208" t="n">
        <v>475.909495382431</v>
      </c>
      <c r="H48" s="2209" t="inlineStr">
        <is>
          <t>Conviction maximale — AVGO, VFV.TO, SMH, GOOG, AMZN, META, ENB, GEV, SCHD — Accumuler agressivement</t>
        </is>
      </c>
      <c r="I48" s="2107" t="n"/>
      <c r="J48" s="2107" t="n"/>
      <c r="K48" s="2107" t="n"/>
      <c r="L48" s="2107" t="n"/>
      <c r="M48" s="2107" t="n"/>
      <c r="N48" s="2107" t="n"/>
      <c r="O48" s="2107" t="n"/>
      <c r="P48" s="2107" t="n"/>
      <c r="Q48" s="2107" t="n"/>
      <c r="R48" s="2108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A49" s="2169" t="inlineStr">
        <is>
          <t>T2</t>
        </is>
      </c>
      <c r="B49" s="2210" t="n">
        <v>9</v>
      </c>
      <c r="C49" s="2211" t="n">
        <v>8691.989979789199</v>
      </c>
      <c r="D49" s="2212" t="n">
        <v>0.100287393399136</v>
      </c>
      <c r="E49" s="2213" t="n">
        <v>812.117868396793</v>
      </c>
      <c r="F49" s="2214" t="n">
        <v>0.103062315849348</v>
      </c>
      <c r="G49" s="2215" t="n">
        <v>74.98849949192279</v>
      </c>
      <c r="H49" s="2216" t="inlineStr">
        <is>
          <t>Accumuler sélectivement — MSFT, NVDA, TSLA, QQQM, XEQT, SPGI, JEPI — En dip seulement</t>
        </is>
      </c>
      <c r="I49" s="2107" t="n"/>
      <c r="J49" s="2107" t="n"/>
      <c r="K49" s="2107" t="n"/>
      <c r="L49" s="2107" t="n"/>
      <c r="M49" s="2107" t="n"/>
      <c r="N49" s="2107" t="n"/>
      <c r="O49" s="2107" t="n"/>
      <c r="P49" s="2107" t="n"/>
      <c r="Q49" s="2107" t="n"/>
      <c r="R49" s="2108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A50" s="2135" t="inlineStr">
        <is>
          <t>T3</t>
        </is>
      </c>
      <c r="B50" s="2217" t="n">
        <v>9</v>
      </c>
      <c r="C50" s="2218" t="n">
        <v>19228.64423</v>
      </c>
      <c r="D50" s="2219" t="n">
        <v>0.221858356131331</v>
      </c>
      <c r="E50" s="2220" t="n">
        <v>5181.020625</v>
      </c>
      <c r="F50" s="2221" t="n">
        <v>0.368818297719474</v>
      </c>
      <c r="G50" s="2222" t="n">
        <v>803.81273692</v>
      </c>
      <c r="H50" s="2223" t="inlineStr">
        <is>
          <t>Garder, ne plus acheter — TD, ZLB, H.TO, T.TO, QTUM, HURA — Diluer naturellement</t>
        </is>
      </c>
      <c r="I50" s="2107" t="n"/>
      <c r="J50" s="2107" t="n"/>
      <c r="K50" s="2107" t="n"/>
      <c r="L50" s="2107" t="n"/>
      <c r="M50" s="2107" t="n"/>
      <c r="N50" s="2107" t="n"/>
      <c r="O50" s="2107" t="n"/>
      <c r="P50" s="2107" t="n"/>
      <c r="Q50" s="2107" t="n"/>
      <c r="R50" s="2108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A51" s="2155" t="inlineStr">
        <is>
          <t>T4</t>
        </is>
      </c>
      <c r="B51" s="2224" t="n">
        <v>10</v>
      </c>
      <c r="C51" s="2225" t="n">
        <v>10739.45</v>
      </c>
      <c r="D51" s="2226" t="n">
        <v>0.123910801731788</v>
      </c>
      <c r="E51" s="2227" t="n">
        <v>1062.0521</v>
      </c>
      <c r="F51" s="2228" t="n">
        <v>0.109745626972722</v>
      </c>
      <c r="G51" s="2229" t="n">
        <v>571.23276</v>
      </c>
      <c r="H51" s="2230" t="inlineStr">
        <is>
          <t>Diluer naturellement — REITs, XEI, XIC, ZRE, MFC, VDU — Coussin défensif</t>
        </is>
      </c>
      <c r="I51" s="2107" t="n"/>
      <c r="J51" s="2107" t="n"/>
      <c r="K51" s="2107" t="n"/>
      <c r="L51" s="2107" t="n"/>
      <c r="M51" s="2107" t="n"/>
      <c r="N51" s="2107" t="n"/>
      <c r="O51" s="2107" t="n"/>
      <c r="P51" s="2107" t="n"/>
      <c r="Q51" s="2107" t="n"/>
      <c r="R51" s="2108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autoFilter ref="A4:R43"/>
  <mergeCells count="17">
    <mergeCell ref="H47:R47"/>
    <mergeCell ref="I2:K2"/>
    <mergeCell ref="E3:H3"/>
    <mergeCell ref="I3:L3"/>
    <mergeCell ref="A3:D3"/>
    <mergeCell ref="H48:R48"/>
    <mergeCell ref="A46:R46"/>
    <mergeCell ref="M3:R3"/>
    <mergeCell ref="O2:R2"/>
    <mergeCell ref="A1:R1"/>
    <mergeCell ref="A2:D2"/>
    <mergeCell ref="H49:R49"/>
    <mergeCell ref="A44:E44"/>
    <mergeCell ref="L2:N2"/>
    <mergeCell ref="H51:R51"/>
    <mergeCell ref="H50:R50"/>
    <mergeCell ref="E2:H2"/>
  </mergeCells>
  <conditionalFormatting sqref="M5:M43">
    <cfRule type="cellIs" rank="0" priority="2" equalAverage="0" operator="greaterThan" aboveAverage="0" dxfId="16" text="" percent="0" bottom="0">
      <formula>0</formula>
    </cfRule>
    <cfRule type="cellIs" rank="0" priority="3" equalAverage="0" operator="lessThan" aboveAverage="0" dxfId="17" text="" percent="0" bottom="0">
      <formula>0</formula>
    </cfRule>
  </conditionalFormatting>
  <conditionalFormatting sqref="L5:L43">
    <cfRule type="cellIs" rank="0" priority="4" equalAverage="0" operator="greaterThan" aboveAverage="0" dxfId="16" text="" percent="0" bottom="0">
      <formula>0</formula>
    </cfRule>
    <cfRule type="cellIs" rank="0" priority="5" equalAverage="0" operator="lessThan" aboveAverage="0" dxfId="17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I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665" min="1" max="1"/>
    <col width="22" customWidth="1" style="1665" min="2" max="2"/>
    <col width="14" customWidth="1" style="1665" min="3" max="8"/>
    <col width="30" customWidth="1" style="1665" min="9" max="9"/>
    <col width="2" customWidth="1" style="1665" min="10" max="10"/>
  </cols>
  <sheetData>
    <row r="1" ht="25.5" customHeight="1" s="1666">
      <c r="B1" s="2231" t="inlineStr">
        <is>
          <t>🏠  TABLEAU DE BORD  ·  PORTEFEUILLE FI  ·  MAXIMIZE — PAS DE CIBLE, TOUJOURS PLUS</t>
        </is>
      </c>
    </row>
    <row r="2" ht="15.75" customHeight="1" s="1666">
      <c r="B2" s="2232" t="inlineStr">
        <is>
          <t>v49-S19  ·  12 mars 2026  ·  Partenaire FI permanent : Claude  ·  Plan $5,000/mois structuré</t>
        </is>
      </c>
    </row>
    <row r="3" ht="6" customHeight="1" s="1666"/>
    <row r="4" ht="19.5" customHeight="1" s="1666">
      <c r="B4" s="2233" t="inlineStr">
        <is>
          <t>① STATUT SESSION  ·  Cocher avant de commencer</t>
        </is>
      </c>
    </row>
    <row r="5" ht="15.75" customHeight="1" s="1666">
      <c r="B5" s="2234" t="inlineStr">
        <is>
          <t>VÉRIFICATION</t>
        </is>
      </c>
      <c r="C5" s="2234" t="inlineStr">
        <is>
          <t>VALEUR / STATUT</t>
        </is>
      </c>
      <c r="E5" s="2234" t="inlineStr">
        <is>
          <t>CONTEXTE MARCHÉ</t>
        </is>
      </c>
      <c r="G5" s="2234" t="inlineStr">
        <is>
          <t>INTENTION SESSION</t>
        </is>
      </c>
    </row>
    <row r="6" ht="16.5" customHeight="1" s="1666">
      <c r="B6" s="2235" t="inlineStr">
        <is>
          <t>📎 Wallet uploadé?</t>
        </is>
      </c>
      <c r="C6" s="2236" t="inlineStr">
        <is>
          <t>⬜ Confirmer</t>
        </is>
      </c>
      <c r="E6" s="2236">
        <f>IFERROR("S&amp;P "&amp;TEXT(CONFIG!G36,"#,##0")&amp;" ("&amp;TEXT(CONFIG!B49,"+0.0%")&amp;")","S&amp;P: N/A")</f>
        <v/>
      </c>
      <c r="G6" s="2236" t="inlineStr">
        <is>
          <t>⬜ Dire à Claude</t>
        </is>
      </c>
    </row>
    <row r="7" ht="16.5" customHeight="1" s="1666">
      <c r="B7" s="2237" t="inlineStr">
        <is>
          <t>📋 Questrade dump?</t>
        </is>
      </c>
      <c r="C7" s="2238" t="inlineStr">
        <is>
          <t>⬜ Confirmer</t>
        </is>
      </c>
      <c r="E7" s="2238">
        <f>IFERROR("TSX "&amp;TEXT(CONFIG!G37,"#,##0")&amp;" ("&amp;TEXT(CONFIG!B50,"+0.0%")&amp;")","TSX: N/A")</f>
        <v/>
      </c>
      <c r="G7" s="2238" t="inlineStr">
        <is>
          <t>BdC 18 mars · Fed 18-19 mars</t>
        </is>
      </c>
    </row>
    <row r="8" ht="16.5" customHeight="1" s="1666">
      <c r="B8" s="2235" t="inlineStr">
        <is>
          <t>💱 USD/CAD</t>
        </is>
      </c>
      <c r="C8" s="2239">
        <f>CONFIG!B3</f>
        <v/>
      </c>
      <c r="E8" s="2236">
        <f>IFERROR("USD/CAD "&amp;TEXT(CONFIG!B3,"0.0000"),"N/A")</f>
        <v/>
      </c>
      <c r="G8" s="2236">
        <f>IFERROR(TEXT(NOW(),"dd mmm yyyy HH:MM")&amp;" HNE","--")</f>
        <v/>
      </c>
    </row>
    <row r="9" ht="16.5" customHeight="1" s="1666">
      <c r="B9" s="2237" t="inlineStr">
        <is>
          <t>💰 Cash TFSA / FHSA</t>
        </is>
      </c>
      <c r="C9" s="2238">
        <f>CONFIG!B37</f>
        <v/>
      </c>
      <c r="E9" s="2238">
        <f>CONFIG!B38</f>
        <v/>
      </c>
      <c r="G9" s="2238" t="inlineStr">
        <is>
          <t>VIX: saisir ⬜</t>
        </is>
      </c>
    </row>
    <row r="10" ht="6" customHeight="1" s="1666"/>
    <row r="11" ht="19.5" customHeight="1" s="1666">
      <c r="B11" s="2233" t="inlineStr">
        <is>
          <t>② PORTFOLIO LIVE  ·  Valeurs en temps réel depuis 📈 PORTEFEUILLE</t>
        </is>
      </c>
    </row>
    <row r="12" ht="15.75" customHeight="1" s="1666">
      <c r="B12" s="2234" t="inlineStr">
        <is>
          <t>COMPTE</t>
        </is>
      </c>
      <c r="C12" s="2234" t="inlineStr">
        <is>
          <t>VALEUR ACTUELLE</t>
        </is>
      </c>
      <c r="D12" s="2234" t="inlineStr">
        <is>
          <t>DÉPOSÉ</t>
        </is>
      </c>
      <c r="E12" s="2234" t="inlineStr">
        <is>
          <t>P&amp;L $</t>
        </is>
      </c>
      <c r="F12" s="2234" t="inlineStr">
        <is>
          <t>P&amp;L %</t>
        </is>
      </c>
      <c r="G12" s="2234" t="inlineStr">
        <is>
          <t>ROOM DISPO</t>
        </is>
      </c>
      <c r="H12" s="2234" t="inlineStr">
        <is>
          <t>NOTE / RÔLE</t>
        </is>
      </c>
    </row>
    <row r="13" ht="18" customHeight="1" s="1666">
      <c r="B13" s="2240" t="inlineStr">
        <is>
          <t>TFSA 📈</t>
        </is>
      </c>
      <c r="C13" s="2241">
        <f>'📈 PORTEFEUILLE'!L44</f>
        <v/>
      </c>
      <c r="D13" s="2242">
        <f>'📈 PORTEFEUILLE'!M44</f>
        <v/>
      </c>
      <c r="E13" s="2241">
        <f>'📈 PORTEFEUILLE'!N44</f>
        <v/>
      </c>
      <c r="F13" s="2243">
        <f>'📈 PORTEFEUILLE'!O44</f>
        <v/>
      </c>
      <c r="G13" s="2242">
        <f>CONFIG!B6</f>
        <v/>
      </c>
      <c r="H13" s="2236" t="inlineStr">
        <is>
          <t>Croissance LT · Retraite · Intouchable</t>
        </is>
      </c>
    </row>
    <row r="14" ht="18" customHeight="1" s="1666">
      <c r="B14" s="2244" t="inlineStr">
        <is>
          <t>FHSA 🏠</t>
        </is>
      </c>
      <c r="C14" s="2245">
        <f>'📈 PORTEFEUILLE'!L59</f>
        <v/>
      </c>
      <c r="D14" s="2246">
        <f>'📈 PORTEFEUILLE'!M59</f>
        <v/>
      </c>
      <c r="E14" s="2245">
        <f>'📈 PORTEFEUILLE'!N59</f>
        <v/>
      </c>
      <c r="F14" s="2247">
        <f>'📈 PORTEFEUILLE'!O59</f>
        <v/>
      </c>
      <c r="G14" s="2246">
        <f>CONFIG!B7</f>
        <v/>
      </c>
      <c r="H14" s="2238" t="inlineStr">
        <is>
          <t>Maison 2030+ · Double exonération fiscale</t>
        </is>
      </c>
    </row>
    <row r="15" ht="18" customHeight="1" s="1666">
      <c r="B15" s="2240" t="inlineStr">
        <is>
          <t>REER ❄️🔥</t>
        </is>
      </c>
      <c r="C15" s="2241">
        <f>'📈 PORTEFEUILLE'!L68</f>
        <v/>
      </c>
      <c r="D15" s="2242">
        <f>'📈 PORTEFEUILLE'!M68</f>
        <v/>
      </c>
      <c r="E15" s="2241">
        <f>'📈 PORTEFEUILLE'!N68</f>
        <v/>
      </c>
      <c r="F15" s="2243">
        <f>'📈 PORTEFEUILLE'!O68</f>
        <v/>
      </c>
      <c r="G15" s="2242">
        <f>CONFIG!B8</f>
        <v/>
      </c>
      <c r="H15" s="2236" t="inlineStr">
        <is>
          <t>RAP $60K · Snowball ARC $1,060/mois</t>
        </is>
      </c>
    </row>
    <row r="16" ht="19.5" customHeight="1" s="1666">
      <c r="B16" s="2248" t="inlineStr">
        <is>
          <t>▼ TOTAL PORTFOLIO</t>
        </is>
      </c>
      <c r="C16" s="2249">
        <f>'📈 PORTEFEUILLE'!L70</f>
        <v/>
      </c>
      <c r="D16" s="2249">
        <f>'📈 PORTEFEUILLE'!M70</f>
        <v/>
      </c>
      <c r="E16" s="2249">
        <f>'📈 PORTEFEUILLE'!N70</f>
        <v/>
      </c>
      <c r="F16" s="2250">
        <f>'📈 PORTEFEUILLE'!O70</f>
        <v/>
      </c>
      <c r="G16" s="2248" t="inlineStr">
        <is>
          <t>SNOWBALL: $1,590/mois</t>
        </is>
      </c>
      <c r="H16" s="2248" t="inlineStr">
        <is>
          <t>Dividendes est. ~$3,200/an</t>
        </is>
      </c>
    </row>
    <row r="17" ht="6" customHeight="1" s="1666"/>
    <row r="18" ht="19.5" customHeight="1" s="1666">
      <c r="B18" s="2233" t="inlineStr">
        <is>
          <t>③ ACTIONS URGENTES  ·  Statut auto</t>
        </is>
      </c>
    </row>
    <row r="19" ht="15.75" customHeight="1" s="1666">
      <c r="B19" s="2234" t="inlineStr">
        <is>
          <t>#</t>
        </is>
      </c>
      <c r="C19" s="2234" t="inlineStr">
        <is>
          <t>ACTION</t>
        </is>
      </c>
      <c r="F19" s="2234" t="inlineStr">
        <is>
          <t>STATUT</t>
        </is>
      </c>
      <c r="G19" s="2234" t="inlineStr">
        <is>
          <t>IMPACT</t>
        </is>
      </c>
      <c r="H19" s="2234" t="inlineStr">
        <is>
          <t>DÉLAI / NOTE</t>
        </is>
      </c>
    </row>
    <row r="20" ht="18" customHeight="1" s="1666">
      <c r="B20" s="2251" t="inlineStr">
        <is>
          <t>🔴 1</t>
        </is>
      </c>
      <c r="C20" s="2252" t="inlineStr">
        <is>
          <t>Ouvrir EQ Bank — Fonds urgence $15,000</t>
        </is>
      </c>
      <c r="D20" s="2253" t="n"/>
      <c r="E20" s="2254" t="n"/>
      <c r="F20" s="2255">
        <f>IF(CONFIG!B25&gt;=15000,"✅ FAIT",IF(CONFIG!B25&gt;0,"🟡 EN COURS","🔴 À FAIRE"))</f>
        <v/>
      </c>
      <c r="G20" s="2256" t="inlineStr">
        <is>
          <t>Risque ×0</t>
        </is>
      </c>
      <c r="H20" s="2256" t="inlineStr">
        <is>
          <t>CE MOIS · Risque opérationnel #1</t>
        </is>
      </c>
      <c r="I20" s="2254" t="n"/>
    </row>
    <row r="21" ht="18" customHeight="1" s="1666">
      <c r="B21" s="2251" t="inlineStr">
        <is>
          <t>🔴 2</t>
        </is>
      </c>
      <c r="C21" s="2252" t="inlineStr">
        <is>
          <t>Vendre ZRE.TO + XIC.TO + VDU.TO → T1 (~$1,878)</t>
        </is>
      </c>
      <c r="D21" s="2253" t="n"/>
      <c r="E21" s="2254" t="n"/>
      <c r="F21" s="2255">
        <f>IF(SUMIF('📈 PORTEFEUILLE'!B14:B64,"ZRE.TO",'📈 PORTEFEUILLE'!G14:G64)=0,"✅ FAIT","🔴 POST-BdC 18 mars")</f>
        <v/>
      </c>
      <c r="G21" s="2256" t="inlineStr">
        <is>
          <t>~+$80/an</t>
        </is>
      </c>
      <c r="H21" s="2256" t="inlineStr">
        <is>
          <t>Post-BdC 18 mars · T4→T1</t>
        </is>
      </c>
      <c r="I21" s="2254" t="n"/>
    </row>
    <row r="22" ht="18" customHeight="1" s="1666">
      <c r="B22" s="2257" t="inlineStr">
        <is>
          <t>🟡 3</t>
        </is>
      </c>
      <c r="C22" s="2258" t="inlineStr">
        <is>
          <t>Vérifier Mon Dossier ARC — Revenu net 2025</t>
        </is>
      </c>
      <c r="D22" s="2253" t="n"/>
      <c r="E22" s="2254" t="n"/>
      <c r="F22" s="2259" t="inlineStr">
        <is>
          <t>🟡 PLANIFIER</t>
        </is>
      </c>
      <c r="G22" s="2260" t="inlineStr">
        <is>
          <t>$1,500 crédit</t>
        </is>
      </c>
      <c r="H22" s="2260" t="inlineStr">
        <is>
          <t>Avant déc 2026 · NON ÉLIG. 2026 ($140K &gt; $129,590)</t>
        </is>
      </c>
      <c r="I22" s="2254" t="n"/>
    </row>
    <row r="23" ht="18" customHeight="1" s="1666">
      <c r="B23" s="2261" t="inlineStr">
        <is>
          <t>✅ 4</t>
        </is>
      </c>
      <c r="C23" s="2262" t="inlineStr">
        <is>
          <t>PLZ.UN 961u vendus @ $4.26 → AVGO+GEV+SMH</t>
        </is>
      </c>
      <c r="D23" s="2253" t="n"/>
      <c r="E23" s="2254" t="n"/>
      <c r="F23" s="2263" t="inlineStr">
        <is>
          <t>✅ EXÉCUTÉ 11 mars</t>
        </is>
      </c>
      <c r="G23" s="2264" t="inlineStr">
        <is>
          <t>+$4,094 CAD</t>
        </is>
      </c>
      <c r="H23" s="2264" t="inlineStr">
        <is>
          <t>T4→T1 réalisé</t>
        </is>
      </c>
      <c r="I23" s="2254" t="n"/>
    </row>
    <row r="24" ht="18" customHeight="1" s="1666">
      <c r="B24" s="2261" t="inlineStr">
        <is>
          <t>✅ 5</t>
        </is>
      </c>
      <c r="C24" s="2262" t="inlineStr">
        <is>
          <t>SCHD $2,000 REER — 64.3053u @ $30.85 USD</t>
        </is>
      </c>
      <c r="D24" s="2253" t="n"/>
      <c r="E24" s="2254" t="n"/>
      <c r="F24" s="2263" t="inlineStr">
        <is>
          <t>✅ EXÉCUTÉ 12 mars</t>
        </is>
      </c>
      <c r="G24" s="2264" t="inlineStr">
        <is>
          <t>+$1,060/mois ARC</t>
        </is>
      </c>
      <c r="H24" s="2264" t="inlineStr">
        <is>
          <t>Snowball fiscal activé</t>
        </is>
      </c>
      <c r="I24" s="2254" t="n"/>
    </row>
    <row r="25" ht="6" customHeight="1" s="1666"/>
    <row r="26" ht="19.5" customHeight="1" s="1666">
      <c r="B26" s="2233" t="inlineStr">
        <is>
          <t>④ CHECKLIST DÉCISIONS  ·  OUI/NON avant tout achat</t>
        </is>
      </c>
    </row>
    <row r="27" ht="15.75" customHeight="1" s="1666">
      <c r="B27" s="2234" t="inlineStr">
        <is>
          <t>QUESTION</t>
        </is>
      </c>
      <c r="F27" s="2234" t="inlineStr">
        <is>
          <t>STATUT AUTO</t>
        </is>
      </c>
      <c r="H27" s="2234" t="inlineStr">
        <is>
          <t>CONTEXTE</t>
        </is>
      </c>
    </row>
    <row r="28" ht="16.5" customHeight="1" s="1666">
      <c r="B28" s="2236" t="inlineStr">
        <is>
          <t>💰 EQ Bank $15K ouvert ?</t>
        </is>
      </c>
      <c r="C28" s="2253" t="n"/>
      <c r="D28" s="2253" t="n"/>
      <c r="E28" s="2254" t="n"/>
      <c r="F28" s="2265">
        <f>IF(CONFIG!B25&gt;=15000,"✅ OUI","🔴 NON — Ouvrir cette semaine")</f>
        <v/>
      </c>
      <c r="H28" s="2266" t="inlineStr">
        <is>
          <t>7 mois dépenses · sécurité de base</t>
        </is>
      </c>
      <c r="I28" s="2254" t="n"/>
    </row>
    <row r="29" ht="16.5" customHeight="1" s="1666">
      <c r="B29" s="2238" t="inlineStr">
        <is>
          <t>📊 Expo USD dans les seuils ?</t>
        </is>
      </c>
      <c r="C29" s="2253" t="n"/>
      <c r="D29" s="2253" t="n"/>
      <c r="E29" s="2254" t="n"/>
      <c r="F29" s="2244">
        <f>CONFIG!B47</f>
        <v/>
      </c>
      <c r="H29" s="2267" t="inlineStr">
        <is>
          <t>Seuil max 65% · auto</t>
        </is>
      </c>
      <c r="I29" s="2254" t="n"/>
    </row>
    <row r="30" ht="16.5" customHeight="1" s="1666">
      <c r="B30" s="2236" t="inlineStr">
        <is>
          <t>🤖 Expo IA dans les seuils ?</t>
        </is>
      </c>
      <c r="C30" s="2253" t="n"/>
      <c r="D30" s="2253" t="n"/>
      <c r="E30" s="2254" t="n"/>
      <c r="F30" s="2265">
        <f>IF(CONFIG!B31&gt;0.45,"🔴 DÉPASSE 45% — Pause T1 IA","✅ OK — Sous 45%")</f>
        <v/>
      </c>
      <c r="H30" s="2266" t="inlineStr">
        <is>
          <t>Seuil max 45% · auto</t>
        </is>
      </c>
      <c r="I30" s="2254" t="n"/>
    </row>
    <row r="31" ht="16.5" customHeight="1" s="1666">
      <c r="B31" s="2238" t="inlineStr">
        <is>
          <t>📅 Earnings calendrier vérifié ?</t>
        </is>
      </c>
      <c r="C31" s="2253" t="n"/>
      <c r="D31" s="2253" t="n"/>
      <c r="E31" s="2254" t="n"/>
      <c r="F31" s="2244" t="inlineStr">
        <is>
          <t>⬜ Confirmer avant achat T1/T2</t>
        </is>
      </c>
      <c r="H31" s="2267" t="inlineStr">
        <is>
          <t>AVGO ~5 déc · GEV ~22 avr · SMH N/A ETF</t>
        </is>
      </c>
      <c r="I31" s="2254" t="n"/>
    </row>
    <row r="32" ht="16.5" customHeight="1" s="1666">
      <c r="B32" s="2236" t="inlineStr">
        <is>
          <t>🏠 Trade post-BdC 18 mars planifié ?</t>
        </is>
      </c>
      <c r="C32" s="2253" t="n"/>
      <c r="D32" s="2253" t="n"/>
      <c r="E32" s="2254" t="n"/>
      <c r="F32" s="2265">
        <f>IF(DATEVALUE("2026-03-18")&gt;TODAY(),"⏳ BdC dans "&amp;(DATEVALUE("2026-03-18")-TODAY())&amp;" jours","✅ BdC passé")</f>
        <v/>
      </c>
      <c r="H32" s="2266" t="inlineStr">
        <is>
          <t>ZRE.TO + XIC.TO + VDU.TO → T1</t>
        </is>
      </c>
      <c r="I32" s="2254" t="n"/>
    </row>
    <row r="33" ht="16.5" customHeight="1" s="1666">
      <c r="B33" s="2238" t="inlineStr">
        <is>
          <t>💡 Remboursement ARC prévu ?</t>
        </is>
      </c>
      <c r="C33" s="2253" t="n"/>
      <c r="D33" s="2253" t="n"/>
      <c r="E33" s="2254" t="n"/>
      <c r="F33" s="2244">
        <f>IF(CONFIG!B34&gt;0,"📅 REER "&amp;TEXT(CONFIG!B34,"$#,##0")&amp;" → Remb. ARC ~"&amp;TEXT(CONFIG!B34*CONFIG!B11,"$#,##0"),"⬜ Aucune cotisation"))</f>
        <v/>
      </c>
      <c r="H33" s="2267" t="inlineStr">
        <is>
          <t>À réinvestir dès réception avril 2027</t>
        </is>
      </c>
      <c r="I33" s="2254" t="n"/>
    </row>
    <row r="34" ht="6" customHeight="1" s="1666"/>
    <row r="35" ht="19.5" customHeight="1" s="1666">
      <c r="B35" s="2233" t="inlineStr">
        <is>
          <t>⑤ OBJECTIF MAISON 2030+  ·  FHSA $40K + RAP REER $60K = $100K  ·  Achat solo</t>
        </is>
      </c>
    </row>
    <row r="36" ht="15.75" customHeight="1" s="1666">
      <c r="B36" s="2234" t="inlineStr">
        <is>
          <t>SOURCE</t>
        </is>
      </c>
      <c r="C36" s="2234" t="inlineStr">
        <is>
          <t>AUJOURD'HUI</t>
        </is>
      </c>
      <c r="D36" s="2234" t="inlineStr">
        <is>
          <t>OBJECTIF</t>
        </is>
      </c>
      <c r="E36" s="2234" t="inlineStr">
        <is>
          <t>MANQUANT</t>
        </is>
      </c>
      <c r="F36" s="2234" t="inlineStr">
        <is>
          <t>PROGRESSION</t>
        </is>
      </c>
      <c r="G36" s="2234" t="inlineStr">
        <is>
          <t>STATUT</t>
        </is>
      </c>
    </row>
    <row r="37" ht="18" customHeight="1" s="1666">
      <c r="B37" s="2240" t="inlineStr">
        <is>
          <t>FHSA</t>
        </is>
      </c>
      <c r="C37" s="2242">
        <f>'📈 PORTEFEUILLE'!L59</f>
        <v/>
      </c>
      <c r="D37" s="2242">
        <f>CONFIG!B14</f>
        <v/>
      </c>
      <c r="E37" s="2242">
        <f>D37-C37</f>
        <v/>
      </c>
      <c r="F37" s="2268">
        <f>IFERROR(C37/D37,0)</f>
        <v/>
      </c>
      <c r="G37" s="2236">
        <f>IF(C37/D37&gt;=1,"✅ ATTEINT",IF(C37/D37&gt;=0.8,"🟡 80%+","⏳ En route"))</f>
        <v/>
      </c>
    </row>
    <row r="38" ht="18" customHeight="1" s="1666">
      <c r="B38" s="2244" t="inlineStr">
        <is>
          <t>REER (RAP)</t>
        </is>
      </c>
      <c r="C38" s="2246">
        <f>'📈 PORTEFEUILLE'!L68</f>
        <v/>
      </c>
      <c r="D38" s="2246">
        <f>CONFIG!B15</f>
        <v/>
      </c>
      <c r="E38" s="2246">
        <f>D38-C38</f>
        <v/>
      </c>
      <c r="F38" s="2269">
        <f>IFERROR(C38/D38,0)</f>
        <v/>
      </c>
      <c r="G38" s="2238">
        <f>IF(C38/D38&gt;=1,"✅ ATTEINT",IF(C38/D38&gt;=0.8,"🟡 80%+","⏳ En route"))</f>
        <v/>
      </c>
    </row>
    <row r="39" ht="19.5" customHeight="1" s="1666">
      <c r="B39" s="2248" t="inlineStr">
        <is>
          <t>▼ TOTAL MAISON</t>
        </is>
      </c>
      <c r="C39" s="2249">
        <f>'📈 PORTEFEUILLE'!L59+'📈 PORTEFEUILLE'!L68</f>
        <v/>
      </c>
      <c r="D39" s="2249">
        <f>CONFIG!B16</f>
        <v/>
      </c>
      <c r="E39" s="2249">
        <f>D39-C39</f>
        <v/>
      </c>
      <c r="F39" s="2270">
        <f>IFERROR(C39/D39,0)</f>
        <v/>
      </c>
      <c r="G39" s="2248">
        <f>IF(C39/D39&gt;=1,"✅ ATTEINT",IF(C39/D39&gt;=0.8,"🟡 80%+","⏳ En route"))</f>
        <v/>
      </c>
    </row>
    <row r="40" ht="6" customHeight="1" s="1666"/>
    <row r="41" ht="19.5" customHeight="1" s="1666">
      <c r="B41" s="2233" t="inlineStr">
        <is>
          <t>⑥ PROJECTION FI  ·  $2.1M = plancher · pas de plafond · maximiser toujours</t>
        </is>
      </c>
    </row>
    <row r="42" ht="15.75" customHeight="1" s="1666">
      <c r="B42" s="2234" t="inlineStr">
        <is>
          <t>SCÉNARIO</t>
        </is>
      </c>
      <c r="C42" s="2234" t="inlineStr">
        <is>
          <t>@40 ans</t>
        </is>
      </c>
      <c r="D42" s="2234" t="inlineStr">
        <is>
          <t>@45 ans</t>
        </is>
      </c>
      <c r="E42" s="2234" t="inlineStr">
        <is>
          <t>@50 ans</t>
        </is>
      </c>
      <c r="F42" s="2234" t="inlineStr">
        <is>
          <t>@55 ans</t>
        </is>
      </c>
      <c r="G42" s="2234" t="inlineStr">
        <is>
          <t>@60 ans</t>
        </is>
      </c>
      <c r="H42" s="2234" t="inlineStr">
        <is>
          <t>NOTE</t>
        </is>
      </c>
    </row>
    <row r="43" ht="18" customHeight="1" s="1666">
      <c r="B43" s="2236" t="inlineStr">
        <is>
          <t>6% / an (conservateur)</t>
        </is>
      </c>
      <c r="C43" s="2271">
        <f>IFERROR(CONFIG!B19*(1.06^(40-34))+5000*12*((1.06^(40-34)-1)/0.06),0)</f>
        <v/>
      </c>
      <c r="D43" s="2242" t="inlineStr">
        <is>
          <t>$1,063,923</t>
        </is>
      </c>
      <c r="E43" s="2242" t="inlineStr">
        <is>
          <t>$1,761,995</t>
        </is>
      </c>
      <c r="F43" s="2272" t="inlineStr">
        <is>
          <t>$2,696,172</t>
        </is>
      </c>
      <c r="G43" s="2272" t="inlineStr">
        <is>
          <t>$3,946,312</t>
        </is>
      </c>
      <c r="H43" s="2236" t="inlineStr">
        <is>
          <t>⚠️ FI @50 limit</t>
        </is>
      </c>
    </row>
    <row r="44" ht="18" customHeight="1" s="1666">
      <c r="B44" s="2238" t="inlineStr">
        <is>
          <t>8% / an (réaliste)</t>
        </is>
      </c>
      <c r="C44" s="2273">
        <f>IFERROR(CONFIG!B19*(1.08^(40-34))+5000*12*((1.08^(40-34)-1)/0.08),0)</f>
        <v/>
      </c>
      <c r="D44" s="2246" t="inlineStr">
        <is>
          <t>$1,202,162</t>
        </is>
      </c>
      <c r="E44" s="2272" t="inlineStr">
        <is>
          <t>$2,118,367</t>
        </is>
      </c>
      <c r="F44" s="2272" t="inlineStr">
        <is>
          <t>$3,464,572</t>
        </is>
      </c>
      <c r="G44" s="2272" t="inlineStr">
        <is>
          <t>$5,442,589</t>
        </is>
      </c>
      <c r="H44" s="2274" t="inlineStr">
        <is>
          <t>✅ FI @48 (&gt;$2.1M)</t>
        </is>
      </c>
    </row>
    <row r="45" ht="18" customHeight="1" s="1666">
      <c r="B45" s="2236" t="inlineStr">
        <is>
          <t>10% / an (optimiste)</t>
        </is>
      </c>
      <c r="C45" s="2271">
        <f>IFERROR(CONFIG!B19*(1.1^(40-34))+5000*12*((1.1^(40-34)-1)/0.1),0)</f>
        <v/>
      </c>
      <c r="D45" s="2242" t="inlineStr">
        <is>
          <t>$1,360,802</t>
        </is>
      </c>
      <c r="E45" s="2272" t="inlineStr">
        <is>
          <t>$2,557,891</t>
        </is>
      </c>
      <c r="F45" s="2272" t="inlineStr">
        <is>
          <t>$4,485,814</t>
        </is>
      </c>
      <c r="G45" s="2272" t="inlineStr">
        <is>
          <t>$7,590,755</t>
        </is>
      </c>
      <c r="H45" s="2275" t="inlineStr">
        <is>
          <t>🚀 FI @46</t>
        </is>
      </c>
    </row>
    <row r="46" ht="6" customHeight="1" s="1666"/>
    <row r="47" ht="19.5" customHeight="1" s="1666">
      <c r="B47" s="2233" t="inlineStr">
        <is>
          <t>⑦ SNOWBALL FISCAL  ·  Chaque dollar REER coûte $0.47 net (52.98% récupéré)</t>
        </is>
      </c>
    </row>
    <row r="48" ht="15.75" customHeight="1" s="1666">
      <c r="B48" s="2234" t="inlineStr">
        <is>
          <t>COMPTE</t>
        </is>
      </c>
      <c r="C48" s="2234" t="inlineStr">
        <is>
          <t>COTISÉ /AN</t>
        </is>
      </c>
      <c r="D48" s="2234" t="inlineStr">
        <is>
          <t>ÉCONOMIE IMPÔT</t>
        </is>
      </c>
      <c r="E48" s="2234" t="inlineStr">
        <is>
          <t>COÛT NET</t>
        </is>
      </c>
      <c r="F48" s="2234" t="inlineStr">
        <is>
          <t>VALEUR @20 ANS</t>
        </is>
      </c>
      <c r="G48" s="2234" t="inlineStr">
        <is>
          <t>MULTIPLICATEUR</t>
        </is>
      </c>
      <c r="H48" s="2234" t="inlineStr">
        <is>
          <t>NOTE</t>
        </is>
      </c>
    </row>
    <row r="49" ht="18" customHeight="1" s="1666">
      <c r="B49" s="2240" t="inlineStr">
        <is>
          <t>🔥 REER (SCHD)</t>
        </is>
      </c>
      <c r="C49" s="2242">
        <f>2000*12</f>
        <v/>
      </c>
      <c r="D49" s="2242">
        <f>C49*CONFIG!B11</f>
        <v/>
      </c>
      <c r="E49" s="2242">
        <f>C49-D49</f>
        <v/>
      </c>
      <c r="F49" s="2242">
        <f>E49*(1.08^20)*0.65</f>
        <v/>
      </c>
      <c r="G49" s="2276">
        <f>IFERROR(F49/E49,0)</f>
        <v/>
      </c>
      <c r="H49" s="2236" t="inlineStr">
        <is>
          <t>Priorité #1 · Snowball $1,060/mois ARC</t>
        </is>
      </c>
    </row>
    <row r="50" ht="18" customHeight="1" s="1666">
      <c r="B50" s="2244" t="inlineStr">
        <is>
          <t>FHSA (VFV.TO)</t>
        </is>
      </c>
      <c r="C50" s="2246">
        <f>1000*12</f>
        <v/>
      </c>
      <c r="D50" s="2246">
        <f>C50*CONFIG!B11</f>
        <v/>
      </c>
      <c r="E50" s="2246">
        <f>C50-D50</f>
        <v/>
      </c>
      <c r="F50" s="2246">
        <f>E50*(1.08^20)</f>
        <v/>
      </c>
      <c r="G50" s="2277">
        <f>IFERROR(F50/E50,0)</f>
        <v/>
      </c>
      <c r="H50" s="2238" t="inlineStr">
        <is>
          <t>Double exonération fiscale</t>
        </is>
      </c>
    </row>
    <row r="51" ht="18" customHeight="1" s="1666">
      <c r="B51" s="2240" t="inlineStr">
        <is>
          <t>TFSA (AVGO)</t>
        </is>
      </c>
      <c r="C51" s="2242">
        <f>500*12</f>
        <v/>
      </c>
      <c r="D51" s="2242" t="inlineStr">
        <is>
          <t>0</t>
        </is>
      </c>
      <c r="E51" s="2242">
        <f>C51-D51</f>
        <v/>
      </c>
      <c r="F51" s="2242">
        <f>E51*(1.08^20)</f>
        <v/>
      </c>
      <c r="G51" s="2276">
        <f>IFERROR(F51/E51,0)</f>
        <v/>
      </c>
      <c r="H51" s="2236" t="inlineStr">
        <is>
          <t>Croissance 100% tax-free</t>
        </is>
      </c>
    </row>
    <row r="52" ht="18" customHeight="1" s="1666">
      <c r="B52" s="2278" t="inlineStr">
        <is>
          <t>EQ Bank HISA</t>
        </is>
      </c>
      <c r="C52" s="2279">
        <f>1500*12</f>
        <v/>
      </c>
      <c r="D52" s="2279" t="inlineStr">
        <is>
          <t>0</t>
        </is>
      </c>
      <c r="E52" s="2279">
        <f>C52</f>
        <v/>
      </c>
      <c r="F52" s="2279">
        <f>E52*(1.03^20)</f>
        <v/>
      </c>
      <c r="G52" s="2280">
        <f>IFERROR(F52/E52,0)</f>
        <v/>
      </c>
      <c r="H52" s="2281" t="inlineStr">
        <is>
          <t>🔴 À OUVRIR · Urgence + liquidités</t>
        </is>
      </c>
    </row>
    <row r="53" ht="6" customHeight="1" s="1666"/>
    <row r="54" ht="19.5" customHeight="1" s="1666">
      <c r="B54" s="2233" t="inlineStr">
        <is>
          <t>⑧ EXPOSITION DEVISES  ·  Seuil max USD 65%  ·  Auto calculé</t>
        </is>
      </c>
    </row>
    <row r="55" ht="15.75" customHeight="1" s="1666">
      <c r="B55" s="2234" t="inlineStr">
        <is>
          <t>MÉTRIQUE</t>
        </is>
      </c>
      <c r="C55" s="2234" t="inlineStr">
        <is>
          <t>VALEUR</t>
        </is>
      </c>
      <c r="D55" s="2234" t="inlineStr">
        <is>
          <t>SEUIL</t>
        </is>
      </c>
      <c r="E55" s="2234" t="inlineStr">
        <is>
          <t>STATUT</t>
        </is>
      </c>
      <c r="F55" s="2234" t="inlineStr">
        <is>
          <t>DÉTAIL</t>
        </is>
      </c>
    </row>
    <row r="56" ht="16.5" customHeight="1" s="1666">
      <c r="B56" s="2236" t="inlineStr">
        <is>
          <t>Exposition USD %</t>
        </is>
      </c>
      <c r="C56" s="2282">
        <f>CONFIG!B46</f>
        <v/>
      </c>
      <c r="D56" s="2283" t="inlineStr">
        <is>
          <t>65%</t>
        </is>
      </c>
      <c r="E56" s="2240">
        <f>CONFIG!B47</f>
        <v/>
      </c>
      <c r="F56" s="2266">
        <f>CONFIG!B44&amp;" USD en CAD"</f>
        <v/>
      </c>
      <c r="G56" s="2253" t="n"/>
      <c r="H56" s="2253" t="n"/>
      <c r="I56" s="2254" t="n"/>
    </row>
    <row r="57" ht="16.5" customHeight="1" s="1666">
      <c r="B57" s="2238" t="inlineStr">
        <is>
          <t>Valeur USD (CAD)</t>
        </is>
      </c>
      <c r="C57" s="2284">
        <f>CONFIG!B44</f>
        <v/>
      </c>
      <c r="D57" s="2285" t="inlineStr">
        <is>
          <t>—</t>
        </is>
      </c>
      <c r="E57" s="2244" t="inlineStr">
        <is>
          <t>—</t>
        </is>
      </c>
      <c r="F57" s="2267" t="inlineStr">
        <is>
          <t>Positions USD converties</t>
        </is>
      </c>
      <c r="G57" s="2253" t="n"/>
      <c r="H57" s="2253" t="n"/>
      <c r="I57" s="2254" t="n"/>
    </row>
    <row r="58" ht="16.5" customHeight="1" s="1666">
      <c r="B58" s="2236" t="inlineStr">
        <is>
          <t>Valeur CAD (CAD)</t>
        </is>
      </c>
      <c r="C58" s="2286">
        <f>CONFIG!B45</f>
        <v/>
      </c>
      <c r="D58" s="2283" t="inlineStr">
        <is>
          <t>—</t>
        </is>
      </c>
      <c r="E58" s="2240" t="inlineStr">
        <is>
          <t>—</t>
        </is>
      </c>
      <c r="F58" s="2266" t="inlineStr">
        <is>
          <t>Positions libellées CAD</t>
        </is>
      </c>
      <c r="G58" s="2253" t="n"/>
      <c r="H58" s="2253" t="n"/>
      <c r="I58" s="2254" t="n"/>
    </row>
    <row r="59" ht="16.5" customHeight="1" s="1666">
      <c r="B59" s="2238" t="inlineStr">
        <is>
          <t>Exposition IA %</t>
        </is>
      </c>
      <c r="C59" s="2287">
        <f>CONFIG!B31</f>
        <v/>
      </c>
      <c r="D59" s="2285" t="inlineStr">
        <is>
          <t>45%</t>
        </is>
      </c>
      <c r="E59" s="2288">
        <f>IF(CONFIG!B31&gt;0.45,"🔴 DÉPASSE","✅ OK")</f>
        <v/>
      </c>
      <c r="F59" s="2267" t="inlineStr">
        <is>
          <t>AVGO+SMH+NVDA+GOOG+META+GEV</t>
        </is>
      </c>
      <c r="G59" s="2253" t="n"/>
      <c r="H59" s="2253" t="n"/>
      <c r="I59" s="2254" t="n"/>
    </row>
    <row r="60" ht="6" customHeight="1" s="1666"/>
    <row r="61" ht="19.5" customHeight="1" s="1666">
      <c r="B61" s="2233" t="inlineStr">
        <is>
          <t>⑨ BUDGET RÉEL  ·  Basé talon de paie · 26 paies/an · Nunavik (logement + bouffe gratuits)</t>
        </is>
      </c>
    </row>
    <row r="62" ht="15.75" customHeight="1" s="1666">
      <c r="B62" s="2234" t="inlineStr">
        <is>
          <t>POSTE</t>
        </is>
      </c>
      <c r="C62" s="2234" t="inlineStr">
        <is>
          <t>MONTANT /MOIS</t>
        </is>
      </c>
      <c r="E62" s="2234" t="inlineStr">
        <is>
          <t>DÉTAIL / NOTE</t>
        </is>
      </c>
    </row>
    <row r="63" ht="16.5" customHeight="1" s="1666">
      <c r="B63" s="2240" t="inlineStr">
        <is>
          <t>💰 Revenu net moyen</t>
        </is>
      </c>
      <c r="C63" s="2241" t="n">
        <v>7950</v>
      </c>
      <c r="E63" s="2236" t="inlineStr">
        <is>
          <t>←  $3,000×26÷12 + $1,450 prime · Confirmé S16</t>
        </is>
      </c>
      <c r="F63" s="2253" t="n"/>
      <c r="G63" s="2253" t="n"/>
      <c r="H63" s="2253" t="n"/>
      <c r="I63" s="2254" t="n"/>
    </row>
    <row r="64" ht="16.5" customHeight="1" s="1666">
      <c r="B64" s="2238" t="inlineStr">
        <is>
          <t>💸 Dépenses fixes</t>
        </is>
      </c>
      <c r="C64" s="2246" t="n">
        <v>1182</v>
      </c>
      <c r="E64" s="2238" t="inlineStr">
        <is>
          <t>Épicerie $400 · Tél $110 · Voiture $375 · Moto $80 · Divers $217</t>
        </is>
      </c>
      <c r="F64" s="2253" t="n"/>
      <c r="G64" s="2253" t="n"/>
      <c r="H64" s="2253" t="n"/>
      <c r="I64" s="2254" t="n"/>
    </row>
    <row r="65" ht="16.5" customHeight="1" s="1666">
      <c r="B65" s="2236" t="inlineStr">
        <is>
          <t>🎯 Disponible investir</t>
        </is>
      </c>
      <c r="C65" s="2271">
        <f>C63-C64</f>
        <v/>
      </c>
      <c r="E65" s="2236" t="inlineStr">
        <is>
          <t>←  Revenu − dépenses</t>
        </is>
      </c>
      <c r="F65" s="2253" t="n"/>
      <c r="G65" s="2253" t="n"/>
      <c r="H65" s="2253" t="n"/>
      <c r="I65" s="2254" t="n"/>
    </row>
    <row r="66" ht="16.5" customHeight="1" s="1666">
      <c r="B66" s="2244" t="inlineStr">
        <is>
          <t>📦 Plan investi /mois</t>
        </is>
      </c>
      <c r="C66" s="2245" t="n">
        <v>5000</v>
      </c>
      <c r="E66" s="2238" t="inlineStr">
        <is>
          <t>REER $2K + FHSA $1K + TFSA $500 + EQ Bank $1,500</t>
        </is>
      </c>
      <c r="F66" s="2253" t="n"/>
      <c r="G66" s="2253" t="n"/>
      <c r="H66" s="2253" t="n"/>
      <c r="I66" s="2254" t="n"/>
    </row>
    <row r="67" ht="16.5" customHeight="1" s="1666">
      <c r="B67" s="2236" t="inlineStr">
        <is>
          <t>📊 Surplus libre</t>
        </is>
      </c>
      <c r="C67" s="2271">
        <f>C65-C66</f>
        <v/>
      </c>
      <c r="E67" s="2236" t="inlineStr">
        <is>
          <t>←  Intentionnel · vie / imprévus · ~$1,768/mois</t>
        </is>
      </c>
      <c r="F67" s="2253" t="n"/>
      <c r="G67" s="2253" t="n"/>
      <c r="H67" s="2253" t="n"/>
      <c r="I67" s="2254" t="n"/>
    </row>
    <row r="68" ht="16.5" customHeight="1" s="1666">
      <c r="B68" s="2244" t="inlineStr">
        <is>
          <t>📈 Taux épargne</t>
        </is>
      </c>
      <c r="C68" s="2289">
        <f>C66/C63</f>
        <v/>
      </c>
      <c r="E68" s="2238" t="inlineStr">
        <is>
          <t>←  $5,000/$7,950 = 62.9% · Potentiel 70%+ si surplus réinvesti</t>
        </is>
      </c>
      <c r="F68" s="2253" t="n"/>
      <c r="G68" s="2253" t="n"/>
      <c r="H68" s="2253" t="n"/>
      <c r="I68" s="2254" t="n"/>
    </row>
    <row r="69" ht="6" customHeight="1" s="1666"/>
    <row r="70" ht="19.5" customHeight="1" s="1666">
      <c r="B70" s="2233" t="inlineStr">
        <is>
          <t>⑩ FORMAT SESSION IDÉAL  ·  Protocole de démarrage</t>
        </is>
      </c>
    </row>
    <row r="71" ht="21.75" customHeight="1" s="1666">
      <c r="B71" s="2290" t="inlineStr">
        <is>
          <t>(1) Ouvrir Google Sheets live  →  (2) Upload Wallet v49-S19.xlsx + dump Questrade  →  (3) Lire ② PORTFOLIO LIVE  →  (4) Cocher ④ CHECKLIST  →  (5) Dire intention à Claude  →  (6) Exécuter</t>
        </is>
      </c>
      <c r="C71" s="2253" t="n"/>
      <c r="D71" s="2253" t="n"/>
      <c r="E71" s="2253" t="n"/>
      <c r="F71" s="2253" t="n"/>
      <c r="G71" s="2253" t="n"/>
      <c r="H71" s="2253" t="n"/>
      <c r="I71" s="2254" t="n"/>
    </row>
  </sheetData>
  <mergeCells count="45">
    <mergeCell ref="F56:I56"/>
    <mergeCell ref="H20:I20"/>
    <mergeCell ref="E68:I68"/>
    <mergeCell ref="C20:E20"/>
    <mergeCell ref="H29:I29"/>
    <mergeCell ref="B47:I47"/>
    <mergeCell ref="B54:I54"/>
    <mergeCell ref="F58:I58"/>
    <mergeCell ref="C22:E22"/>
    <mergeCell ref="B30:E30"/>
    <mergeCell ref="B33:E33"/>
    <mergeCell ref="E67:I67"/>
    <mergeCell ref="H31:I31"/>
    <mergeCell ref="C21:E21"/>
    <mergeCell ref="B71:I71"/>
    <mergeCell ref="B32:E32"/>
    <mergeCell ref="B18:I18"/>
    <mergeCell ref="E64:I64"/>
    <mergeCell ref="B70:I70"/>
    <mergeCell ref="H21:I21"/>
    <mergeCell ref="F57:I57"/>
    <mergeCell ref="B11:I11"/>
    <mergeCell ref="B2:I2"/>
    <mergeCell ref="C23:E23"/>
    <mergeCell ref="E63:I63"/>
    <mergeCell ref="B61:I61"/>
    <mergeCell ref="B1:I1"/>
    <mergeCell ref="B31:E31"/>
    <mergeCell ref="E65:I65"/>
    <mergeCell ref="H32:I32"/>
    <mergeCell ref="B4:I4"/>
    <mergeCell ref="F59:I59"/>
    <mergeCell ref="H28:I28"/>
    <mergeCell ref="H22:I22"/>
    <mergeCell ref="C24:E24"/>
    <mergeCell ref="H24:I24"/>
    <mergeCell ref="H33:I33"/>
    <mergeCell ref="B29:E29"/>
    <mergeCell ref="E66:I66"/>
    <mergeCell ref="H23:I23"/>
    <mergeCell ref="B41:I41"/>
    <mergeCell ref="B28:E28"/>
    <mergeCell ref="B35:I35"/>
    <mergeCell ref="H30:I30"/>
    <mergeCell ref="B26:I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2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6" customWidth="1" style="1665" min="1" max="1"/>
    <col width="18" customWidth="1" style="1665" min="2" max="2"/>
    <col width="16" customWidth="1" style="1665" min="3" max="3"/>
    <col width="45" customWidth="1" style="1665" min="4" max="4"/>
    <col width="8.710000000000001" customWidth="1" style="1665" min="5" max="6"/>
  </cols>
  <sheetData>
    <row r="1" ht="30" customHeight="1" s="1666">
      <c r="A1" s="2291" t="inlineStr">
        <is>
          <t>💵  BUDGET RÉEL  ·  Portrait financier confirmé  ·  Mars 2026  ·  v56-S33</t>
        </is>
      </c>
      <c r="G1" s="1665" t="n"/>
      <c r="H1" s="1665" t="n"/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5" customHeight="1" s="1666">
      <c r="A2" s="2292" t="inlineStr">
        <is>
          <t>Données confirmées session S16 · Cellules en jaune = modifier si changement · Formules = auto</t>
        </is>
      </c>
      <c r="G2" s="1665" t="n"/>
      <c r="H2" s="1665" t="n"/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G3" s="1665" t="n"/>
      <c r="H3" s="1665" t="n"/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21.75" customHeight="1" s="1666">
      <c r="A4" s="2293" t="inlineStr">
        <is>
          <t>💰  REVENUS NETS MENSUELS</t>
        </is>
      </c>
      <c r="G4" s="1665" t="n"/>
      <c r="H4" s="1665" t="n"/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A5" s="2294" t="inlineStr">
        <is>
          <t>POSTE</t>
        </is>
      </c>
      <c r="B5" s="2294" t="inlineStr">
        <is>
          <t>MONTANT CAD</t>
        </is>
      </c>
      <c r="C5" s="2294" t="inlineStr">
        <is>
          <t>TYPE</t>
        </is>
      </c>
      <c r="D5" s="2294" t="inlineStr">
        <is>
          <t>NOTE</t>
        </is>
      </c>
      <c r="G5" s="1665" t="n"/>
      <c r="H5" s="1665" t="n"/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6.5" customHeight="1" s="1666">
      <c r="A6" s="2295" t="inlineStr">
        <is>
          <t>Paie nette base (aux 2 semaines)</t>
        </is>
      </c>
      <c r="B6" s="2296" t="n">
        <v>3000</v>
      </c>
      <c r="C6" s="2297" t="inlineStr">
        <is>
          <t>Aux 2 sem.</t>
        </is>
      </c>
      <c r="D6" s="2295" t="inlineStr">
        <is>
          <t>$3,000/paie × 26 ÷ 12 = $6,500/mois · Augmentation annuelle prévue</t>
        </is>
      </c>
      <c r="G6" s="1665" t="n"/>
      <c r="H6" s="1665" t="n"/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6.5" customHeight="1" s="1666">
      <c r="A7" s="2295" t="inlineStr">
        <is>
          <t>Prime Nunavik (isolement + zone)</t>
        </is>
      </c>
      <c r="B7" s="2296" t="n">
        <v>1450</v>
      </c>
      <c r="C7" s="2297" t="inlineStr">
        <is>
          <t>Mensuel</t>
        </is>
      </c>
      <c r="D7" s="2295" t="inlineStr">
        <is>
          <t>Confirmé S16 · Vérifier si change</t>
        </is>
      </c>
      <c r="G7" s="1665" t="n"/>
      <c r="H7" s="1665" t="n"/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6.5" customHeight="1" s="1666">
      <c r="A8" s="2298" t="inlineStr">
        <is>
          <t>TOTAL REVENU NET /MOIS</t>
        </is>
      </c>
      <c r="B8" s="2299">
        <f>(B6*26/12)+B7</f>
        <v/>
      </c>
      <c r="C8" s="2300" t="inlineStr">
        <is>
          <t>AUTO · $3,000×26÷12 + $1,450 = $7,950/mois · Corrigé S18</t>
        </is>
      </c>
      <c r="D8" s="2298" t="inlineStr">
        <is>
          <t>← Revenu mensuel disponible réel confirmé</t>
        </is>
      </c>
      <c r="G8" s="1665" t="n"/>
      <c r="H8" s="1665" t="n"/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" customHeight="1" s="1666">
      <c r="G9" s="1665" t="n"/>
      <c r="H9" s="1665" t="n"/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21.75" customHeight="1" s="1666">
      <c r="A10" s="2293" t="inlineStr">
        <is>
          <t>💸  DÉPENSES MENSUELLES CONFIRMÉES</t>
        </is>
      </c>
      <c r="G10" s="1665" t="n"/>
      <c r="H10" s="1665" t="n"/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" customHeight="1" s="1666">
      <c r="A11" s="2294" t="inlineStr">
        <is>
          <t>POSTE</t>
        </is>
      </c>
      <c r="B11" s="2294" t="inlineStr">
        <is>
          <t>MONTANT CAD</t>
        </is>
      </c>
      <c r="C11" s="2294" t="inlineStr">
        <is>
          <t>TYPE</t>
        </is>
      </c>
      <c r="D11" s="2294" t="inlineStr">
        <is>
          <t>NOTE</t>
        </is>
      </c>
      <c r="G11" s="1665" t="n"/>
      <c r="H11" s="1665" t="n"/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6.5" customHeight="1" s="1666">
      <c r="A12" s="2301" t="inlineStr">
        <is>
          <t>Logement</t>
        </is>
      </c>
      <c r="B12" s="2302" t="n">
        <v>0</v>
      </c>
      <c r="C12" s="2303" t="inlineStr">
        <is>
          <t>Gratuit ✅</t>
        </is>
      </c>
      <c r="D12" s="2301" t="inlineStr">
        <is>
          <t>100% payé par employeur Nunavik · Confirmé</t>
        </is>
      </c>
      <c r="G12" s="1665" t="n"/>
      <c r="H12" s="1665" t="n"/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6.5" customHeight="1" s="1666">
      <c r="A13" s="2301" t="inlineStr">
        <is>
          <t>Internet</t>
        </is>
      </c>
      <c r="B13" s="2302" t="n">
        <v>0</v>
      </c>
      <c r="C13" s="2303" t="inlineStr">
        <is>
          <t>Gratuit ✅</t>
        </is>
      </c>
      <c r="D13" s="2301" t="inlineStr">
        <is>
          <t>Inclus logement employeur · Confirmé</t>
        </is>
      </c>
      <c r="G13" s="1665" t="n"/>
      <c r="H13" s="1665" t="n"/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6.5" customHeight="1" s="1666">
      <c r="A14" s="2295" t="inlineStr">
        <is>
          <t>Épicerie / nourriture</t>
        </is>
      </c>
      <c r="B14" s="2304" t="n">
        <v>400</v>
      </c>
      <c r="C14" s="2297" t="inlineStr">
        <is>
          <t>Mensuel</t>
        </is>
      </c>
      <c r="D14" s="2295" t="inlineStr">
        <is>
          <t>~$400/mois confirmé S16 · Par rotation aux 2 semaines</t>
        </is>
      </c>
      <c r="G14" s="1665" t="n"/>
      <c r="H14" s="1665" t="n"/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6.5" customHeight="1" s="1666">
      <c r="A15" s="2295" t="inlineStr">
        <is>
          <t>Téléphone cellulaire</t>
        </is>
      </c>
      <c r="B15" s="2304" t="n">
        <v>110</v>
      </c>
      <c r="C15" s="2297" t="inlineStr">
        <is>
          <t>Mensuel</t>
        </is>
      </c>
      <c r="D15" s="2295" t="inlineStr">
        <is>
          <t>$110/mois confirmé</t>
        </is>
      </c>
      <c r="G15" s="1665" t="n"/>
      <c r="H15" s="1665" t="n"/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6.5" customHeight="1" s="1666">
      <c r="A16" s="2295" t="inlineStr">
        <is>
          <t>Voiture — paiement/financement</t>
        </is>
      </c>
      <c r="B16" s="2304" t="n">
        <v>275</v>
      </c>
      <c r="C16" s="2297" t="inlineStr">
        <is>
          <t>Mensuel</t>
        </is>
      </c>
      <c r="D16" s="2295" t="inlineStr">
        <is>
          <t>Milieu $200-350 · À confirmer exactement</t>
        </is>
      </c>
      <c r="G16" s="1665" t="n"/>
      <c r="H16" s="1665" t="n"/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6.5" customHeight="1" s="1666">
      <c r="A17" s="2295" t="inlineStr">
        <is>
          <t>Voiture — assurance auto</t>
        </is>
      </c>
      <c r="B17" s="2304" t="n">
        <v>100</v>
      </c>
      <c r="C17" s="2297" t="inlineStr">
        <is>
          <t>Mensuel</t>
        </is>
      </c>
      <c r="D17" s="2295" t="inlineStr">
        <is>
          <t>Milieu $80-120 · À confirmer exactement</t>
        </is>
      </c>
      <c r="G17" s="1665" t="n"/>
      <c r="H17" s="1665" t="n"/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6.5" customHeight="1" s="1666">
      <c r="A18" s="2295" t="inlineStr">
        <is>
          <t>Moto — assurance</t>
        </is>
      </c>
      <c r="B18" s="2304" t="n">
        <v>80</v>
      </c>
      <c r="C18" s="2297" t="inlineStr">
        <is>
          <t>Mensuel/Sais.</t>
        </is>
      </c>
      <c r="D18" s="2295" t="inlineStr">
        <is>
          <t>Milieu $60-100 · Saisonnière · Peut varier</t>
        </is>
      </c>
      <c r="G18" s="1665" t="n"/>
      <c r="H18" s="1665" t="n"/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6.5" customHeight="1" s="1666">
      <c r="A19" s="2295" t="inlineStr">
        <is>
          <t>Essence</t>
        </is>
      </c>
      <c r="B19" s="2304" t="n">
        <v>50</v>
      </c>
      <c r="C19" s="2297" t="inlineStr">
        <is>
          <t>Mensuel</t>
        </is>
      </c>
      <c r="D19" s="2295" t="inlineStr">
        <is>
          <t>Faible — déplacements limités Nunavik</t>
        </is>
      </c>
      <c r="G19" s="1665" t="n"/>
      <c r="H19" s="1665" t="n"/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6.5" customHeight="1" s="1666">
      <c r="A20" s="2295" t="inlineStr">
        <is>
          <t>Abonnements (streaming, etc.)</t>
        </is>
      </c>
      <c r="B20" s="2304" t="n">
        <v>25</v>
      </c>
      <c r="C20" s="2297" t="inlineStr">
        <is>
          <t>Mensuel</t>
        </is>
      </c>
      <c r="D20" s="2295" t="inlineStr">
        <is>
          <t>Netflix, Spotify, etc. · Milieu $0-50</t>
        </is>
      </c>
      <c r="G20" s="1665" t="n"/>
      <c r="H20" s="1665" t="n"/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6.5" customHeight="1" s="1666">
      <c r="A21" s="2295" t="inlineStr">
        <is>
          <t>Loisirs / sorties / restaurants</t>
        </is>
      </c>
      <c r="B21" s="2304" t="n">
        <v>50</v>
      </c>
      <c r="C21" s="2297" t="inlineStr">
        <is>
          <t>Mensuel</t>
        </is>
      </c>
      <c r="D21" s="2295" t="inlineStr">
        <is>
          <t>Très bas · Nunavik · Milieu $0-100</t>
        </is>
      </c>
      <c r="G21" s="1665" t="n"/>
      <c r="H21" s="1665" t="n"/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6.5" customHeight="1" s="1666">
      <c r="A22" s="2295" t="inlineStr">
        <is>
          <t>Voyages / vacances (÷12)</t>
        </is>
      </c>
      <c r="B22" s="2304" t="n">
        <v>42</v>
      </c>
      <c r="C22" s="2297" t="inlineStr">
        <is>
          <t>Mensuel</t>
        </is>
      </c>
      <c r="D22" s="2295" t="inlineStr">
        <is>
          <t>$500/an ÷ 12 · Budget conservateur confirmé</t>
        </is>
      </c>
      <c r="G22" s="1665" t="n"/>
      <c r="H22" s="1665" t="n"/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6.5" customHeight="1" s="1666">
      <c r="A23" s="2295" t="inlineStr">
        <is>
          <t>Vêtements / équipement</t>
        </is>
      </c>
      <c r="B23" s="2304" t="n">
        <v>50</v>
      </c>
      <c r="C23" s="2297" t="inlineStr">
        <is>
          <t>Mensuel</t>
        </is>
      </c>
      <c r="D23" s="2295" t="inlineStr">
        <is>
          <t>Moto, sport, divers · Milieu $0-100</t>
        </is>
      </c>
      <c r="G23" s="1665" t="n"/>
      <c r="H23" s="1665" t="n"/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6.5" customHeight="1" s="1666">
      <c r="A24" s="2305" t="inlineStr">
        <is>
          <t>TOTAL DÉPENSES /MOIS</t>
        </is>
      </c>
      <c r="B24" s="2306">
        <f>SUM(B12:B23)</f>
        <v/>
      </c>
      <c r="C24" s="2307" t="inlineStr">
        <is>
          <t>AUTO</t>
        </is>
      </c>
      <c r="D24" s="2305" t="inlineStr">
        <is>
          <t>← Somme toutes dépenses confirmées</t>
        </is>
      </c>
      <c r="G24" s="1665" t="n"/>
      <c r="H24" s="1665" t="n"/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G25" s="1665" t="n"/>
      <c r="H25" s="1665" t="n"/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21.75" customHeight="1" s="1666">
      <c r="A26" s="2293" t="inlineStr">
        <is>
          <t>📊  BILAN MENSUEL  ·  Disponible vs Plan structuré</t>
        </is>
      </c>
      <c r="G26" s="1665" t="n"/>
      <c r="H26" s="1665" t="n"/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" customHeight="1" s="1666">
      <c r="A27" s="2294" t="inlineStr">
        <is>
          <t>POSTE</t>
        </is>
      </c>
      <c r="B27" s="2294" t="inlineStr">
        <is>
          <t>MONTANT CAD</t>
        </is>
      </c>
      <c r="C27" s="2294" t="inlineStr">
        <is>
          <t>TYPE</t>
        </is>
      </c>
      <c r="D27" s="2294" t="inlineStr">
        <is>
          <t>NOTE</t>
        </is>
      </c>
      <c r="G27" s="1665" t="n"/>
      <c r="H27" s="1665" t="n"/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6.5" customHeight="1" s="1666">
      <c r="A28" s="2295" t="inlineStr">
        <is>
          <t>Revenu net total</t>
        </is>
      </c>
      <c r="B28" s="2304">
        <f>B8</f>
        <v/>
      </c>
      <c r="C28" s="2297" t="inlineStr">
        <is>
          <t>AUTO</t>
        </is>
      </c>
      <c r="D28" s="2295" t="inlineStr">
        <is>
          <t>← Depuis section revenus</t>
        </is>
      </c>
      <c r="G28" s="1665" t="n"/>
      <c r="H28" s="1665" t="n"/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6.5" customHeight="1" s="1666">
      <c r="A29" s="2295" t="inlineStr">
        <is>
          <t>Total dépenses</t>
        </is>
      </c>
      <c r="B29" s="2304">
        <f>B24</f>
        <v/>
      </c>
      <c r="C29" s="2297" t="inlineStr">
        <is>
          <t>AUTO</t>
        </is>
      </c>
      <c r="D29" s="2295" t="inlineStr">
        <is>
          <t>← Depuis section dépenses</t>
        </is>
      </c>
      <c r="G29" s="1665" t="n"/>
      <c r="H29" s="1665" t="n"/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6.5" customHeight="1" s="1666">
      <c r="A30" s="2298" t="inlineStr">
        <is>
          <t>DISPONIBLE RÉEL /MOIS</t>
        </is>
      </c>
      <c r="B30" s="2299">
        <f>B28-B29</f>
        <v/>
      </c>
      <c r="C30" s="2300" t="inlineStr">
        <is>
          <t>AUTO</t>
        </is>
      </c>
      <c r="D30" s="2298" t="inlineStr">
        <is>
          <t>← Ce qui reste vraiment · Confirmé ~$6,768/mois</t>
        </is>
      </c>
      <c r="G30" s="1665" t="n"/>
      <c r="H30" s="1665" t="n"/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G31" s="1665" t="n"/>
      <c r="H31" s="1665" t="n"/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6.5" customHeight="1" s="1666">
      <c r="A32" s="2308" t="inlineStr">
        <is>
          <t>─── PLAN STRUCTURÉ $5,000/MOIS ───</t>
        </is>
      </c>
      <c r="B32" s="2309" t="n"/>
      <c r="C32" s="2309" t="n"/>
      <c r="D32" s="2308" t="n"/>
      <c r="G32" s="1665" t="n"/>
      <c r="H32" s="1665" t="n"/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6.5" customHeight="1" s="1666">
      <c r="A33" s="2295" t="inlineStr">
        <is>
          <t>→ REER (SCHD)</t>
        </is>
      </c>
      <c r="B33" s="2304" t="n">
        <v>2000</v>
      </c>
      <c r="C33" s="2297" t="inlineStr">
        <is>
          <t>Mensuel 🔴</t>
        </is>
      </c>
      <c r="D33" s="2295" t="inlineStr">
        <is>
          <t>Priorité #1 · Snowball fiscal $1,060/mois ARC · 52.98%</t>
        </is>
      </c>
      <c r="G33" s="1665" t="n"/>
      <c r="H33" s="1665" t="n"/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6.5" customHeight="1" s="1666">
      <c r="A34" s="2295" t="inlineStr">
        <is>
          <t>→ FHSA (VFV.TO)</t>
        </is>
      </c>
      <c r="B34" s="2304" t="n">
        <v>1000</v>
      </c>
      <c r="C34" s="2297" t="inlineStr">
        <is>
          <t>Mensuel 🔴</t>
        </is>
      </c>
      <c r="D34" s="2295" t="inlineStr">
        <is>
          <t>Priorité #2 · Maison 2030 + déduction fiscale</t>
        </is>
      </c>
      <c r="G34" s="1665" t="n"/>
      <c r="H34" s="1665" t="n"/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6.5" customHeight="1" s="1666">
      <c r="A35" s="2295" t="inlineStr">
        <is>
          <t>→ TFSA (AVGO fractionnel)</t>
        </is>
      </c>
      <c r="B35" s="2304" t="n">
        <v>500</v>
      </c>
      <c r="C35" s="2297" t="inlineStr">
        <is>
          <t>Mensuel 🔴</t>
        </is>
      </c>
      <c r="D35" s="2295" t="inlineStr">
        <is>
          <t>Priorité #3 · Croissance T1 long terme</t>
        </is>
      </c>
      <c r="G35" s="1665" t="n"/>
      <c r="H35" s="1665" t="n"/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6.5" customHeight="1" s="1666">
      <c r="A36" s="2295" t="inlineStr">
        <is>
          <t>→ EQ Bank HISA</t>
        </is>
      </c>
      <c r="B36" s="2304" t="n">
        <v>1500</v>
      </c>
      <c r="C36" s="2297" t="inlineStr">
        <is>
          <t>Mensuel 🆕</t>
        </is>
      </c>
      <c r="D36" s="2295" t="inlineStr">
        <is>
          <t>Priorité #4 · Fonds urgence · $15K en 10 mois</t>
        </is>
      </c>
      <c r="G36" s="1665" t="n"/>
      <c r="H36" s="1665" t="n"/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6.5" customHeight="1" s="1666">
      <c r="A37" s="2298" t="inlineStr">
        <is>
          <t>TOTAL STRUCTURÉ</t>
        </is>
      </c>
      <c r="B37" s="2299">
        <f>SUM(B33:B36)</f>
        <v/>
      </c>
      <c r="C37" s="2300" t="inlineStr">
        <is>
          <t>AUTO</t>
        </is>
      </c>
      <c r="D37" s="2298" t="inlineStr">
        <is>
          <t>← Doit égaler $5,000</t>
        </is>
      </c>
      <c r="G37" s="1665" t="n"/>
      <c r="H37" s="1665" t="n"/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.75" customHeight="1" s="1666">
      <c r="G38" s="1665" t="n"/>
      <c r="H38" s="1665" t="n"/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6.5" customHeight="1" s="1666">
      <c r="A39" s="2301" t="inlineStr">
        <is>
          <t>SURPLUS LIBRE (non structuré)</t>
        </is>
      </c>
      <c r="B39" s="2310">
        <f>B30-B37</f>
        <v/>
      </c>
      <c r="C39" s="2303" t="inlineStr">
        <is>
          <t>AUTO</t>
        </is>
      </c>
      <c r="D39" s="2301" t="inlineStr">
        <is>
          <t>← Argent libre · vie / loisirs / imprévus · ~$1,768</t>
        </is>
      </c>
      <c r="G39" s="1665" t="n"/>
      <c r="H39" s="1665" t="n"/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6.5" customHeight="1" s="1666">
      <c r="A40" s="2295" t="inlineStr">
        <is>
          <t>Taux épargne structuré</t>
        </is>
      </c>
      <c r="B40" s="2311">
        <f>B37/B28</f>
        <v/>
      </c>
      <c r="C40" s="2297" t="inlineStr">
        <is>
          <t>AUTO</t>
        </is>
      </c>
      <c r="D40" s="2295" t="inlineStr">
        <is>
          <t>← % revenu net investi/épargné · Objectif &gt;60%</t>
        </is>
      </c>
      <c r="G40" s="1665" t="n"/>
      <c r="H40" s="1665" t="n"/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G41" s="1665" t="n"/>
      <c r="H41" s="1665" t="n"/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G42" s="1665" t="n"/>
      <c r="H42" s="1665" t="n"/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G43" s="1665" t="n"/>
      <c r="H43" s="1665" t="n"/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G44" s="1665" t="n"/>
      <c r="H44" s="1665" t="n"/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G45" s="1665" t="n"/>
      <c r="H45" s="1665" t="n"/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21.75" customHeight="1" s="1666">
      <c r="A46" s="2293" t="inlineStr">
        <is>
          <t>🏦  EQ BANK — TRACKER FONDS URGENCE</t>
        </is>
      </c>
      <c r="G46" s="1665" t="n"/>
      <c r="H46" s="1665" t="n"/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" customHeight="1" s="1666">
      <c r="A47" s="2294" t="inlineStr">
        <is>
          <t>POSTE</t>
        </is>
      </c>
      <c r="B47" s="2294" t="inlineStr">
        <is>
          <t>MONTANT CAD</t>
        </is>
      </c>
      <c r="C47" s="2294" t="inlineStr">
        <is>
          <t>TYPE</t>
        </is>
      </c>
      <c r="D47" s="2294" t="inlineStr">
        <is>
          <t>NOTE</t>
        </is>
      </c>
      <c r="G47" s="1665" t="n"/>
      <c r="H47" s="1665" t="n"/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6.5" customHeight="1" s="1666">
      <c r="A48" s="2312" t="inlineStr">
        <is>
          <t>Contribution mensuelle EQ Bank</t>
        </is>
      </c>
      <c r="B48" s="2296" t="n">
        <v>1500</v>
      </c>
      <c r="C48" s="2313" t="inlineStr">
        <is>
          <t>Mensuel</t>
        </is>
      </c>
      <c r="D48" s="2312" t="inlineStr">
        <is>
          <t>← Modifier si changement de plan</t>
        </is>
      </c>
      <c r="G48" s="1665" t="n"/>
      <c r="H48" s="1665" t="n"/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6.5" customHeight="1" s="1666">
      <c r="A49" s="2295" t="inlineStr">
        <is>
          <t>Objectif fonds urgence</t>
        </is>
      </c>
      <c r="B49" s="2304" t="n">
        <v>15000</v>
      </c>
      <c r="C49" s="2297" t="inlineStr">
        <is>
          <t>Cible</t>
        </is>
      </c>
      <c r="D49" s="2295" t="inlineStr">
        <is>
          <t>7 mois × $1,182 dépenses = $8,274 min · $15K cible confortable</t>
        </is>
      </c>
      <c r="G49" s="1665" t="n"/>
      <c r="H49" s="1665" t="n"/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6.5" customHeight="1" s="1666">
      <c r="A50" s="2295" t="inlineStr">
        <is>
          <t>Mois pour atteindre $15K</t>
        </is>
      </c>
      <c r="B50" s="2314">
        <f>B49/B48</f>
        <v/>
      </c>
      <c r="C50" s="2297" t="inlineStr">
        <is>
          <t>AUTO</t>
        </is>
      </c>
      <c r="D50" s="2295" t="inlineStr">
        <is>
          <t>← Au rythme actuel depuis $0</t>
        </is>
      </c>
      <c r="G50" s="1665" t="n"/>
      <c r="H50" s="1665" t="n"/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6.5" customHeight="1" s="1666">
      <c r="A51" s="2312" t="inlineStr">
        <is>
          <t>Solde actuel EQ Bank</t>
        </is>
      </c>
      <c r="B51" s="2296" t="n">
        <v>0</v>
      </c>
      <c r="C51" s="2313" t="inlineStr">
        <is>
          <t>MAJ manuellement</t>
        </is>
      </c>
      <c r="D51" s="2312" t="inlineStr">
        <is>
          <t>← Mettre à jour après chaque virement</t>
        </is>
      </c>
      <c r="G51" s="1665" t="n"/>
      <c r="H51" s="1665" t="n"/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6.5" customHeight="1" s="1666">
      <c r="A52" s="2295" t="inlineStr">
        <is>
          <t>Reste à accumuler</t>
        </is>
      </c>
      <c r="B52" s="2304">
        <f>MAX(0,B49-B51)</f>
        <v/>
      </c>
      <c r="C52" s="2297" t="inlineStr">
        <is>
          <t>AUTO</t>
        </is>
      </c>
      <c r="D52" s="2295" t="inlineStr">
        <is>
          <t>← $15,000 − solde actuel</t>
        </is>
      </c>
      <c r="G52" s="1665" t="n"/>
      <c r="H52" s="1665" t="n"/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G53" s="1665" t="n"/>
      <c r="H53" s="1665" t="n"/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21.75" customHeight="1" s="1666">
      <c r="A54" s="2293" t="inlineStr">
        <is>
          <t>🛡️  PROTECTION PERSONNELLE  ·  Statut S16</t>
        </is>
      </c>
      <c r="G54" s="1665" t="n"/>
      <c r="H54" s="1665" t="n"/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" customHeight="1" s="1666">
      <c r="A55" s="2294" t="inlineStr">
        <is>
          <t>POSTE</t>
        </is>
      </c>
      <c r="B55" s="2294" t="inlineStr">
        <is>
          <t>MONTANT CAD</t>
        </is>
      </c>
      <c r="C55" s="2294" t="inlineStr">
        <is>
          <t>TYPE</t>
        </is>
      </c>
      <c r="D55" s="2294" t="inlineStr">
        <is>
          <t>NOTE</t>
        </is>
      </c>
      <c r="G55" s="1665" t="n"/>
      <c r="H55" s="1665" t="n"/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6.5" customHeight="1" s="1666">
      <c r="A56" s="2295" t="inlineStr">
        <is>
          <t>Assurance invalidité</t>
        </is>
      </c>
      <c r="B56" s="2315" t="inlineStr">
        <is>
          <t>✅ COMPLÈTE</t>
        </is>
      </c>
      <c r="C56" s="2297" t="inlineStr">
        <is>
          <t>Employeur</t>
        </is>
      </c>
      <c r="D56" s="2295" t="inlineStr">
        <is>
          <t>Couverture 100% employeur Nunavik · Confirmé S16</t>
        </is>
      </c>
      <c r="G56" s="1665" t="n"/>
      <c r="H56" s="1665" t="n"/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6.5" customHeight="1" s="1666">
      <c r="A57" s="2295" t="inlineStr">
        <is>
          <t>Assurance vie</t>
        </is>
      </c>
      <c r="B57" s="2315" t="inlineStr">
        <is>
          <t>✅ DOUBLE</t>
        </is>
      </c>
      <c r="C57" s="2297" t="inlineStr">
        <is>
          <t>Empl. + Privée</t>
        </is>
      </c>
      <c r="D57" s="2295" t="inlineStr">
        <is>
          <t>Deux polices actives · Montants à documenter</t>
        </is>
      </c>
      <c r="G57" s="1665" t="n"/>
      <c r="H57" s="1665" t="n"/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6.5" customHeight="1" s="1666">
      <c r="A58" s="2295" t="inlineStr">
        <is>
          <t>Régime retraite employeur</t>
        </is>
      </c>
      <c r="B58" s="2316" t="inlineStr">
        <is>
          <t>⚠️ EN VÉRIF.</t>
        </is>
      </c>
      <c r="C58" s="2297" t="inlineStr">
        <is>
          <t>À confirmer</t>
        </is>
      </c>
      <c r="D58" s="2295" t="inlineStr">
        <is>
          <t>🔴 APPELER EMPLOYEUR — Impact sur room REER + calcul FI</t>
        </is>
      </c>
      <c r="G58" s="1665" t="n"/>
      <c r="H58" s="1665" t="n"/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6.5" customHeight="1" s="1666">
      <c r="A59" s="2295" t="inlineStr">
        <is>
          <t>Bénéficiaires TFSA</t>
        </is>
      </c>
      <c r="B59" s="2317" t="inlineStr">
        <is>
          <t>🔴 NON FAIT</t>
        </is>
      </c>
      <c r="C59" s="2297" t="inlineStr">
        <is>
          <t>URGENT</t>
        </is>
      </c>
      <c r="D59" s="2295" t="inlineStr">
        <is>
          <t>Questrade.com → Mon compte → Bénéficiaires → 30 min</t>
        </is>
      </c>
      <c r="G59" s="1665" t="n"/>
      <c r="H59" s="1665" t="n"/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6.5" customHeight="1" s="1666">
      <c r="A60" s="2295" t="inlineStr">
        <is>
          <t>Bénéficiaires REER</t>
        </is>
      </c>
      <c r="B60" s="2317" t="inlineStr">
        <is>
          <t>🔴 NON FAIT</t>
        </is>
      </c>
      <c r="C60" s="2297" t="inlineStr">
        <is>
          <t>URGENT</t>
        </is>
      </c>
      <c r="D60" s="2295" t="inlineStr">
        <is>
          <t>Sans désignation → succession → impôt immédiat sur 100%</t>
        </is>
      </c>
      <c r="G60" s="1665" t="n"/>
      <c r="H60" s="1665" t="n"/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6.5" customHeight="1" s="1666">
      <c r="A61" s="2295" t="inlineStr">
        <is>
          <t>Bénéficiaires FHSA</t>
        </is>
      </c>
      <c r="B61" s="2317" t="inlineStr">
        <is>
          <t>🔴 NON FAIT</t>
        </is>
      </c>
      <c r="C61" s="2297" t="inlineStr">
        <is>
          <t>URGENT</t>
        </is>
      </c>
      <c r="D61" s="2295" t="inlineStr">
        <is>
          <t>Même page Questrade · Faire les 3 en même temps</t>
        </is>
      </c>
      <c r="G61" s="1665" t="n"/>
      <c r="H61" s="1665" t="n"/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6.5" customHeight="1" s="1666">
      <c r="A62" s="2295" t="inlineStr">
        <is>
          <t>Testament</t>
        </is>
      </c>
      <c r="B62" s="2316" t="inlineStr">
        <is>
          <t>⬜ À VÉRIFIER</t>
        </is>
      </c>
      <c r="C62" s="2297" t="inlineStr">
        <is>
          <t>Non urgent</t>
        </is>
      </c>
      <c r="D62" s="2295" t="inlineStr">
        <is>
          <t>Pas de dépendants · Recommandé pour clarifier héritiers</t>
        </is>
      </c>
      <c r="G62" s="1665" t="n"/>
      <c r="H62" s="1665" t="n"/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G63" s="1665" t="n"/>
      <c r="H63" s="1665" t="n"/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G64" s="1665" t="n"/>
      <c r="H64" s="1665" t="n"/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21.75" customHeight="1" s="1666">
      <c r="A65" s="2293" t="inlineStr">
        <is>
          <t>🎯  OBJECTIFS CONFIRMÉS  ·  FI + Maison + Budget</t>
        </is>
      </c>
      <c r="G65" s="1665" t="n"/>
      <c r="H65" s="1665" t="n"/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" customHeight="1" s="1666">
      <c r="A66" s="2294" t="inlineStr">
        <is>
          <t>POSTE</t>
        </is>
      </c>
      <c r="B66" s="2294" t="inlineStr">
        <is>
          <t>MONTANT CAD</t>
        </is>
      </c>
      <c r="C66" s="2294" t="inlineStr">
        <is>
          <t>TYPE</t>
        </is>
      </c>
      <c r="D66" s="2294" t="inlineStr">
        <is>
          <t>NOTE</t>
        </is>
      </c>
      <c r="G66" s="1665" t="n"/>
      <c r="H66" s="1665" t="n"/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6.5" customHeight="1" s="1666">
      <c r="A67" s="2295" t="inlineStr">
        <is>
          <t>Objectif FI</t>
        </is>
      </c>
      <c r="B67" s="2318" t="inlineStr">
        <is>
          <t>$2,100,000 CAD</t>
        </is>
      </c>
      <c r="C67" s="2297" t="inlineStr">
        <is>
          <t>Règle 4%</t>
        </is>
      </c>
      <c r="D67" s="2295" t="inlineStr">
        <is>
          <t>$7,000/mois × 25 ans = $1.75M min · $2.1M = plancher</t>
        </is>
      </c>
      <c r="G67" s="1665" t="n"/>
      <c r="H67" s="1665" t="n"/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6.5" customHeight="1" s="1666">
      <c r="A68" s="2295" t="inlineStr">
        <is>
          <t>Âge FI cible</t>
        </is>
      </c>
      <c r="B68" s="2318" t="inlineStr">
        <is>
          <t>55 ans (2047)</t>
        </is>
      </c>
      <c r="C68" s="2297" t="inlineStr">
        <is>
          <t>21 ans</t>
        </is>
      </c>
      <c r="D68" s="2295" t="inlineStr">
        <is>
          <t>Confirmé S16 · FI = liberté · pas retraite obligatoire</t>
        </is>
      </c>
      <c r="G68" s="1665" t="n"/>
      <c r="H68" s="1665" t="n"/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6.5" customHeight="1" s="1666">
      <c r="A69" s="2295" t="inlineStr">
        <is>
          <t>Revenu FI mensuel visé</t>
        </is>
      </c>
      <c r="B69" s="2318" t="inlineStr">
        <is>
          <t>$7,000/mois</t>
        </is>
      </c>
      <c r="C69" s="2297" t="inlineStr">
        <is>
          <t>Post-impôts</t>
        </is>
      </c>
      <c r="D69" s="2295" t="inlineStr">
        <is>
          <t>Pouvoir d'achat 2026 · Ajuster inflation 2047</t>
        </is>
      </c>
      <c r="G69" s="1665" t="n"/>
      <c r="H69" s="1665" t="n"/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6.5" customHeight="1" s="1666">
      <c r="A70" s="2295" t="inlineStr">
        <is>
          <t>Budget maison</t>
        </is>
      </c>
      <c r="B70" s="2318" t="inlineStr">
        <is>
          <t>$400K-$500K CAD</t>
        </is>
      </c>
      <c r="C70" s="2297" t="inlineStr">
        <is>
          <t>2030+</t>
        </is>
      </c>
      <c r="D70" s="2295" t="inlineStr">
        <is>
          <t>Région non décidée · Solo · Achat indépendant</t>
        </is>
      </c>
      <c r="G70" s="1665" t="n"/>
      <c r="H70" s="1665" t="n"/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6.5" customHeight="1" s="1666">
      <c r="A71" s="2295" t="inlineStr">
        <is>
          <t>Mise de fonds maison</t>
        </is>
      </c>
      <c r="B71" s="2318" t="inlineStr">
        <is>
          <t>$100,000 CAD</t>
        </is>
      </c>
      <c r="C71" s="2297" t="inlineStr">
        <is>
          <t>Cible</t>
        </is>
      </c>
      <c r="D71" s="2295" t="inlineStr">
        <is>
          <t>FHSA $40K + RAP REER $60K · Sans toucher TFSA</t>
        </is>
      </c>
      <c r="G71" s="1665" t="n"/>
      <c r="H71" s="1665" t="n"/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6.5" customHeight="1" s="1666">
      <c r="A72" s="2295" t="inlineStr">
        <is>
          <t>EQ Bank fonds urgence</t>
        </is>
      </c>
      <c r="B72" s="2318" t="inlineStr">
        <is>
          <t>$15,000 CAD</t>
        </is>
      </c>
      <c r="C72" s="2297" t="inlineStr">
        <is>
          <t>~Jan 2027</t>
        </is>
      </c>
      <c r="D72" s="2295" t="inlineStr">
        <is>
          <t>$1,500/mois × 10 mois · ~10 mois au rythme actuel</t>
        </is>
      </c>
      <c r="G72" s="1665" t="n"/>
      <c r="H72" s="1665" t="n"/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6.5" customHeight="1" s="1666">
      <c r="A73" s="2295" t="inlineStr">
        <is>
          <t>Taux marginal Québec</t>
        </is>
      </c>
      <c r="B73" s="2318" t="inlineStr">
        <is>
          <t>52.98%</t>
        </is>
      </c>
      <c r="C73" s="2297" t="inlineStr">
        <is>
          <t>Confirmé</t>
        </is>
      </c>
      <c r="D73" s="2295" t="inlineStr">
        <is>
          <t>REER + FHSA = chaque dollar coûte $0.47 réellement</t>
        </is>
      </c>
      <c r="G73" s="1665" t="n"/>
      <c r="H73" s="1665" t="n"/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G74" s="1665" t="n"/>
      <c r="H74" s="1665" t="n"/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G75" s="1665" t="n"/>
      <c r="H75" s="1665" t="n"/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21.75" customHeight="1" s="1666">
      <c r="A76" s="2319" t="inlineStr">
        <is>
          <t>💡  BILAN : Revenu $7,950 · Dépenses $1,182 · Disponible $6,768 · Structuré $5,000 · Libre $1,768/mois · Taux épargne 63%</t>
        </is>
      </c>
      <c r="G76" s="1665" t="n"/>
      <c r="H76" s="1665" t="n"/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21.75" customHeight="1" s="1666">
      <c r="A77" s="2320" t="inlineStr">
        <is>
          <t>🔑  ACTION #1 CETTE SEMAINE : Ouvrir EQ Bank (eqbank.ca) → Dès que paie rentre → Virer $1,500 AVANT de toucher Questrade</t>
        </is>
      </c>
      <c r="G77" s="1665" t="n"/>
      <c r="H77" s="1665" t="n"/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21.75" customHeight="1" s="1666">
      <c r="A78" s="2321" t="inlineStr">
        <is>
          <t>🔑  ACTION #2 : Questrade → Bénéficiaires TFSA/REER/FHSA → 30 minutes · Protection légale immédiate</t>
        </is>
      </c>
      <c r="G78" s="1665" t="n"/>
      <c r="H78" s="1665" t="n"/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G79" s="1665" t="n"/>
      <c r="H79" s="1665" t="n"/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G80" s="1665" t="n"/>
      <c r="H80" s="1665" t="n"/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G81" s="1665" t="n"/>
      <c r="H81" s="1665" t="n"/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G82" s="1665" t="n"/>
      <c r="H82" s="1665" t="n"/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G83" s="1665" t="n"/>
      <c r="H83" s="1665" t="n"/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G84" s="1665" t="n"/>
      <c r="H84" s="1665" t="n"/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G85" s="1665" t="n"/>
      <c r="H85" s="1665" t="n"/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G86" s="1665" t="n"/>
      <c r="H86" s="1665" t="n"/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G87" s="1665" t="n"/>
      <c r="H87" s="1665" t="n"/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G88" s="1665" t="n"/>
      <c r="H88" s="1665" t="n"/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G89" s="1665" t="n"/>
      <c r="H89" s="1665" t="n"/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G90" s="1665" t="n"/>
      <c r="H90" s="1665" t="n"/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G91" s="1665" t="n"/>
      <c r="H91" s="1665" t="n"/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G92" s="1665" t="n"/>
      <c r="H92" s="1665" t="n"/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G93" s="1665" t="n"/>
      <c r="H93" s="1665" t="n"/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G94" s="1665" t="n"/>
      <c r="H94" s="1665" t="n"/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G95" s="1665" t="n"/>
      <c r="H95" s="1665" t="n"/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G96" s="1665" t="n"/>
      <c r="H96" s="1665" t="n"/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G97" s="1665" t="n"/>
      <c r="H97" s="1665" t="n"/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G98" s="1665" t="n"/>
      <c r="H98" s="1665" t="n"/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G99" s="1665" t="n"/>
      <c r="H99" s="1665" t="n"/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G100" s="1665" t="n"/>
      <c r="H100" s="1665" t="n"/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G101" s="1665" t="n"/>
      <c r="H101" s="1665" t="n"/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G102" s="1665" t="n"/>
      <c r="H102" s="1665" t="n"/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G103" s="1665" t="n"/>
      <c r="H103" s="1665" t="n"/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G104" s="1665" t="n"/>
      <c r="H104" s="1665" t="n"/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G105" s="1665" t="n"/>
      <c r="H105" s="1665" t="n"/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G106" s="1665" t="n"/>
      <c r="H106" s="1665" t="n"/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G107" s="1665" t="n"/>
      <c r="H107" s="1665" t="n"/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G108" s="1665" t="n"/>
      <c r="H108" s="1665" t="n"/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G109" s="1665" t="n"/>
      <c r="H109" s="1665" t="n"/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G110" s="1665" t="n"/>
      <c r="H110" s="1665" t="n"/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G111" s="1665" t="n"/>
      <c r="H111" s="1665" t="n"/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G112" s="1665" t="n"/>
      <c r="H112" s="1665" t="n"/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G113" s="1665" t="n"/>
      <c r="H113" s="1665" t="n"/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G114" s="1665" t="n"/>
      <c r="H114" s="1665" t="n"/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G115" s="1665" t="n"/>
      <c r="H115" s="1665" t="n"/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G116" s="1665" t="n"/>
      <c r="H116" s="1665" t="n"/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G117" s="1665" t="n"/>
      <c r="H117" s="1665" t="n"/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G118" s="1665" t="n"/>
      <c r="H118" s="1665" t="n"/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G119" s="1665" t="n"/>
      <c r="H119" s="1665" t="n"/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G120" s="1665" t="n"/>
      <c r="H120" s="1665" t="n"/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G121" s="1665" t="n"/>
      <c r="H121" s="1665" t="n"/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G122" s="1665" t="n"/>
      <c r="H122" s="1665" t="n"/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G123" s="1665" t="n"/>
      <c r="H123" s="1665" t="n"/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G124" s="1665" t="n"/>
      <c r="H124" s="1665" t="n"/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G125" s="1665" t="n"/>
      <c r="H125" s="1665" t="n"/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G126" s="1665" t="n"/>
      <c r="H126" s="1665" t="n"/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G127" s="1665" t="n"/>
      <c r="H127" s="1665" t="n"/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G128" s="1665" t="n"/>
      <c r="H128" s="1665" t="n"/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G129" s="1665" t="n"/>
      <c r="H129" s="1665" t="n"/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G130" s="1665" t="n"/>
      <c r="H130" s="1665" t="n"/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G131" s="1665" t="n"/>
      <c r="H131" s="1665" t="n"/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G132" s="1665" t="n"/>
      <c r="H132" s="1665" t="n"/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G133" s="1665" t="n"/>
      <c r="H133" s="1665" t="n"/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G134" s="1665" t="n"/>
      <c r="H134" s="1665" t="n"/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G135" s="1665" t="n"/>
      <c r="H135" s="1665" t="n"/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G136" s="1665" t="n"/>
      <c r="H136" s="1665" t="n"/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G137" s="1665" t="n"/>
      <c r="H137" s="1665" t="n"/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G138" s="1665" t="n"/>
      <c r="H138" s="1665" t="n"/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G139" s="1665" t="n"/>
      <c r="H139" s="1665" t="n"/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G140" s="1665" t="n"/>
      <c r="H140" s="1665" t="n"/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G141" s="1665" t="n"/>
      <c r="H141" s="1665" t="n"/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G142" s="1665" t="n"/>
      <c r="H142" s="1665" t="n"/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G143" s="1665" t="n"/>
      <c r="H143" s="1665" t="n"/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G144" s="1665" t="n"/>
      <c r="H144" s="1665" t="n"/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G145" s="1665" t="n"/>
      <c r="H145" s="1665" t="n"/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G146" s="1665" t="n"/>
      <c r="H146" s="1665" t="n"/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G147" s="1665" t="n"/>
      <c r="H147" s="1665" t="n"/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G148" s="1665" t="n"/>
      <c r="H148" s="1665" t="n"/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G149" s="1665" t="n"/>
      <c r="H149" s="1665" t="n"/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G150" s="1665" t="n"/>
      <c r="H150" s="1665" t="n"/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G151" s="1665" t="n"/>
      <c r="H151" s="1665" t="n"/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G152" s="1665" t="n"/>
      <c r="H152" s="1665" t="n"/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G153" s="1665" t="n"/>
      <c r="H153" s="1665" t="n"/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G154" s="1665" t="n"/>
      <c r="H154" s="1665" t="n"/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G155" s="1665" t="n"/>
      <c r="H155" s="1665" t="n"/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G156" s="1665" t="n"/>
      <c r="H156" s="1665" t="n"/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G157" s="1665" t="n"/>
      <c r="H157" s="1665" t="n"/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G158" s="1665" t="n"/>
      <c r="H158" s="1665" t="n"/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G159" s="1665" t="n"/>
      <c r="H159" s="1665" t="n"/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G160" s="1665" t="n"/>
      <c r="H160" s="1665" t="n"/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G161" s="1665" t="n"/>
      <c r="H161" s="1665" t="n"/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G162" s="1665" t="n"/>
      <c r="H162" s="1665" t="n"/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G163" s="1665" t="n"/>
      <c r="H163" s="1665" t="n"/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G164" s="1665" t="n"/>
      <c r="H164" s="1665" t="n"/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G165" s="1665" t="n"/>
      <c r="H165" s="1665" t="n"/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G166" s="1665" t="n"/>
      <c r="H166" s="1665" t="n"/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G167" s="1665" t="n"/>
      <c r="H167" s="1665" t="n"/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G168" s="1665" t="n"/>
      <c r="H168" s="1665" t="n"/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G169" s="1665" t="n"/>
      <c r="H169" s="1665" t="n"/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G170" s="1665" t="n"/>
      <c r="H170" s="1665" t="n"/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G171" s="1665" t="n"/>
      <c r="H171" s="1665" t="n"/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G172" s="1665" t="n"/>
      <c r="H172" s="1665" t="n"/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G173" s="1665" t="n"/>
      <c r="H173" s="1665" t="n"/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G174" s="1665" t="n"/>
      <c r="H174" s="1665" t="n"/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G175" s="1665" t="n"/>
      <c r="H175" s="1665" t="n"/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G176" s="1665" t="n"/>
      <c r="H176" s="1665" t="n"/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G177" s="1665" t="n"/>
      <c r="H177" s="1665" t="n"/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G178" s="1665" t="n"/>
      <c r="H178" s="1665" t="n"/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G179" s="1665" t="n"/>
      <c r="H179" s="1665" t="n"/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G180" s="1665" t="n"/>
      <c r="H180" s="1665" t="n"/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G181" s="1665" t="n"/>
      <c r="H181" s="1665" t="n"/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G182" s="1665" t="n"/>
      <c r="H182" s="1665" t="n"/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G183" s="1665" t="n"/>
      <c r="H183" s="1665" t="n"/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G184" s="1665" t="n"/>
      <c r="H184" s="1665" t="n"/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G185" s="1665" t="n"/>
      <c r="H185" s="1665" t="n"/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G186" s="1665" t="n"/>
      <c r="H186" s="1665" t="n"/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G187" s="1665" t="n"/>
      <c r="H187" s="1665" t="n"/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G188" s="1665" t="n"/>
      <c r="H188" s="1665" t="n"/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G189" s="1665" t="n"/>
      <c r="H189" s="1665" t="n"/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G190" s="1665" t="n"/>
      <c r="H190" s="1665" t="n"/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G191" s="1665" t="n"/>
      <c r="H191" s="1665" t="n"/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G192" s="1665" t="n"/>
      <c r="H192" s="1665" t="n"/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G193" s="1665" t="n"/>
      <c r="H193" s="1665" t="n"/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G194" s="1665" t="n"/>
      <c r="H194" s="1665" t="n"/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G195" s="1665" t="n"/>
      <c r="H195" s="1665" t="n"/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G196" s="1665" t="n"/>
      <c r="H196" s="1665" t="n"/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G197" s="1665" t="n"/>
      <c r="H197" s="1665" t="n"/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G198" s="1665" t="n"/>
      <c r="H198" s="1665" t="n"/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G199" s="1665" t="n"/>
      <c r="H199" s="1665" t="n"/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G200" s="1665" t="n"/>
      <c r="H200" s="1665" t="n"/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G201" s="1665" t="n"/>
      <c r="H201" s="1665" t="n"/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G202" s="1665" t="n"/>
      <c r="H202" s="1665" t="n"/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G203" s="1665" t="n"/>
      <c r="H203" s="1665" t="n"/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G204" s="1665" t="n"/>
      <c r="H204" s="1665" t="n"/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G205" s="1665" t="n"/>
      <c r="H205" s="1665" t="n"/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G206" s="1665" t="n"/>
      <c r="H206" s="1665" t="n"/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G207" s="1665" t="n"/>
      <c r="H207" s="1665" t="n"/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G208" s="1665" t="n"/>
      <c r="H208" s="1665" t="n"/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G209" s="1665" t="n"/>
      <c r="H209" s="1665" t="n"/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G210" s="1665" t="n"/>
      <c r="H210" s="1665" t="n"/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G211" s="1665" t="n"/>
      <c r="H211" s="1665" t="n"/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G212" s="1665" t="n"/>
      <c r="H212" s="1665" t="n"/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G213" s="1665" t="n"/>
      <c r="H213" s="1665" t="n"/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G214" s="1665" t="n"/>
      <c r="H214" s="1665" t="n"/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G215" s="1665" t="n"/>
      <c r="H215" s="1665" t="n"/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G216" s="1665" t="n"/>
      <c r="H216" s="1665" t="n"/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G217" s="1665" t="n"/>
      <c r="H217" s="1665" t="n"/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G218" s="1665" t="n"/>
      <c r="H218" s="1665" t="n"/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G219" s="1665" t="n"/>
      <c r="H219" s="1665" t="n"/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G220" s="1665" t="n"/>
      <c r="H220" s="1665" t="n"/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G221" s="1665" t="n"/>
      <c r="H221" s="1665" t="n"/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G222" s="1665" t="n"/>
      <c r="H222" s="1665" t="n"/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G223" s="1665" t="n"/>
      <c r="H223" s="1665" t="n"/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G224" s="1665" t="n"/>
      <c r="H224" s="1665" t="n"/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G225" s="1665" t="n"/>
      <c r="H225" s="1665" t="n"/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G226" s="1665" t="n"/>
      <c r="H226" s="1665" t="n"/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G227" s="1665" t="n"/>
      <c r="H227" s="1665" t="n"/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G228" s="1665" t="n"/>
      <c r="H228" s="1665" t="n"/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G229" s="1665" t="n"/>
      <c r="H229" s="1665" t="n"/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G230" s="1665" t="n"/>
      <c r="H230" s="1665" t="n"/>
      <c r="I230" s="1665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G231" s="1665" t="n"/>
      <c r="H231" s="1665" t="n"/>
      <c r="I231" s="1665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G232" s="1665" t="n"/>
      <c r="H232" s="1665" t="n"/>
      <c r="I232" s="1665" t="n"/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G233" s="1665" t="n"/>
      <c r="H233" s="1665" t="n"/>
      <c r="I233" s="1665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G234" s="1665" t="n"/>
      <c r="H234" s="1665" t="n"/>
      <c r="I234" s="1665" t="n"/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G235" s="1665" t="n"/>
      <c r="H235" s="1665" t="n"/>
      <c r="I235" s="1665" t="n"/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G236" s="1665" t="n"/>
      <c r="H236" s="1665" t="n"/>
      <c r="I236" s="1665" t="n"/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G237" s="1665" t="n"/>
      <c r="H237" s="1665" t="n"/>
      <c r="I237" s="1665" t="n"/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G238" s="1665" t="n"/>
      <c r="H238" s="1665" t="n"/>
      <c r="I238" s="1665" t="n"/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G239" s="1665" t="n"/>
      <c r="H239" s="1665" t="n"/>
      <c r="I239" s="1665" t="n"/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G240" s="1665" t="n"/>
      <c r="H240" s="1665" t="n"/>
      <c r="I240" s="1665" t="n"/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G241" s="1665" t="n"/>
      <c r="H241" s="1665" t="n"/>
      <c r="I241" s="1665" t="n"/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G242" s="1665" t="n"/>
      <c r="H242" s="1665" t="n"/>
      <c r="I242" s="1665" t="n"/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G243" s="1665" t="n"/>
      <c r="H243" s="1665" t="n"/>
      <c r="I243" s="1665" t="n"/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G244" s="1665" t="n"/>
      <c r="H244" s="1665" t="n"/>
      <c r="I244" s="1665" t="n"/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G245" s="1665" t="n"/>
      <c r="H245" s="1665" t="n"/>
      <c r="I245" s="1665" t="n"/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G246" s="1665" t="n"/>
      <c r="H246" s="1665" t="n"/>
      <c r="I246" s="1665" t="n"/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G247" s="1665" t="n"/>
      <c r="H247" s="1665" t="n"/>
      <c r="I247" s="1665" t="n"/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G248" s="1665" t="n"/>
      <c r="H248" s="1665" t="n"/>
      <c r="I248" s="1665" t="n"/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G249" s="1665" t="n"/>
      <c r="H249" s="1665" t="n"/>
      <c r="I249" s="1665" t="n"/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G250" s="1665" t="n"/>
      <c r="H250" s="1665" t="n"/>
      <c r="I250" s="1665" t="n"/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G251" s="1665" t="n"/>
      <c r="H251" s="1665" t="n"/>
      <c r="I251" s="1665" t="n"/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G252" s="1665" t="n"/>
      <c r="H252" s="1665" t="n"/>
      <c r="I252" s="1665" t="n"/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G253" s="1665" t="n"/>
      <c r="H253" s="1665" t="n"/>
      <c r="I253" s="1665" t="n"/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G254" s="1665" t="n"/>
      <c r="H254" s="1665" t="n"/>
      <c r="I254" s="1665" t="n"/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G255" s="1665" t="n"/>
      <c r="H255" s="1665" t="n"/>
      <c r="I255" s="1665" t="n"/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G256" s="1665" t="n"/>
      <c r="H256" s="1665" t="n"/>
      <c r="I256" s="1665" t="n"/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G257" s="1665" t="n"/>
      <c r="H257" s="1665" t="n"/>
      <c r="I257" s="1665" t="n"/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G258" s="1665" t="n"/>
      <c r="H258" s="1665" t="n"/>
      <c r="I258" s="1665" t="n"/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G259" s="1665" t="n"/>
      <c r="H259" s="1665" t="n"/>
      <c r="I259" s="1665" t="n"/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G260" s="1665" t="n"/>
      <c r="H260" s="1665" t="n"/>
      <c r="I260" s="1665" t="n"/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G261" s="1665" t="n"/>
      <c r="H261" s="1665" t="n"/>
      <c r="I261" s="1665" t="n"/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G262" s="1665" t="n"/>
      <c r="H262" s="1665" t="n"/>
      <c r="I262" s="1665" t="n"/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G263" s="1665" t="n"/>
      <c r="H263" s="1665" t="n"/>
      <c r="I263" s="1665" t="n"/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G264" s="1665" t="n"/>
      <c r="H264" s="1665" t="n"/>
      <c r="I264" s="1665" t="n"/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G265" s="1665" t="n"/>
      <c r="H265" s="1665" t="n"/>
      <c r="I265" s="1665" t="n"/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G266" s="1665" t="n"/>
      <c r="H266" s="1665" t="n"/>
      <c r="I266" s="1665" t="n"/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G267" s="1665" t="n"/>
      <c r="H267" s="1665" t="n"/>
      <c r="I267" s="1665" t="n"/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G268" s="1665" t="n"/>
      <c r="H268" s="1665" t="n"/>
      <c r="I268" s="1665" t="n"/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G269" s="1665" t="n"/>
      <c r="H269" s="1665" t="n"/>
      <c r="I269" s="1665" t="n"/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G270" s="1665" t="n"/>
      <c r="H270" s="1665" t="n"/>
      <c r="I270" s="1665" t="n"/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G271" s="1665" t="n"/>
      <c r="H271" s="1665" t="n"/>
      <c r="I271" s="1665" t="n"/>
      <c r="J271" s="1665" t="n"/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G272" s="1665" t="n"/>
      <c r="H272" s="1665" t="n"/>
      <c r="I272" s="1665" t="n"/>
      <c r="J272" s="1665" t="n"/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G273" s="1665" t="n"/>
      <c r="H273" s="1665" t="n"/>
      <c r="I273" s="1665" t="n"/>
      <c r="J273" s="1665" t="n"/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G274" s="1665" t="n"/>
      <c r="H274" s="1665" t="n"/>
      <c r="I274" s="1665" t="n"/>
      <c r="J274" s="1665" t="n"/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G275" s="1665" t="n"/>
      <c r="H275" s="1665" t="n"/>
      <c r="I275" s="1665" t="n"/>
      <c r="J275" s="1665" t="n"/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G276" s="1665" t="n"/>
      <c r="H276" s="1665" t="n"/>
      <c r="I276" s="1665" t="n"/>
      <c r="J276" s="1665" t="n"/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G277" s="1665" t="n"/>
      <c r="H277" s="1665" t="n"/>
      <c r="I277" s="1665" t="n"/>
      <c r="J277" s="1665" t="n"/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G278" s="1665" t="n"/>
      <c r="H278" s="1665" t="n"/>
      <c r="I278" s="1665" t="n"/>
      <c r="J278" s="1665" t="n"/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11">
    <mergeCell ref="A1:D1"/>
    <mergeCell ref="A77:D77"/>
    <mergeCell ref="A4:D4"/>
    <mergeCell ref="A78:D78"/>
    <mergeCell ref="A26:D26"/>
    <mergeCell ref="A54:D54"/>
    <mergeCell ref="A65:D65"/>
    <mergeCell ref="A2:D2"/>
    <mergeCell ref="A10:D10"/>
    <mergeCell ref="A46:D46"/>
    <mergeCell ref="A76:D7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Z2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8" customWidth="1" style="1665" min="1" max="1"/>
    <col width="20" customWidth="1" style="1665" min="2" max="5"/>
    <col width="28" customWidth="1" style="1665" min="6" max="6"/>
    <col width="20" customWidth="1" style="1665" min="7" max="7"/>
  </cols>
  <sheetData>
    <row r="1" ht="31.5" customHeight="1" s="1666">
      <c r="A1" s="2322">
        <f>"📊  ANALYSE PROFESSIONNELLE  ·  "&amp;TEXT(TODAY(),"DD MMMM YYYY")&amp;"  ·  CONFIDENTIEL — CONSEILLER FINANCIER"</f>
        <v/>
      </c>
      <c r="H1" s="1665" t="n"/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21.75" customHeight="1" s="1666">
      <c r="A2" s="2323">
        <f>"Total portfolio: $"&amp;TEXT('📈 PORTEFEUILLE'!C11,"#,##0")&amp;" CAD  ·  Gain total: +"&amp;TEXT('📈 PORTEFEUILLE'!N11,"#,##0")&amp;" ("&amp;TEXT('📈 PORTEFEUILLE'!G11,"0.0%")")  ·  USD/CAD: "&amp;TEXT(CONFIG!B3,"0.0000")  ·  Auto-calculé — Source: 📈 PORTEFEUILLE"</f>
        <v/>
      </c>
      <c r="H2" s="1665" t="n"/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H3" s="1665" t="n"/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21.75" customHeight="1" s="1666">
      <c r="A4" s="2324" t="inlineStr">
        <is>
          <t>🎯  SCORECARD EXÉCUTIF</t>
        </is>
      </c>
      <c r="H4" s="1665" t="n"/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.75" customHeight="1" s="1666">
      <c r="A5" s="2325" t="inlineStr">
        <is>
          <t>MÉTRIQUE</t>
        </is>
      </c>
      <c r="B5" s="2325" t="inlineStr">
        <is>
          <t>VALEUR</t>
        </is>
      </c>
      <c r="C5" s="2325" t="inlineStr">
        <is>
          <t>CIBLE</t>
        </is>
      </c>
      <c r="D5" s="2325" t="inlineStr">
        <is>
          <t>STATUT</t>
        </is>
      </c>
      <c r="E5" s="2325" t="inlineStr">
        <is>
          <t>COMMENTAIRE CONSEILLER</t>
        </is>
      </c>
      <c r="H5" s="1665" t="n"/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5.75" customHeight="1" s="1666">
      <c r="A6" s="2326" t="inlineStr">
        <is>
          <t>Portfolio Total CAD</t>
        </is>
      </c>
      <c r="B6" s="2327">
        <f>TEXT('📈 PORTEFEUILLE'!C11,"$#,##0")</f>
        <v/>
      </c>
      <c r="C6" s="2327" t="inlineStr">
        <is>
          <t>$87,252 (ATH)</t>
        </is>
      </c>
      <c r="D6" s="2327">
        <f>IF('📈 PORTEFEUILLE'!C11&gt;87252,"🟢 NOUVEL ATH","🟡 "&amp;TEXT(87252-'📈 PORTEFEUILLE'!C11,"$#,##0")&amp;" de l'ATH")</f>
        <v/>
      </c>
      <c r="E6" s="2327" t="inlineStr">
        <is>
          <t>Correction mineure post-ATH 10 mars. Normale.</t>
        </is>
      </c>
      <c r="H6" s="1665" t="n"/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5.75" customHeight="1" s="1666">
      <c r="A7" s="2328" t="inlineStr">
        <is>
          <t>Gain total (investi)</t>
        </is>
      </c>
      <c r="B7" s="2329">
        <f>TEXT('📈 PORTEFEUILLE'!N11,"$#,##0")&amp;" / "&amp;TEXT('📈 PORTEFEUILLE'!G11,"0.0%")</f>
        <v/>
      </c>
      <c r="C7" s="2329" t="inlineStr">
        <is>
          <t>&gt;15%</t>
        </is>
      </c>
      <c r="D7" s="2329">
        <f>IF('📈 PORTEFEUILLE'!G11&gt;0.15,"✅ SOLIDE","🟡 SOUS CIBLE")</f>
        <v/>
      </c>
      <c r="E7" s="2329" t="inlineStr">
        <is>
          <t>Performance supérieure au benchmark VFV.TO sur même période</t>
        </is>
      </c>
      <c r="H7" s="1665" t="n"/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5.75" customHeight="1" s="1666">
      <c r="A8" s="2328" t="inlineStr">
        <is>
          <t>Expo USD</t>
        </is>
      </c>
      <c r="B8" s="2329">
        <f>TEXT(CONFIG!B32,"0.0%")</f>
        <v/>
      </c>
      <c r="C8" s="2329" t="inlineStr">
        <is>
          <t>≤65%</t>
        </is>
      </c>
      <c r="D8" s="2329">
        <f>CONFIG!B47</f>
        <v/>
      </c>
      <c r="E8" s="2329" t="inlineStr">
        <is>
          <t>Bien dans les limites. Marge $17,900 avant alerte.</t>
        </is>
      </c>
      <c r="H8" s="1665" t="n"/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.75" customHeight="1" s="1666">
      <c r="A9" s="2328" t="inlineStr">
        <is>
          <t>Expo IA estimée</t>
        </is>
      </c>
      <c r="B9" s="2329">
        <f>TEXT(CONFIG!B31,"0.0%")</f>
        <v/>
      </c>
      <c r="C9" s="2329" t="inlineStr">
        <is>
          <t>≤45%</t>
        </is>
      </c>
      <c r="D9" s="2329">
        <f>IF(CONFIG!B31&gt;0.45,"🔴 DÉPASSE 45%",IF(CONFIG!B31&gt;0.4,"🟡 PROCHE","✅ OK"))</f>
        <v/>
      </c>
      <c r="E9" s="2329" t="inlineStr">
        <is>
          <t>Inclut SMH, AVGO, NVDA, QQQM, GEV, QTUM</t>
        </is>
      </c>
      <c r="H9" s="1665" t="n"/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5.75" customHeight="1" s="1666">
      <c r="A10" s="2328" t="inlineStr">
        <is>
          <t>Tier 1 (conviction max)</t>
        </is>
      </c>
      <c r="B10" s="2329">
        <f>"T1: "&amp;TEXT(SUMIF('📋 MON PORTEFEUILLE'!D5:D43,"T1",'📋 MON PORTEFEUILLE'!J5:J43)/'📈 PORTEFEUILLE'!C11,"0.0%")&amp;" / "&amp;TEXT(SUMIF('📋 MON PORTEFEUILLE'!D5:D43,"T1",'📋 MON PORTEFEUILLE'!J5:J43),"$#,##0")</f>
        <v/>
      </c>
      <c r="C10" s="2329" t="inlineStr">
        <is>
          <t>&gt;50%</t>
        </is>
      </c>
      <c r="D10" s="2329">
        <f>IF(SUMIF('📋 MON PORTEFEUILLE'!D5:D43,"T1",'📋 MON PORTEFEUILLE'!J5:J43)/'📈 PORTEFEUILLE'!C11&gt;0.5,"✅ CIBLE ATTEINTE","🟡 SOUS 50%")</f>
        <v/>
      </c>
      <c r="E10" s="2329" t="inlineStr">
        <is>
          <t>Excellente concentration sur les meilleures idées</t>
        </is>
      </c>
      <c r="H10" s="1665" t="n"/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.75" customHeight="1" s="1666">
      <c r="A11" s="2328" t="inlineStr">
        <is>
          <t>Tier 4 (dilution)</t>
        </is>
      </c>
      <c r="B11" s="2329">
        <f>"T4: "&amp;TEXT(SUMIF('📋 MON PORTEFEUILLE'!D5:D43,"T4",'📋 MON PORTEFEUILLE'!J5:J43)/'📈 PORTEFEUILLE'!C11,"0.0%")&amp;" / "&amp;TEXT(SUMIF('📋 MON PORTEFEUILLE'!D5:D43,"T4",'📋 MON PORTEFEUILLE'!J5:J43),"$#,##0")</f>
        <v/>
      </c>
      <c r="C11" s="2329" t="inlineStr">
        <is>
          <t>&lt;15%</t>
        </is>
      </c>
      <c r="D11" s="2329">
        <f>IF(SUMIF('📋 MON PORTEFEUILLE'!D5:D43,"T4",'📋 MON PORTEFEUILLE'!J5:J43)/'📈 PORTEFEUILLE'!C11&lt;0.15,"✅ BON","🟡 À DILUER")</f>
        <v/>
      </c>
      <c r="E11" s="2329" t="inlineStr">
        <is>
          <t>REITs + ETFs défensifs: rôle cushion rempli</t>
        </is>
      </c>
      <c r="H11" s="1665" t="n"/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5.75" customHeight="1" s="1666">
      <c r="A12" s="2328" t="inlineStr">
        <is>
          <t>Dividendes /an</t>
        </is>
      </c>
      <c r="B12" s="2329">
        <f>TEXT(SUM('📋 MON PORTEFEUILLE'!P5:P43),"$#,##0")&amp;" CAD"</f>
        <v/>
      </c>
      <c r="C12" s="2329" t="inlineStr">
        <is>
          <t>Croissant</t>
        </is>
      </c>
      <c r="D12" s="2329" t="inlineStr">
        <is>
          <t>✅ OK</t>
        </is>
      </c>
      <c r="E12" s="2329" t="inlineStr">
        <is>
          <t>$160/mois — surtout T.TO, XEI, SRU.UN, ENB, TD</t>
        </is>
      </c>
      <c r="H12" s="1665" t="n"/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5.75" customHeight="1" s="1666">
      <c r="A13" s="2330" t="inlineStr">
        <is>
          <t>Fonds urgence HISA</t>
        </is>
      </c>
      <c r="B13" s="2331">
        <f>TEXT(CONFIG!B25,"$#,##0")</f>
        <v/>
      </c>
      <c r="C13" s="2331" t="inlineStr">
        <is>
          <t>$0 → $1,500/mois planifié</t>
        </is>
      </c>
      <c r="D13" s="2331">
        <f>IF(CONFIG!B25&gt;=15000,"✅ ATTEINT",IF(CONFIG!B25&gt;0,"🟡 EN COURS","🔴 CRITIQUE"))</f>
        <v/>
      </c>
      <c r="E13" s="2331" t="inlineStr">
        <is>
          <t>🟡 EN COURS — Prochaine paie → $1,500 EQ Bank EN PREMIER</t>
        </is>
      </c>
      <c r="H13" s="1665" t="n"/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5.75" customHeight="1" s="1666">
      <c r="A14" s="2326" t="inlineStr">
        <is>
          <t>FHSA room restant</t>
        </is>
      </c>
      <c r="B14" s="2327">
        <f>TEXT(CONFIG!B7,"$#,##0")</f>
        <v/>
      </c>
      <c r="C14" s="2327" t="inlineStr">
        <is>
          <t>Maximiser</t>
        </is>
      </c>
      <c r="D14" s="2327">
        <f>IF(CONFIG!B7&lt;1000,"⚠️ QUASI PLEIN",IF(CONFIG!B7&lt;4000,"🟡 ACTION","✅ OK"))</f>
        <v/>
      </c>
      <c r="E14" s="2327" t="inlineStr">
        <is>
          <t>BdC 18 mars → opportunité achat VFV.TO pré-baisse taux</t>
        </is>
      </c>
      <c r="H14" s="1665" t="n"/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5.75" customHeight="1" s="1666">
      <c r="A15" s="2330" t="inlineStr">
        <is>
          <t>Contributions auto</t>
        </is>
      </c>
      <c r="B15" s="2331" t="inlineStr">
        <is>
          <t>NON</t>
        </is>
      </c>
      <c r="C15" s="2331" t="inlineStr">
        <is>
          <t>$5,000/mois structuré</t>
        </is>
      </c>
      <c r="D15" s="2331" t="inlineStr">
        <is>
          <t>🔴 RISQUE</t>
        </is>
      </c>
      <c r="E15" s="2331" t="inlineStr">
        <is>
          <t>🟡 À AUTOMATISER avant 15 avril</t>
        </is>
      </c>
      <c r="H15" s="1665" t="n"/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5" customHeight="1" s="1666">
      <c r="H16" s="1665" t="n"/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21.75" customHeight="1" s="1666">
      <c r="A17" s="2332" t="inlineStr">
        <is>
          <t>⚠️  ANALYSE CONCENTRATION  ·  Top positions &amp; risques</t>
        </is>
      </c>
      <c r="H17" s="1665" t="n"/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5.75" customHeight="1" s="1666">
      <c r="A18" s="2325" t="inlineStr">
        <is>
          <t>TICKER</t>
        </is>
      </c>
      <c r="B18" s="2325" t="inlineStr">
        <is>
          <t>COMPTE</t>
        </is>
      </c>
      <c r="C18" s="2325" t="inlineStr">
        <is>
          <t>VALEUR CAD</t>
        </is>
      </c>
      <c r="D18" s="2325" t="inlineStr">
        <is>
          <t>% PORT.</t>
        </is>
      </c>
      <c r="E18" s="2325" t="inlineStr">
        <is>
          <t>SEUIL ALERTE</t>
        </is>
      </c>
      <c r="F18" s="2325" t="inlineStr">
        <is>
          <t>VERDICT CONSEILLER</t>
        </is>
      </c>
      <c r="H18" s="1665" t="n"/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5.75" customHeight="1" s="1666">
      <c r="A19" s="2333" t="inlineStr">
        <is>
          <t>VFV.TO</t>
        </is>
      </c>
      <c r="B19" s="2334" t="inlineStr">
        <is>
          <t>TFSA</t>
        </is>
      </c>
      <c r="C19" s="2334">
        <f>TEXT('📋 MON PORTEFEUILLE'!J5,"$#,##0")</f>
        <v/>
      </c>
      <c r="D19" s="2334">
        <f>TEXT('📋 MON PORTEFEUILLE'!J5/'📈 PORTEFEUILLE'!C11,"0.0%")</f>
        <v/>
      </c>
      <c r="E19" s="2334" t="inlineStr">
        <is>
          <t>&lt;25%</t>
        </is>
      </c>
      <c r="F19" s="2334" t="inlineStr">
        <is>
          <t>✅ Acceptable. Exposition S&amp;P500 diversifiée par nature.</t>
        </is>
      </c>
      <c r="H19" s="1665" t="n"/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5.75" customHeight="1" s="1666">
      <c r="A20" s="2335" t="inlineStr">
        <is>
          <t>TD.TO</t>
        </is>
      </c>
      <c r="B20" s="2331" t="inlineStr">
        <is>
          <t>TFSA</t>
        </is>
      </c>
      <c r="C20" s="2331">
        <f>TEXT('📋 MON PORTEFEUILLE'!J6,"$#,##0")</f>
        <v/>
      </c>
      <c r="D20" s="2331">
        <f>TEXT('📋 MON PORTEFEUILLE'!J6/'📈 PORTEFEUILLE'!C11,"0.0%")</f>
        <v/>
      </c>
      <c r="E20" s="2331" t="inlineStr">
        <is>
          <t>&lt;10% T3 idéalement</t>
        </is>
      </c>
      <c r="F20" s="2331" t="inlineStr">
        <is>
          <t>⚠️ SURPONDÉRÉ pour un T3. Ne plus acheter. Diluer naturellement.</t>
        </is>
      </c>
      <c r="H20" s="1665" t="n"/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5.75" customHeight="1" s="1666">
      <c r="A21" s="2333" t="inlineStr">
        <is>
          <t>SMH</t>
        </is>
      </c>
      <c r="B21" s="2334" t="inlineStr">
        <is>
          <t>TFSA</t>
        </is>
      </c>
      <c r="C21" s="2334">
        <f>TEXT('📋 MON PORTEFEUILLE'!J7,"$#,##0")</f>
        <v/>
      </c>
      <c r="D21" s="2334">
        <f>TEXT('📋 MON PORTEFEUILLE'!J7/'📈 PORTEFEUILLE'!C11,"0.0%")</f>
        <v/>
      </c>
      <c r="E21" s="2334" t="inlineStr">
        <is>
          <t>&lt;15%</t>
        </is>
      </c>
      <c r="F21" s="2334" t="inlineStr">
        <is>
          <t>✅ Dans les limites. Semis = conviction validée.</t>
        </is>
      </c>
      <c r="H21" s="1665" t="n"/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5.75" customHeight="1" s="1666">
      <c r="A22" s="2336" t="inlineStr">
        <is>
          <t>AVGO</t>
        </is>
      </c>
      <c r="B22" s="2337" t="inlineStr">
        <is>
          <t>TFSA</t>
        </is>
      </c>
      <c r="C22" s="2337">
        <f>TEXT('📋 MON PORTEFEUILLE'!J8,"$#,##0")</f>
        <v/>
      </c>
      <c r="D22" s="2337">
        <f>TEXT('📋 MON PORTEFEUILLE'!J8/'📈 PORTEFEUILLE'!C11,"0.0%")</f>
        <v/>
      </c>
      <c r="E22" s="2337" t="inlineStr">
        <is>
          <t>&lt;15%</t>
        </is>
      </c>
      <c r="F22" s="2337" t="inlineStr">
        <is>
          <t>✅ T1 core. Accumuler si dip &gt;5%.</t>
        </is>
      </c>
      <c r="H22" s="1665" t="n"/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5.75" customHeight="1" s="1666">
      <c r="A23" s="2335" t="inlineStr">
        <is>
          <t>T3 Total</t>
        </is>
      </c>
      <c r="B23" s="2331" t="inlineStr">
        <is>
          <t>Tous</t>
        </is>
      </c>
      <c r="C23" s="2331">
        <f>TEXT(SUMIF('📋 MON PORTEFEUILLE'!D5:D43,"T3",'📋 MON PORTEFEUILLE'!J5:J43),"$#,##0")</f>
        <v/>
      </c>
      <c r="D23" s="2331">
        <f>TEXT(SUMIF('📋 MON PORTEFEUILLE'!D5:D43,"T3",'📋 MON PORTEFEUILLE'!J5:J43)/'📈 PORTEFEUILLE'!C11,"0.0%")</f>
        <v/>
      </c>
      <c r="E23" s="2331" t="inlineStr">
        <is>
          <t>&lt;20%</t>
        </is>
      </c>
      <c r="F23" s="2331" t="inlineStr">
        <is>
          <t>⚠️ T3 légèrement surpondéré. Surtout dû à TD.TO.</t>
        </is>
      </c>
      <c r="H23" s="1665" t="n"/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5.75" customHeight="1" s="1666">
      <c r="A24" s="2335" t="inlineStr">
        <is>
          <t>T.TO</t>
        </is>
      </c>
      <c r="B24" s="2331" t="inlineStr">
        <is>
          <t>TFSA</t>
        </is>
      </c>
      <c r="C24" s="2331">
        <f>TEXT('📋 MON PORTEFEUILLE'!J37,"$#,##0")</f>
        <v/>
      </c>
      <c r="D24" s="2331">
        <f>TEXT('📋 MON PORTEFEUILLE'!J37/'📈 PORTEFEUILLE'!C11,"0.0%")</f>
        <v/>
      </c>
      <c r="E24" s="2331" t="inlineStr">
        <is>
          <t>OK</t>
        </is>
      </c>
      <c r="F24" s="2331" t="inlineStr">
        <is>
          <t>⚠️ En perte -18.1%. NE PAS VENDRE (room TFSA). Surveiller dividende Q3.</t>
        </is>
      </c>
      <c r="H24" s="1665" t="n"/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A25" s="2335" t="inlineStr">
        <is>
          <t>MFC.TO</t>
        </is>
      </c>
      <c r="B25" s="2331" t="inlineStr">
        <is>
          <t>TFSA</t>
        </is>
      </c>
      <c r="C25" s="2331">
        <f>TEXT('📋 MON PORTEFEUILLE'!J39,"$#,##0")</f>
        <v/>
      </c>
      <c r="D25" s="2331">
        <f>TEXT('📋 MON PORTEFEUILLE'!J39/'📈 PORTEFEUILLE'!C11,"0.0%")</f>
        <v/>
      </c>
      <c r="E25" s="2331" t="inlineStr">
        <is>
          <t>OK</t>
        </is>
      </c>
      <c r="F25" s="2331" t="inlineStr">
        <is>
          <t>⚠️ En perte -11.3%. NE PAS VENDRE. Règle absolue TFSA.</t>
        </is>
      </c>
      <c r="H25" s="1665" t="n"/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5.75" customHeight="1" s="1666">
      <c r="H26" s="1665" t="n"/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21.75" customHeight="1" s="1666">
      <c r="A27" s="2338" t="inlineStr">
        <is>
          <t>❄️  ANALYSE FISCALE  ·  Optimisation snowball</t>
        </is>
      </c>
      <c r="H27" s="1665" t="n"/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5.75" customHeight="1" s="1666">
      <c r="A28" s="2339" t="inlineStr">
        <is>
          <t>VÉHICULE</t>
        </is>
      </c>
      <c r="B28" s="2340" t="inlineStr">
        <is>
          <t>COTISATION 2026</t>
        </is>
      </c>
      <c r="C28" s="2340" t="inlineStr">
        <is>
          <t>ÉCONOMIE IMPÔT</t>
        </is>
      </c>
      <c r="D28" s="2340" t="inlineStr">
        <is>
          <t>COÛT RÉEL NET</t>
        </is>
      </c>
      <c r="E28" s="2340" t="inlineStr">
        <is>
          <t>VALEUR @2042 (8%)</t>
        </is>
      </c>
      <c r="F28" s="2340" t="inlineStr">
        <is>
          <t>STATUT</t>
        </is>
      </c>
      <c r="H28" s="1665" t="n"/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5.75" customHeight="1" s="1666">
      <c r="A29" s="2341" t="inlineStr">
        <is>
          <t>REER SCHD</t>
        </is>
      </c>
      <c r="B29" s="2329" t="inlineStr">
        <is>
          <t>$2,000 exécuté</t>
        </is>
      </c>
      <c r="C29" s="2329" t="inlineStr">
        <is>
          <t>$1,060 (52.98%)</t>
        </is>
      </c>
      <c r="D29" s="2329" t="inlineStr">
        <is>
          <t>$940 net</t>
        </is>
      </c>
      <c r="E29" s="2329" t="inlineStr">
        <is>
          <t>~$12,400</t>
        </is>
      </c>
      <c r="F29" s="2329" t="inlineStr">
        <is>
          <t>✅ En cours · $2K/mois</t>
        </is>
      </c>
      <c r="H29" s="1665" t="n"/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.75" customHeight="1" s="1666">
      <c r="A30" s="2341" t="inlineStr">
        <is>
          <t>FHSA VFV.TO</t>
        </is>
      </c>
      <c r="B30" s="2329">
        <f>TEXT(CONFIG!B33,"$#,##0")&amp;" YTD"</f>
        <v/>
      </c>
      <c r="C30" s="2329" t="inlineStr">
        <is>
          <t>$6,357 (52.98%)</t>
        </is>
      </c>
      <c r="D30" s="2329" t="inlineStr">
        <is>
          <t>$5,643 net</t>
        </is>
      </c>
      <c r="E30" s="2329" t="inlineStr">
        <is>
          <t>~$74,500</t>
        </is>
      </c>
      <c r="F30" s="2329">
        <f>IF(CONFIG!B7&lt;1000,"⚠️ Room quasi plein","Room restant: $"&amp;TEXT(CONFIG!B7,"#,##0"))</f>
        <v/>
      </c>
      <c r="H30" s="1665" t="n"/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A31" s="1875" t="inlineStr">
        <is>
          <t>TFSA AVGO</t>
        </is>
      </c>
      <c r="B31" s="2342" t="inlineStr">
        <is>
          <t>$500/mois</t>
        </is>
      </c>
      <c r="C31" s="2342" t="inlineStr">
        <is>
          <t>$0 (exonéré)</t>
        </is>
      </c>
      <c r="D31" s="2342" t="inlineStr">
        <is>
          <t>$6,000/an</t>
        </is>
      </c>
      <c r="E31" s="2342" t="inlineStr">
        <is>
          <t>~$37,200</t>
        </is>
      </c>
      <c r="F31" s="2342" t="inlineStr">
        <is>
          <t>🟡 Pas automatisé</t>
        </is>
      </c>
      <c r="H31" s="1665" t="n"/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.75" customHeight="1" s="1666">
      <c r="A32" s="1875" t="inlineStr">
        <is>
          <t>TOTAL 2026</t>
        </is>
      </c>
      <c r="B32" s="2342" t="inlineStr">
        <is>
          <t>~$38,000/an dispo</t>
        </is>
      </c>
      <c r="C32" s="2342" t="inlineStr">
        <is>
          <t>~$18,400 économie</t>
        </is>
      </c>
      <c r="D32" s="2342" t="inlineStr">
        <is>
          <t>~$19,600 coût réel</t>
        </is>
      </c>
      <c r="E32" s="2342" t="n"/>
      <c r="F32" s="2342" t="n"/>
      <c r="H32" s="1665" t="n"/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.75" customHeight="1" s="1666">
      <c r="A33" s="2335" t="inlineStr">
        <is>
          <t>FTQ 2026</t>
        </is>
      </c>
      <c r="B33" s="2331" t="inlineStr">
        <is>
          <t>NON ÉLIGIBLE</t>
        </is>
      </c>
      <c r="C33" s="2331" t="inlineStr">
        <is>
          <t>Revenu $140K &gt; $129K</t>
        </is>
      </c>
      <c r="D33" s="2331" t="inlineStr">
        <is>
          <t>$0</t>
        </is>
      </c>
      <c r="E33" s="2331" t="n"/>
      <c r="F33" s="2331" t="inlineStr">
        <is>
          <t>🔴 Surveiller 2027</t>
        </is>
      </c>
      <c r="H33" s="1665" t="n"/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H34" s="1665" t="n"/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21.75" customHeight="1" s="1666">
      <c r="A35" s="2343" t="inlineStr">
        <is>
          <t>💼  RECOMMANDATIONS CONSEILLER  ·  Priorité décroissante · 12 mars 2026</t>
        </is>
      </c>
      <c r="H35" s="1665" t="n"/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.75" customHeight="1" s="1666">
      <c r="A36" s="2344" t="inlineStr">
        <is>
          <t>PRIORITÉ</t>
        </is>
      </c>
      <c r="B36" s="2344" t="inlineStr">
        <is>
          <t>TYPE</t>
        </is>
      </c>
      <c r="C36" s="2344" t="inlineStr">
        <is>
          <t>ACTION</t>
        </is>
      </c>
      <c r="D36" s="2344" t="inlineStr">
        <is>
          <t>ÉCHÉANCE</t>
        </is>
      </c>
      <c r="E36" s="2344" t="inlineStr">
        <is>
          <t>RAISONNEMENT CONSEILLER</t>
        </is>
      </c>
      <c r="H36" s="1665" t="n"/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31.5" customHeight="1" s="1666">
      <c r="A37" s="2345" t="inlineStr">
        <is>
          <t>🔴</t>
        </is>
      </c>
      <c r="B37" s="2346" t="inlineStr">
        <is>
          <t>URGENT</t>
        </is>
      </c>
      <c r="C37" s="2347" t="inlineStr">
        <is>
          <t>EQ Bank: ouvrir + $1,500/mois dès prochaine paie</t>
        </is>
      </c>
      <c r="D37" s="2331" t="inlineStr">
        <is>
          <t>Cette semaine</t>
        </is>
      </c>
      <c r="E37" s="1875" t="inlineStr">
        <is>
          <t>Risque opérationnel #1. Urgence médicale/voiture = zéro coussin. 20 min. eqbank.ca. Taux ~4.0% = $600/an.</t>
        </is>
      </c>
      <c r="H37" s="1665" t="n"/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31.5" customHeight="1" s="1666">
      <c r="A38" s="2345" t="inlineStr">
        <is>
          <t>🔴</t>
        </is>
      </c>
      <c r="B38" s="2346" t="inlineStr">
        <is>
          <t>URGENT</t>
        </is>
      </c>
      <c r="C38" s="2347" t="inlineStr">
        <is>
          <t>Automatiser $5,000/mois le 15 de chaque mois</t>
        </is>
      </c>
      <c r="D38" s="2331" t="inlineStr">
        <is>
          <t>Avant 15 avril</t>
        </is>
      </c>
      <c r="E38" s="1875" t="inlineStr">
        <is>
          <t>Sans automatisation tu vas timer le marché. Biais documenté en session. Virement auto REER $2K + FHSA $1K + TFSA $500.</t>
        </is>
      </c>
      <c r="H38" s="1665" t="n"/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31.5" customHeight="1" s="1666">
      <c r="A39" s="2348" t="inlineStr">
        <is>
          <t>🟡</t>
        </is>
      </c>
      <c r="B39" s="2349" t="inlineStr">
        <is>
          <t>STRATÉGIQUE</t>
        </is>
      </c>
      <c r="C39" s="2350" t="inlineStr">
        <is>
          <t>FHSA $4,000 room restant → VFV.TO avant BdC 18 mars</t>
        </is>
      </c>
      <c r="D39" s="2327" t="inlineStr">
        <is>
          <t>Avant 18 mars</t>
        </is>
      </c>
      <c r="E39" s="1875" t="inlineStr">
        <is>
          <t>BdC → probable baisse taux → VFV monte. Acheter avant = meilleur prix. $4K = ~24 unités VFV.TO @ ~$163.</t>
        </is>
      </c>
      <c r="H39" s="1665" t="n"/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31.5" customHeight="1" s="1666">
      <c r="A40" s="2348" t="inlineStr">
        <is>
          <t>🟡</t>
        </is>
      </c>
      <c r="B40" s="2349" t="inlineStr">
        <is>
          <t>STRATÉGIQUE</t>
        </is>
      </c>
      <c r="C40" s="2350" t="inlineStr">
        <is>
          <t>ZRE+XIC+VDU TFSA → T1 post-BdC</t>
        </is>
      </c>
      <c r="D40" s="2327" t="inlineStr">
        <is>
          <t>Semaine du 18 mars</t>
        </is>
      </c>
      <c r="E40" s="1875" t="inlineStr">
        <is>
          <t>$428+$1,113+$337 = $1,878 à recycler. ZRE→AVGO frac. XIC→VFV. VDU→SMH. Timing post-BdC optimal.</t>
        </is>
      </c>
      <c r="H40" s="1665" t="n"/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31.5" customHeight="1" s="1666">
      <c r="A41" s="2348" t="inlineStr">
        <is>
          <t>🟡</t>
        </is>
      </c>
      <c r="B41" s="2349" t="inlineStr">
        <is>
          <t>SUIVI</t>
        </is>
      </c>
      <c r="C41" s="2350" t="inlineStr">
        <is>
          <t>Augmenter REER à $3,000/mois dès que EQ Bank ouvert</t>
        </is>
      </c>
      <c r="D41" s="2327" t="inlineStr">
        <is>
          <t>Avril 2026</t>
        </is>
      </c>
      <c r="E41" s="1875" t="inlineStr">
        <is>
          <t>Ton vrai room est $37K. À $2K/mois tu utilises $24K/an. Tu laisses $13K de déduction sur la table. +$1,590 ARC additionnel.</t>
        </is>
      </c>
      <c r="H41" s="1665" t="n"/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31.5" customHeight="1" s="1666">
      <c r="A42" s="2351" t="inlineStr">
        <is>
          <t>🔵</t>
        </is>
      </c>
      <c r="B42" s="2352" t="inlineStr">
        <is>
          <t>VEILLE</t>
        </is>
      </c>
      <c r="C42" s="2353" t="inlineStr">
        <is>
          <t>Surveiller AVGO &gt;20% concentration</t>
        </is>
      </c>
      <c r="D42" s="2329" t="inlineStr">
        <is>
          <t>Ongoing</t>
        </is>
      </c>
      <c r="E42" s="1875" t="inlineStr">
        <is>
          <t>Si AVGO dépasse 15% du portfolio → évaluer allègement partiel dans TFSA. Pas encore là (8.8% actuellement).</t>
        </is>
      </c>
      <c r="H42" s="1665" t="n"/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31.5" customHeight="1" s="1666">
      <c r="A43" s="2351" t="inlineStr">
        <is>
          <t>🔵</t>
        </is>
      </c>
      <c r="B43" s="2352" t="inlineStr">
        <is>
          <t>VEILLE</t>
        </is>
      </c>
      <c r="C43" s="2353" t="inlineStr">
        <is>
          <t>Verdict J+30 → 11 avril 2026</t>
        </is>
      </c>
      <c r="D43" s="2329" t="inlineStr">
        <is>
          <t>11 avril</t>
        </is>
      </c>
      <c r="E43" s="1875" t="inlineStr">
        <is>
          <t>Évaluer toutes décisions depuis 11 mars. Benchmark vs VFV.TO. Calculer alpha réel.</t>
        </is>
      </c>
      <c r="H43" s="1665" t="n"/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H44" s="1665" t="n"/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21.75" customHeight="1" s="1666">
      <c r="A45" s="2324" t="inlineStr">
        <is>
          <t>📈  PROJECTION FI  ·  $86,670 + $3,500/mois  ·  Objectif $2.1M+ (plancher)</t>
        </is>
      </c>
      <c r="H45" s="1665" t="n"/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A46" s="2354" t="inlineStr">
        <is>
          <t>SCÉNARIO</t>
        </is>
      </c>
      <c r="B46" s="2354" t="inlineStr">
        <is>
          <t>@36 ans</t>
        </is>
      </c>
      <c r="C46" s="2354" t="inlineStr">
        <is>
          <t>@40 ans</t>
        </is>
      </c>
      <c r="D46" s="2354" t="inlineStr">
        <is>
          <t>@45 ans</t>
        </is>
      </c>
      <c r="E46" s="2354" t="inlineStr">
        <is>
          <t>@50 ans</t>
        </is>
      </c>
      <c r="F46" s="2354" t="inlineStr">
        <is>
          <t>@55 ans</t>
        </is>
      </c>
      <c r="G46" s="2354" t="inlineStr">
        <is>
          <t>@60 ans</t>
        </is>
      </c>
      <c r="H46" s="1665" t="n"/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A47" s="2333" t="inlineStr">
        <is>
          <t>Pessimiste 6%</t>
        </is>
      </c>
      <c r="B47" s="2334" t="inlineStr">
        <is>
          <t>$183,902</t>
        </is>
      </c>
      <c r="C47" s="2334" t="inlineStr">
        <is>
          <t>$415,906</t>
        </is>
      </c>
      <c r="D47" s="2334" t="inlineStr">
        <is>
          <t>$793,335</t>
        </is>
      </c>
      <c r="E47" s="2334" t="inlineStr">
        <is>
          <t>$1,298,418</t>
        </is>
      </c>
      <c r="F47" s="2334" t="inlineStr">
        <is>
          <t>$1,974,335</t>
        </is>
      </c>
      <c r="G47" s="2334" t="inlineStr">
        <is>
          <t>$2,878,863</t>
        </is>
      </c>
      <c r="H47" s="1665" t="n"/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A48" s="2341" t="inlineStr">
        <is>
          <t>Réaliste 8%</t>
        </is>
      </c>
      <c r="B48" s="2329" t="inlineStr">
        <is>
          <t>$188,452</t>
        </is>
      </c>
      <c r="C48" s="2329" t="inlineStr">
        <is>
          <t>$445,643</t>
        </is>
      </c>
      <c r="D48" s="2329" t="inlineStr">
        <is>
          <t>$901,194</t>
        </is>
      </c>
      <c r="E48" s="2329" t="inlineStr">
        <is>
          <t>$1,570,546</t>
        </is>
      </c>
      <c r="F48" s="2329" t="inlineStr">
        <is>
          <t>$2,554,045</t>
        </is>
      </c>
      <c r="G48" s="2329" t="inlineStr">
        <is>
          <t>$3,999,127</t>
        </is>
      </c>
      <c r="H48" s="1665" t="n"/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A49" s="2355" t="inlineStr">
        <is>
          <t>Optimiste 10%</t>
        </is>
      </c>
      <c r="B49" s="2327" t="inlineStr">
        <is>
          <t>$193,071</t>
        </is>
      </c>
      <c r="C49" s="2327" t="inlineStr">
        <is>
          <t>$477,597</t>
        </is>
      </c>
      <c r="D49" s="2327" t="inlineStr">
        <is>
          <t>$1,025,589</t>
        </is>
      </c>
      <c r="E49" s="2327" t="inlineStr">
        <is>
          <t>$1,908,135</t>
        </is>
      </c>
      <c r="F49" s="2327" t="inlineStr">
        <is>
          <t>$3,329,485</t>
        </is>
      </c>
      <c r="G49" s="2327" t="inlineStr">
        <is>
          <t>$5,618,583</t>
        </is>
      </c>
      <c r="H49" s="1665" t="n"/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A50" s="2356" t="inlineStr">
        <is>
          <t>→ FI à Pessimiste 6%</t>
        </is>
      </c>
      <c r="B50" s="2356" t="inlineStr">
        <is>
          <t>Âge 56 (2048)</t>
        </is>
      </c>
      <c r="C50" s="1875" t="inlineStr">
        <is>
          <t>$2,134,795 CAD</t>
        </is>
      </c>
      <c r="H50" s="1665" t="n"/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A51" s="2356" t="inlineStr">
        <is>
          <t>→ FI à Réaliste 8%</t>
        </is>
      </c>
      <c r="B51" s="2356" t="inlineStr">
        <is>
          <t>Âge 53 (2045)</t>
        </is>
      </c>
      <c r="C51" s="1875" t="inlineStr">
        <is>
          <t>$2,114,785 CAD</t>
        </is>
      </c>
      <c r="H51" s="1665" t="n"/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A52" s="2356" t="inlineStr">
        <is>
          <t>→ FI à Optimiste 10%</t>
        </is>
      </c>
      <c r="B52" s="2356" t="inlineStr">
        <is>
          <t>Âge 51 (2043)</t>
        </is>
      </c>
      <c r="C52" s="1875" t="inlineStr">
        <is>
          <t>$2,140,948 CAD</t>
        </is>
      </c>
      <c r="H52" s="1665" t="n"/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H53" s="1665" t="n"/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21.75" customHeight="1" s="1666">
      <c r="A54" s="2332" t="inlineStr">
        <is>
          <t>🛡️  RISQUES IDENTIFIÉS  ·  Matrice conseiller</t>
        </is>
      </c>
      <c r="H54" s="1665" t="n"/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A55" s="2344" t="inlineStr">
        <is>
          <t>RISQUE</t>
        </is>
      </c>
      <c r="B55" s="2344" t="inlineStr">
        <is>
          <t>PROBABILITÉ</t>
        </is>
      </c>
      <c r="C55" s="2344" t="inlineStr">
        <is>
          <t>IMPACT</t>
        </is>
      </c>
      <c r="D55" s="2344" t="inlineStr">
        <is>
          <t>EXPOSITION PORTFOLIO</t>
        </is>
      </c>
      <c r="E55" s="2344" t="inlineStr">
        <is>
          <t>MITIGATION</t>
        </is>
      </c>
      <c r="H55" s="1665" t="n"/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A56" s="2333" t="inlineStr">
        <is>
          <t>Récession US / bear market</t>
        </is>
      </c>
      <c r="B56" s="2334" t="inlineStr">
        <is>
          <t>Moyenne</t>
        </is>
      </c>
      <c r="C56" s="2334" t="inlineStr">
        <is>
          <t>🔴 Élevé</t>
        </is>
      </c>
      <c r="D56" s="2334" t="inlineStr">
        <is>
          <t>44.8% USD exposé</t>
        </is>
      </c>
      <c r="E56" s="2333" t="inlineStr">
        <is>
          <t>DCA accéléré en dip (force psychologique documentée)</t>
        </is>
      </c>
      <c r="H56" s="1665" t="n"/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A57" s="2355" t="inlineStr">
        <is>
          <t>Tarifs Trump / guerre commerciale</t>
        </is>
      </c>
      <c r="B57" s="2327" t="inlineStr">
        <is>
          <t>Haute</t>
        </is>
      </c>
      <c r="C57" s="2327" t="inlineStr">
        <is>
          <t>🟡 Modéré</t>
        </is>
      </c>
      <c r="D57" s="2327" t="inlineStr">
        <is>
          <t>SMH, AVGO, NVDA</t>
        </is>
      </c>
      <c r="E57" s="2355" t="inlineStr">
        <is>
          <t>Semis = stratégiques, tarifs limités historiquement</t>
        </is>
      </c>
      <c r="H57" s="1665" t="n"/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A58" s="2333" t="inlineStr">
        <is>
          <t>USD/CAD hausse</t>
        </is>
      </c>
      <c r="B58" s="2334" t="inlineStr">
        <is>
          <t>Moyenne</t>
        </is>
      </c>
      <c r="C58" s="2334" t="inlineStr">
        <is>
          <t>✅ Positif</t>
        </is>
      </c>
      <c r="D58" s="2334" t="inlineStr">
        <is>
          <t>Boost 44.8% USD</t>
        </is>
      </c>
      <c r="E58" s="2333" t="inlineStr">
        <is>
          <t>Favorable pour toi actuellement</t>
        </is>
      </c>
      <c r="H58" s="1665" t="n"/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A59" s="2335" t="inlineStr">
        <is>
          <t>Urgence personnelle sans HISA</t>
        </is>
      </c>
      <c r="B59" s="2331" t="inlineStr">
        <is>
          <t>🔴 Réelle</t>
        </is>
      </c>
      <c r="C59" s="2331" t="inlineStr">
        <is>
          <t>🔴 Critique</t>
        </is>
      </c>
      <c r="D59" s="2331" t="inlineStr">
        <is>
          <t>Forcerait vente TFSA</t>
        </is>
      </c>
      <c r="E59" s="2335" t="inlineStr">
        <is>
          <t>EQ Bank ce soir — risque éliminable en 20 min</t>
        </is>
      </c>
      <c r="H59" s="1665" t="n"/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A60" s="2355" t="inlineStr">
        <is>
          <t>Concentration TD.TO &gt;13%</t>
        </is>
      </c>
      <c r="B60" s="2327" t="inlineStr">
        <is>
          <t>Faible</t>
        </is>
      </c>
      <c r="C60" s="2327" t="inlineStr">
        <is>
          <t>🟡 Modéré</t>
        </is>
      </c>
      <c r="D60" s="2327" t="inlineStr">
        <is>
          <t>$11,337 T3</t>
        </is>
      </c>
      <c r="E60" s="2355" t="inlineStr">
        <is>
          <t>Diluer naturellement, ne plus acheter</t>
        </is>
      </c>
      <c r="H60" s="1665" t="n"/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A61" s="2355" t="inlineStr">
        <is>
          <t>Absence de régime retraite</t>
        </is>
      </c>
      <c r="B61" s="2327" t="inlineStr">
        <is>
          <t>Confirmée</t>
        </is>
      </c>
      <c r="C61" s="2327" t="inlineStr">
        <is>
          <t>🟡 Modéré</t>
        </is>
      </c>
      <c r="D61" s="2327" t="inlineStr">
        <is>
          <t>Long terme</t>
        </is>
      </c>
      <c r="E61" s="2355" t="inlineStr">
        <is>
          <t>Compense avec REER maximal — déjà en cours</t>
        </is>
      </c>
      <c r="H61" s="1665" t="n"/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A62" s="2335" t="inlineStr">
        <is>
          <t>Biais timing contributions</t>
        </is>
      </c>
      <c r="B62" s="2331" t="inlineStr">
        <is>
          <t>🔴 Documenté</t>
        </is>
      </c>
      <c r="C62" s="2331" t="inlineStr">
        <is>
          <t>🟡 Modéré</t>
        </is>
      </c>
      <c r="D62" s="2331" t="inlineStr">
        <is>
          <t>Réduction DCA efficace</t>
        </is>
      </c>
      <c r="E62" s="2335" t="inlineStr">
        <is>
          <t>Automatiser $3,500/mois — action immédiate requise</t>
        </is>
      </c>
      <c r="H62" s="1665" t="n"/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H63" s="1665" t="n"/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21.75" customHeight="1" s="1666">
      <c r="A64" s="2343" t="inlineStr">
        <is>
          <t>📝  NOTE CONSEILLER  ·  Évaluation globale S18</t>
        </is>
      </c>
      <c r="H64" s="1665" t="n"/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A65" s="2357" t="inlineStr">
        <is>
          <t>SCORE GLOBAL</t>
        </is>
      </c>
      <c r="B65" s="2358" t="inlineStr">
        <is>
          <t>8.5→9.0 / 10</t>
        </is>
      </c>
      <c r="C65" s="1875" t="inlineStr">
        <is>
          <t>Toutes corrections rapport S18 appliquées · 29 corrections · Onglets dynamiques</t>
        </is>
      </c>
      <c r="H65" s="1665" t="n"/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A66" s="2357" t="inlineStr">
        <is>
          <t>FORCE PRINCIPALE</t>
        </is>
      </c>
      <c r="B66" s="2358" t="inlineStr">
        <is>
          <t>Discipline long terme</t>
        </is>
      </c>
      <c r="C66" s="1875" t="inlineStr">
        <is>
          <t>T1 = 55%, philosophie FI claire, aucune vente panique documentée</t>
        </is>
      </c>
      <c r="H66" s="1665" t="n"/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A67" s="2357" t="inlineStr">
        <is>
          <t>FAIBLESSE PRINCIPALE</t>
        </is>
      </c>
      <c r="B67" s="2358" t="inlineStr">
        <is>
          <t>Exécution opérationnelle</t>
        </is>
      </c>
      <c r="C67" s="1875" t="inlineStr">
        <is>
          <t>EQ Bank non ouvert depuis 3 sessions. Contributions non automatisées.</t>
        </is>
      </c>
      <c r="H67" s="1665" t="n"/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A68" s="2357" t="inlineStr">
        <is>
          <t>AMÉLIORATION S14→S15</t>
        </is>
      </c>
      <c r="B68" s="2358" t="inlineStr">
        <is>
          <t>PLZ.UN+REI.UN TFSA vendus ✅ · SCHD $2K/mois ✅ · Rapport analyse complet ✅ · 29 corrections v46-S18</t>
        </is>
      </c>
      <c r="C68" s="1875" t="inlineStr">
        <is>
          <t>Deux actions majeures exécutées — momentum positif</t>
        </is>
      </c>
      <c r="H68" s="1665" t="n"/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A69" s="2357" t="inlineStr">
        <is>
          <t>OBJECTIF S16</t>
        </is>
      </c>
      <c r="B69" s="2358" t="inlineStr">
        <is>
          <t>OBJECTIF S19</t>
        </is>
      </c>
      <c r="C69" s="1875" t="inlineStr">
        <is>
          <t>EQ Bank ouvert + $1,500 viré · Automatisation contributions · Scorecard titres T1</t>
        </is>
      </c>
      <c r="H69" s="1665" t="n"/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A70" s="2357" t="inlineStr">
        <is>
          <t>MESSAGE DIRECT</t>
        </is>
      </c>
      <c r="B70" s="2358" t="inlineStr">
        <is>
          <t>Tu as le meilleur plan possible.</t>
        </is>
      </c>
      <c r="C70" s="1875" t="inlineStr">
        <is>
          <t>Revenu réel $7,950/mois · Dépenses $1,182 · Disponible $6,768 · Structuré $5,000 · Libre $1,768. EQ Bank $1,500/mois = $15K en 10 mois sans changer REER/FHSA/TFSA.</t>
        </is>
      </c>
      <c r="H70" s="1665" t="n"/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H71" s="1665" t="n"/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H72" s="1665" t="n"/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H73" s="1665" t="n"/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H74" s="1665" t="n"/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H75" s="1665" t="n"/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H76" s="1665" t="n"/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H77" s="1665" t="n"/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H78" s="1665" t="n"/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H79" s="1665" t="n"/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H80" s="1665" t="n"/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H81" s="1665" t="n"/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H82" s="1665" t="n"/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H83" s="1665" t="n"/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H84" s="1665" t="n"/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H85" s="1665" t="n"/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H86" s="1665" t="n"/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H87" s="1665" t="n"/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H88" s="1665" t="n"/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H89" s="1665" t="n"/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H90" s="1665" t="n"/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H91" s="1665" t="n"/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H92" s="1665" t="n"/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H93" s="1665" t="n"/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H94" s="1665" t="n"/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H95" s="1665" t="n"/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H96" s="1665" t="n"/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H97" s="1665" t="n"/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H98" s="1665" t="n"/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H99" s="1665" t="n"/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H100" s="1665" t="n"/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H101" s="1665" t="n"/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H102" s="1665" t="n"/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H103" s="1665" t="n"/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H104" s="1665" t="n"/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H105" s="1665" t="n"/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H106" s="1665" t="n"/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H107" s="1665" t="n"/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H108" s="1665" t="n"/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H109" s="1665" t="n"/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H110" s="1665" t="n"/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H111" s="1665" t="n"/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H112" s="1665" t="n"/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H113" s="1665" t="n"/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H114" s="1665" t="n"/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H115" s="1665" t="n"/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H116" s="1665" t="n"/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H117" s="1665" t="n"/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H118" s="1665" t="n"/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H119" s="1665" t="n"/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H120" s="1665" t="n"/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H121" s="1665" t="n"/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H122" s="1665" t="n"/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H123" s="1665" t="n"/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H124" s="1665" t="n"/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H125" s="1665" t="n"/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H126" s="1665" t="n"/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H127" s="1665" t="n"/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H128" s="1665" t="n"/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H129" s="1665" t="n"/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H130" s="1665" t="n"/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H131" s="1665" t="n"/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H132" s="1665" t="n"/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H133" s="1665" t="n"/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H134" s="1665" t="n"/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H135" s="1665" t="n"/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H136" s="1665" t="n"/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H137" s="1665" t="n"/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H138" s="1665" t="n"/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H139" s="1665" t="n"/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H140" s="1665" t="n"/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H141" s="1665" t="n"/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H142" s="1665" t="n"/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H143" s="1665" t="n"/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H144" s="1665" t="n"/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H145" s="1665" t="n"/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H146" s="1665" t="n"/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H147" s="1665" t="n"/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H148" s="1665" t="n"/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H149" s="1665" t="n"/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H150" s="1665" t="n"/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H151" s="1665" t="n"/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H152" s="1665" t="n"/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H153" s="1665" t="n"/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H154" s="1665" t="n"/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H155" s="1665" t="n"/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H156" s="1665" t="n"/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H157" s="1665" t="n"/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H158" s="1665" t="n"/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H159" s="1665" t="n"/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H160" s="1665" t="n"/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H161" s="1665" t="n"/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H162" s="1665" t="n"/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H163" s="1665" t="n"/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H164" s="1665" t="n"/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H165" s="1665" t="n"/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H166" s="1665" t="n"/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H167" s="1665" t="n"/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H168" s="1665" t="n"/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H169" s="1665" t="n"/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H170" s="1665" t="n"/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H171" s="1665" t="n"/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H172" s="1665" t="n"/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H173" s="1665" t="n"/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H174" s="1665" t="n"/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H175" s="1665" t="n"/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H176" s="1665" t="n"/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H177" s="1665" t="n"/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H178" s="1665" t="n"/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H179" s="1665" t="n"/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H180" s="1665" t="n"/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H181" s="1665" t="n"/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H182" s="1665" t="n"/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H183" s="1665" t="n"/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H184" s="1665" t="n"/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H185" s="1665" t="n"/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H186" s="1665" t="n"/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H187" s="1665" t="n"/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H188" s="1665" t="n"/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H189" s="1665" t="n"/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H190" s="1665" t="n"/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H191" s="1665" t="n"/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H192" s="1665" t="n"/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H193" s="1665" t="n"/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H194" s="1665" t="n"/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H195" s="1665" t="n"/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H196" s="1665" t="n"/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H197" s="1665" t="n"/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H198" s="1665" t="n"/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H199" s="1665" t="n"/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H200" s="1665" t="n"/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H201" s="1665" t="n"/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H202" s="1665" t="n"/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H203" s="1665" t="n"/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H204" s="1665" t="n"/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H205" s="1665" t="n"/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H206" s="1665" t="n"/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H207" s="1665" t="n"/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H208" s="1665" t="n"/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H209" s="1665" t="n"/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H210" s="1665" t="n"/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H211" s="1665" t="n"/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H212" s="1665" t="n"/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H213" s="1665" t="n"/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H214" s="1665" t="n"/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H215" s="1665" t="n"/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H216" s="1665" t="n"/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H217" s="1665" t="n"/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H218" s="1665" t="n"/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H219" s="1665" t="n"/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H220" s="1665" t="n"/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H221" s="1665" t="n"/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H222" s="1665" t="n"/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H223" s="1665" t="n"/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H224" s="1665" t="n"/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H225" s="1665" t="n"/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H226" s="1665" t="n"/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H227" s="1665" t="n"/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H228" s="1665" t="n"/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H229" s="1665" t="n"/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H230" s="1665" t="n"/>
      <c r="I230" s="1665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H231" s="1665" t="n"/>
      <c r="I231" s="1665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H232" s="1665" t="n"/>
      <c r="I232" s="1665" t="n"/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H233" s="1665" t="n"/>
      <c r="I233" s="1665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H234" s="1665" t="n"/>
      <c r="I234" s="1665" t="n"/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H235" s="1665" t="n"/>
      <c r="I235" s="1665" t="n"/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H236" s="1665" t="n"/>
      <c r="I236" s="1665" t="n"/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H237" s="1665" t="n"/>
      <c r="I237" s="1665" t="n"/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H238" s="1665" t="n"/>
      <c r="I238" s="1665" t="n"/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H239" s="1665" t="n"/>
      <c r="I239" s="1665" t="n"/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H240" s="1665" t="n"/>
      <c r="I240" s="1665" t="n"/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H241" s="1665" t="n"/>
      <c r="I241" s="1665" t="n"/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H242" s="1665" t="n"/>
      <c r="I242" s="1665" t="n"/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H243" s="1665" t="n"/>
      <c r="I243" s="1665" t="n"/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H244" s="1665" t="n"/>
      <c r="I244" s="1665" t="n"/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H245" s="1665" t="n"/>
      <c r="I245" s="1665" t="n"/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H246" s="1665" t="n"/>
      <c r="I246" s="1665" t="n"/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H247" s="1665" t="n"/>
      <c r="I247" s="1665" t="n"/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H248" s="1665" t="n"/>
      <c r="I248" s="1665" t="n"/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H249" s="1665" t="n"/>
      <c r="I249" s="1665" t="n"/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H250" s="1665" t="n"/>
      <c r="I250" s="1665" t="n"/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H251" s="1665" t="n"/>
      <c r="I251" s="1665" t="n"/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H252" s="1665" t="n"/>
      <c r="I252" s="1665" t="n"/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H253" s="1665" t="n"/>
      <c r="I253" s="1665" t="n"/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H254" s="1665" t="n"/>
      <c r="I254" s="1665" t="n"/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H255" s="1665" t="n"/>
      <c r="I255" s="1665" t="n"/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H256" s="1665" t="n"/>
      <c r="I256" s="1665" t="n"/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H257" s="1665" t="n"/>
      <c r="I257" s="1665" t="n"/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H258" s="1665" t="n"/>
      <c r="I258" s="1665" t="n"/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H259" s="1665" t="n"/>
      <c r="I259" s="1665" t="n"/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H260" s="1665" t="n"/>
      <c r="I260" s="1665" t="n"/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H261" s="1665" t="n"/>
      <c r="I261" s="1665" t="n"/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H262" s="1665" t="n"/>
      <c r="I262" s="1665" t="n"/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H263" s="1665" t="n"/>
      <c r="I263" s="1665" t="n"/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H264" s="1665" t="n"/>
      <c r="I264" s="1665" t="n"/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H265" s="1665" t="n"/>
      <c r="I265" s="1665" t="n"/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H266" s="1665" t="n"/>
      <c r="I266" s="1665" t="n"/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H267" s="1665" t="n"/>
      <c r="I267" s="1665" t="n"/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H268" s="1665" t="n"/>
      <c r="I268" s="1665" t="n"/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H269" s="1665" t="n"/>
      <c r="I269" s="1665" t="n"/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H270" s="1665" t="n"/>
      <c r="I270" s="1665" t="n"/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15">
    <mergeCell ref="C68:G68"/>
    <mergeCell ref="A1:G1"/>
    <mergeCell ref="C67:G67"/>
    <mergeCell ref="A17:G17"/>
    <mergeCell ref="A27:G27"/>
    <mergeCell ref="C65:G65"/>
    <mergeCell ref="A35:G35"/>
    <mergeCell ref="A4:G4"/>
    <mergeCell ref="C66:G66"/>
    <mergeCell ref="A2:G2"/>
    <mergeCell ref="A54:G54"/>
    <mergeCell ref="A64:G64"/>
    <mergeCell ref="C69:G69"/>
    <mergeCell ref="C70:G70"/>
    <mergeCell ref="A45:G4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AK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baseColWidth="8" defaultColWidth="14.43359375" defaultRowHeight="15" zeroHeight="0" outlineLevelRow="0"/>
  <cols>
    <col width="3" customWidth="1" style="1665" min="1" max="1"/>
    <col width="16" customWidth="1" style="1665" min="2" max="2"/>
    <col width="20" customWidth="1" style="1665" min="3" max="3"/>
    <col width="10" customWidth="1" style="1665" min="4" max="7"/>
    <col width="14" customWidth="1" style="1665" min="8" max="10"/>
    <col width="6" customWidth="1" style="1665" min="11" max="11"/>
    <col width="14" customWidth="1" style="1665" min="12" max="14"/>
    <col width="10" customWidth="1" style="1665" min="15" max="16"/>
    <col width="25" customWidth="1" style="1665" min="17" max="17"/>
    <col width="14" customWidth="1" style="1665" min="18" max="18"/>
    <col width="8.710000000000001" customWidth="1" style="1665" min="19" max="37"/>
  </cols>
  <sheetData>
    <row r="1" ht="30" customHeight="1" s="1666">
      <c r="A1" s="2359" t="n"/>
      <c r="B1" s="2360" t="inlineStr">
        <is>
          <t>📈  PORTEFEUILLE  —  TFSA · FHSA · REER</t>
        </is>
      </c>
      <c r="R1" s="2359" t="n"/>
    </row>
    <row r="2" ht="27.75" customHeight="1" s="1666">
      <c r="A2" s="2361" t="n"/>
      <c r="B2" s="2362" t="inlineStr">
        <is>
          <t>📈  PORTEFEUILLE  ·  TFSA · FHSA · REER  ·  12 mars 2026</t>
        </is>
      </c>
      <c r="R2" s="2361" t="n"/>
      <c r="S2" s="2361" t="n"/>
      <c r="T2" s="2363" t="n"/>
    </row>
    <row r="3" ht="18" customHeight="1" s="1666">
      <c r="A3" s="2364" t="n"/>
      <c r="B3" s="2365" t="inlineStr">
        <is>
          <t>Cellules jaunes = saisir manuellement  ·  Taux USD/CAD depuis CONFIG!B3</t>
        </is>
      </c>
      <c r="R3" s="2364" t="n"/>
      <c r="S3" s="2364" t="n"/>
      <c r="T3" s="2364" t="n"/>
      <c r="U3" s="2364" t="n"/>
    </row>
    <row r="4" ht="18" customHeight="1" s="1666">
      <c r="A4" s="2366" t="n"/>
      <c r="B4" s="2367" t="inlineStr">
        <is>
          <t>Taux USD/CAD →</t>
        </is>
      </c>
      <c r="C4" s="2368">
        <f>CONFIG!B3</f>
        <v/>
      </c>
      <c r="D4" s="2369" t="inlineStr">
        <is>
          <t>← Taux lu depuis CONFIG!B3</t>
        </is>
      </c>
      <c r="K4" s="2366" t="n"/>
      <c r="L4" s="2366" t="n"/>
      <c r="M4" s="2366" t="n"/>
      <c r="N4" s="2366" t="n"/>
      <c r="O4" s="2366" t="n"/>
      <c r="P4" s="2366" t="n"/>
      <c r="Q4" s="2366" t="n"/>
      <c r="R4" s="2366" t="n"/>
      <c r="S4" s="2366" t="n"/>
      <c r="T4" s="2366" t="n"/>
      <c r="U4" s="2366" t="n"/>
      <c r="V4" s="2366" t="n"/>
    </row>
    <row r="5" ht="18" customHeight="1" s="1666">
      <c r="A5" s="2363" t="n"/>
      <c r="B5" s="2363" t="n"/>
      <c r="C5" s="2363" t="n"/>
      <c r="D5" s="2363" t="n"/>
      <c r="E5" s="2363" t="n"/>
      <c r="F5" s="2363" t="n"/>
      <c r="G5" s="2363" t="n"/>
      <c r="H5" s="2363" t="n"/>
      <c r="I5" s="2363" t="n"/>
      <c r="J5" s="2363" t="n"/>
      <c r="K5" s="2363" t="n"/>
      <c r="L5" s="2363" t="n"/>
      <c r="M5" s="2363" t="n"/>
      <c r="N5" s="2363" t="n"/>
      <c r="O5" s="2363" t="n"/>
      <c r="P5" s="2363" t="n"/>
      <c r="Q5" s="2363" t="n"/>
      <c r="R5" s="2363" t="n"/>
      <c r="S5" s="2363" t="n"/>
      <c r="T5" s="2363" t="n"/>
      <c r="U5" s="2363" t="n"/>
      <c r="V5" s="2363" t="n"/>
      <c r="W5" s="2363" t="n"/>
    </row>
    <row r="6" ht="14.25" customHeight="1" s="1666">
      <c r="A6" s="2361" t="n"/>
      <c r="B6" s="2361" t="n"/>
      <c r="C6" s="2361" t="n"/>
      <c r="D6" s="2361" t="n"/>
      <c r="E6" s="2361" t="n"/>
      <c r="F6" s="2361" t="n"/>
      <c r="G6" s="2361" t="n"/>
      <c r="H6" s="2361" t="n"/>
      <c r="I6" s="2361" t="n"/>
      <c r="J6" s="2361" t="n"/>
      <c r="K6" s="2361" t="n"/>
      <c r="L6" s="2361" t="n"/>
      <c r="M6" s="2361" t="n"/>
      <c r="N6" s="2361" t="n"/>
      <c r="O6" s="2361" t="n"/>
      <c r="P6" s="2361" t="n"/>
      <c r="Q6" s="2361" t="n"/>
      <c r="R6" s="2361" t="n"/>
      <c r="S6" s="2361" t="n"/>
      <c r="T6" s="2361" t="n"/>
      <c r="U6" s="2361" t="n"/>
      <c r="V6" s="2361" t="n"/>
      <c r="W6" s="2361" t="n"/>
      <c r="X6" s="2361" t="n"/>
      <c r="Y6" s="2363" t="n"/>
    </row>
    <row r="7" ht="19.5" customHeight="1" s="1666">
      <c r="A7" s="2370" t="n"/>
      <c r="B7" s="2371" t="inlineStr">
        <is>
          <t>COMPTE</t>
        </is>
      </c>
      <c r="C7" s="2371" t="inlineStr">
        <is>
          <t>VALEUR CAD</t>
        </is>
      </c>
      <c r="D7" s="2371" t="inlineStr">
        <is>
          <t>VALEUR USD</t>
        </is>
      </c>
      <c r="E7" s="2371" t="inlineStr">
        <is>
          <t>INVESTI CAD</t>
        </is>
      </c>
      <c r="F7" s="2371" t="inlineStr">
        <is>
          <t>GAIN $CAD</t>
        </is>
      </c>
      <c r="G7" s="2371" t="inlineStr">
        <is>
          <t>GAIN %</t>
        </is>
      </c>
      <c r="H7" s="2371" t="inlineStr">
        <is>
          <t>NB POS.</t>
        </is>
      </c>
      <c r="I7" s="2371" t="inlineStr">
        <is>
          <t>ROOM RESTANT</t>
        </is>
      </c>
      <c r="J7" s="2371" t="inlineStr">
        <is>
          <t>STATUT</t>
        </is>
      </c>
      <c r="K7" s="2371" t="n"/>
      <c r="L7" s="2371" t="n"/>
      <c r="M7" s="2371" t="n"/>
      <c r="N7" s="2371" t="n"/>
      <c r="O7" s="2371" t="n"/>
      <c r="P7" s="2371" t="n"/>
      <c r="Q7" s="2371" t="n"/>
      <c r="R7" s="2372" t="n"/>
      <c r="S7" s="2370" t="n"/>
      <c r="T7" s="2370" t="n"/>
      <c r="U7" s="2370" t="n"/>
      <c r="V7" s="2370" t="n"/>
      <c r="W7" s="2370" t="n"/>
      <c r="X7" s="2370" t="n"/>
      <c r="Y7" s="2370" t="n"/>
      <c r="Z7" s="2370" t="n"/>
      <c r="AA7" s="2370" t="n"/>
    </row>
    <row r="8" ht="16.5" customHeight="1" s="1666">
      <c r="B8" s="2373" t="inlineStr">
        <is>
          <t>TFSA</t>
        </is>
      </c>
      <c r="C8" s="2374">
        <f>L44</f>
        <v/>
      </c>
      <c r="D8" s="2374">
        <f>M44</f>
        <v/>
      </c>
      <c r="E8" s="2374">
        <f>SUMPRODUCT((F15:F42="TFSA")*G15:G42*H15:H42)</f>
        <v/>
      </c>
      <c r="F8" s="2374">
        <f>N44</f>
        <v/>
      </c>
      <c r="G8" s="2375">
        <f>IF(L44&gt;0,N44/L44,0)</f>
        <v/>
      </c>
      <c r="H8" s="2376">
        <f>COUNTIF(F15:F42,"TFSA")</f>
        <v/>
      </c>
      <c r="I8" s="2374">
        <f>CONFIG!B6</f>
        <v/>
      </c>
      <c r="J8" s="2373">
        <f>IF(C8/F10&gt;=1,"ATTEINT","EN COURS")</f>
        <v/>
      </c>
    </row>
    <row r="9" ht="16.5" customHeight="1" s="1666">
      <c r="B9" s="2377" t="inlineStr">
        <is>
          <t>FHSA</t>
        </is>
      </c>
      <c r="C9" s="2378">
        <f>L59</f>
        <v/>
      </c>
      <c r="D9" s="2378">
        <f>M59</f>
        <v/>
      </c>
      <c r="E9" s="2378">
        <f>SUMPRODUCT((F47:F57="FHSA")*G47:G57*H47:H57)</f>
        <v/>
      </c>
      <c r="F9" s="2378">
        <f>N59</f>
        <v/>
      </c>
      <c r="G9" s="2379">
        <f>IF(L59&gt;0,N59/L59,0)</f>
        <v/>
      </c>
      <c r="H9" s="2380">
        <f>COUNTIF(F47:F57,"FHSA")</f>
        <v/>
      </c>
      <c r="I9" s="2378">
        <f>CONFIG!B7</f>
        <v/>
      </c>
      <c r="J9" s="2377">
        <f>IF(C9/F11&gt;=1,"ATTEINT","EN COURS")</f>
        <v/>
      </c>
    </row>
    <row r="10" ht="16.5" customHeight="1" s="1666">
      <c r="B10" s="2381" t="inlineStr">
        <is>
          <t>REER</t>
        </is>
      </c>
      <c r="C10" s="2382">
        <f>L68</f>
        <v/>
      </c>
      <c r="D10" s="2382">
        <f>M68</f>
        <v/>
      </c>
      <c r="E10" s="2382">
        <f>SUMPRODUCT((F60:F64="REER")*G60:G64*H60:H64)</f>
        <v/>
      </c>
      <c r="F10" s="2382">
        <f>N68</f>
        <v/>
      </c>
      <c r="G10" s="2383">
        <f>IF(L68&gt;0,N68/L68,0)</f>
        <v/>
      </c>
      <c r="H10" s="2384">
        <f>COUNTIF(F60:F64,"REER")</f>
        <v/>
      </c>
      <c r="I10" s="2382">
        <f>CONFIG!B8</f>
        <v/>
      </c>
      <c r="J10" s="2382">
        <f>IF(C10/F10&gt;=1,"ATTEINT","EN COURS")</f>
        <v/>
      </c>
    </row>
    <row r="11" ht="19.5" customHeight="1" s="1666">
      <c r="B11" s="2385" t="inlineStr">
        <is>
          <t>TOTAL</t>
        </is>
      </c>
      <c r="C11" s="2386">
        <f>L70</f>
        <v/>
      </c>
      <c r="D11" s="2386">
        <f>M70</f>
        <v/>
      </c>
      <c r="E11" s="2386">
        <f>E8+E9+E10</f>
        <v/>
      </c>
      <c r="F11" s="2386">
        <f>N70</f>
        <v/>
      </c>
      <c r="G11" s="2387">
        <f>IF(E11&gt;0,F11/E11,0)</f>
        <v/>
      </c>
      <c r="H11" s="2388">
        <f>H8+H9+H10</f>
        <v/>
      </c>
      <c r="I11" s="2385" t="n"/>
      <c r="J11" s="2385" t="n"/>
    </row>
    <row r="12" ht="14.25" customHeight="1" s="1666">
      <c r="A12" s="2361" t="n"/>
      <c r="B12" s="2361" t="n"/>
      <c r="C12" s="2361" t="n"/>
      <c r="D12" s="2361" t="n"/>
      <c r="E12" s="2361" t="n"/>
      <c r="F12" s="2361" t="n"/>
      <c r="G12" s="2361" t="n"/>
      <c r="H12" s="2361" t="n"/>
      <c r="I12" s="2361" t="n"/>
      <c r="J12" s="2361" t="n"/>
      <c r="K12" s="2361" t="n"/>
      <c r="L12" s="2361" t="n"/>
      <c r="M12" s="2361" t="n"/>
      <c r="N12" s="2361" t="n"/>
      <c r="O12" s="2361" t="n"/>
      <c r="P12" s="2361" t="n"/>
      <c r="Q12" s="2361" t="n"/>
      <c r="R12" s="2361" t="n"/>
      <c r="S12" s="2361" t="n"/>
      <c r="T12" s="2361" t="n"/>
      <c r="U12" s="2361" t="n"/>
      <c r="V12" s="2361" t="n"/>
      <c r="W12" s="2361" t="n"/>
      <c r="X12" s="2361" t="n"/>
      <c r="Y12" s="2361" t="n"/>
      <c r="Z12" s="2361" t="n"/>
      <c r="AA12" s="2361" t="n"/>
      <c r="AB12" s="2361" t="n"/>
      <c r="AC12" s="2363" t="n"/>
    </row>
    <row r="13" ht="19.5" customHeight="1" s="1666">
      <c r="A13" s="2389" t="n"/>
      <c r="B13" s="2390" t="inlineStr">
        <is>
          <t>TICKER</t>
        </is>
      </c>
      <c r="C13" s="2390" t="inlineStr">
        <is>
          <t>NOM COMPLET</t>
        </is>
      </c>
      <c r="D13" s="2390" t="inlineStr">
        <is>
          <t>TYPE</t>
        </is>
      </c>
      <c r="E13" s="2390" t="inlineStr">
        <is>
          <t>TIER</t>
        </is>
      </c>
      <c r="F13" s="2390" t="inlineStr">
        <is>
          <t>CTE</t>
        </is>
      </c>
      <c r="G13" s="2390" t="inlineStr">
        <is>
          <t>QTÉ</t>
        </is>
      </c>
      <c r="H13" s="2390" t="inlineStr">
        <is>
          <t>PRIX MOY CAD</t>
        </is>
      </c>
      <c r="I13" s="2390" t="inlineStr">
        <is>
          <t>PRIX ACT CAD</t>
        </is>
      </c>
      <c r="J13" s="2390" t="inlineStr">
        <is>
          <t>PRIX ACT USD</t>
        </is>
      </c>
      <c r="K13" s="2390" t="inlineStr">
        <is>
          <t>DEV</t>
        </is>
      </c>
      <c r="L13" s="2390" t="inlineStr">
        <is>
          <t>VALEUR CAD</t>
        </is>
      </c>
      <c r="M13" s="2390" t="inlineStr">
        <is>
          <t>VALEUR USD</t>
        </is>
      </c>
      <c r="N13" s="2390" t="inlineStr">
        <is>
          <t>GAIN $CAD</t>
        </is>
      </c>
      <c r="O13" s="2390" t="inlineStr">
        <is>
          <t>GAIN %</t>
        </is>
      </c>
      <c r="P13" s="2390" t="inlineStr">
        <is>
          <t>% PORT.</t>
        </is>
      </c>
      <c r="Q13" s="2390" t="inlineStr">
        <is>
          <t>ACTION</t>
        </is>
      </c>
      <c r="R13" s="2391" t="n"/>
      <c r="S13" s="2391" t="n"/>
      <c r="T13" s="2392" t="n"/>
      <c r="U13" s="2392" t="n"/>
      <c r="V13" s="2392" t="n"/>
      <c r="W13" s="2392" t="n"/>
      <c r="X13" s="2392" t="n"/>
      <c r="Y13" s="2392" t="n"/>
      <c r="Z13" s="2392" t="n"/>
      <c r="AA13" s="2392" t="n"/>
      <c r="AB13" s="2392" t="n"/>
      <c r="AC13" s="2392" t="n"/>
      <c r="AD13" s="2392" t="n"/>
    </row>
    <row r="14" ht="21.75" customHeight="1" s="1666">
      <c r="A14" s="2363" t="n"/>
      <c r="B14" s="2393" t="inlineStr">
        <is>
          <t>🟦  TFSA — Croissance long terme IA</t>
        </is>
      </c>
      <c r="R14" s="2363" t="n"/>
      <c r="S14" s="2363" t="n"/>
      <c r="T14" s="2363" t="n"/>
      <c r="U14" s="2363" t="n"/>
      <c r="V14" s="2363" t="n"/>
      <c r="W14" s="2363" t="n"/>
      <c r="X14" s="2363" t="n"/>
      <c r="Y14" s="2363" t="n"/>
      <c r="Z14" s="2363" t="n"/>
      <c r="AA14" s="2363" t="n"/>
      <c r="AB14" s="2363" t="n"/>
      <c r="AC14" s="2363" t="n"/>
      <c r="AD14" s="2363" t="n"/>
      <c r="AE14" s="2363" t="n"/>
    </row>
    <row r="15" ht="15.75" customHeight="1" s="1666">
      <c r="B15" s="2394" t="inlineStr">
        <is>
          <t>VFV.TO</t>
        </is>
      </c>
      <c r="C15" s="2394" t="inlineStr">
        <is>
          <t>Vanguard S&amp;P 500</t>
        </is>
      </c>
      <c r="D15" s="2394" t="inlineStr">
        <is>
          <t>ETF</t>
        </is>
      </c>
      <c r="E15" s="2395" t="inlineStr">
        <is>
          <t>T1</t>
        </is>
      </c>
      <c r="F15" s="2396" t="inlineStr">
        <is>
          <t>TFSA</t>
        </is>
      </c>
      <c r="G15" s="2397" t="n">
        <v>84</v>
      </c>
      <c r="H15" s="2398" t="n">
        <v>119.9246</v>
      </c>
      <c r="I15" s="2399">
        <f>CONFIG!G6</f>
        <v/>
      </c>
      <c r="J15" s="2399">
        <f>IFERROR(I15/C$4,0)</f>
        <v/>
      </c>
      <c r="K15" s="2396" t="inlineStr">
        <is>
          <t>CAD</t>
        </is>
      </c>
      <c r="L15" s="2400">
        <f>IF(G15=0,"-",G15*I15)</f>
        <v/>
      </c>
      <c r="M15" s="2400">
        <f>IF(G15=0,"-",G15*J15)</f>
        <v/>
      </c>
      <c r="N15" s="2401">
        <f>IF(G15=0,"-",(I15-H15)*G15)</f>
        <v/>
      </c>
      <c r="O15" s="2402">
        <f>IF(H15&gt;0,(I15-H15)/H15,0)</f>
        <v/>
      </c>
      <c r="P15" s="2403">
        <f>IF(AND(ISNUMBER(L15),L15&gt;0),L15/L$70,0)</f>
        <v/>
      </c>
      <c r="Q15" s="2404" t="inlineStr">
        <is>
          <t>✅ Accumuler</t>
        </is>
      </c>
      <c r="R15" s="2405" t="n"/>
      <c r="S15" s="2405" t="n"/>
      <c r="T15" s="2405" t="n"/>
    </row>
    <row r="16" ht="15.75" customHeight="1" s="1666">
      <c r="B16" s="2394" t="inlineStr">
        <is>
          <t>GOOG</t>
        </is>
      </c>
      <c r="C16" s="2394" t="inlineStr">
        <is>
          <t>Alphabet</t>
        </is>
      </c>
      <c r="D16" s="2394" t="inlineStr">
        <is>
          <t>Action</t>
        </is>
      </c>
      <c r="E16" s="2395" t="inlineStr">
        <is>
          <t>T1</t>
        </is>
      </c>
      <c r="F16" s="2396" t="inlineStr">
        <is>
          <t>TFSA</t>
        </is>
      </c>
      <c r="G16" s="2397" t="n">
        <v>6</v>
      </c>
      <c r="H16" s="2398" t="n">
        <v>90.60590000000001</v>
      </c>
      <c r="I16" s="2399">
        <f>J16*$C$4</f>
        <v/>
      </c>
      <c r="J16" s="2399">
        <f>CONFIG!G7</f>
        <v/>
      </c>
      <c r="K16" s="2396" t="inlineStr">
        <is>
          <t>USD</t>
        </is>
      </c>
      <c r="L16" s="2400">
        <f>IF(G16=0,"-",G16*I16)</f>
        <v/>
      </c>
      <c r="M16" s="2400">
        <f>IF(G16=0,"-",G16*J16)</f>
        <v/>
      </c>
      <c r="N16" s="2401">
        <f>IF(G16=0,"-",(I16-H16)*G16)</f>
        <v/>
      </c>
      <c r="O16" s="2402">
        <f>IF(H16&gt;0,(I16-H16)/H16,0)</f>
        <v/>
      </c>
      <c r="P16" s="2403">
        <f>IF(AND(ISNUMBER(L16),L16&gt;0),L16/L$70,0)</f>
        <v/>
      </c>
      <c r="Q16" s="2404" t="inlineStr">
        <is>
          <t>✅ Accumuler</t>
        </is>
      </c>
      <c r="R16" s="2405" t="n"/>
      <c r="S16" s="2405" t="n"/>
      <c r="T16" s="2405" t="n"/>
    </row>
    <row r="17" ht="15.75" customHeight="1" s="1666">
      <c r="B17" s="2394" t="inlineStr">
        <is>
          <t>AVGO</t>
        </is>
      </c>
      <c r="C17" s="2394" t="inlineStr">
        <is>
          <t>Broadcom</t>
        </is>
      </c>
      <c r="D17" s="2394" t="inlineStr">
        <is>
          <t>Action</t>
        </is>
      </c>
      <c r="E17" s="2395" t="inlineStr">
        <is>
          <t>T1</t>
        </is>
      </c>
      <c r="F17" s="2396" t="inlineStr">
        <is>
          <t>TFSA</t>
        </is>
      </c>
      <c r="G17" s="2397" t="n">
        <v>16.5743</v>
      </c>
      <c r="H17" s="2398" t="n">
        <v>342.1593</v>
      </c>
      <c r="I17" s="2399">
        <f>J17*$C$4</f>
        <v/>
      </c>
      <c r="J17" s="2399">
        <f>CONFIG!G8</f>
        <v/>
      </c>
      <c r="K17" s="2396" t="inlineStr">
        <is>
          <t>USD</t>
        </is>
      </c>
      <c r="L17" s="2400">
        <f>IF(G17=0,"-",G17*I17)</f>
        <v/>
      </c>
      <c r="M17" s="2400">
        <f>IF(G17=0,"-",G17*J17)</f>
        <v/>
      </c>
      <c r="N17" s="2401">
        <f>IF(G17=0,"-",(I17-H17)*G17)</f>
        <v/>
      </c>
      <c r="O17" s="2402">
        <f>IF(H17&gt;0,(I17-H17)/H17,0)</f>
        <v/>
      </c>
      <c r="P17" s="2403">
        <f>IF(AND(ISNUMBER(L17),L17&gt;0),L17/L$70,0)</f>
        <v/>
      </c>
      <c r="Q17" s="2404" t="inlineStr">
        <is>
          <t>✅ Accumuler</t>
        </is>
      </c>
      <c r="R17" s="2405" t="n"/>
      <c r="S17" s="2405" t="n"/>
      <c r="T17" s="2405" t="n"/>
    </row>
    <row r="18" ht="15.75" customHeight="1" s="1666">
      <c r="B18" s="2394" t="inlineStr">
        <is>
          <t>AMZN</t>
        </is>
      </c>
      <c r="C18" s="2394" t="inlineStr">
        <is>
          <t>Amazon</t>
        </is>
      </c>
      <c r="D18" s="2394" t="inlineStr">
        <is>
          <t>Action</t>
        </is>
      </c>
      <c r="E18" s="2395" t="inlineStr">
        <is>
          <t>T1</t>
        </is>
      </c>
      <c r="F18" s="2396" t="inlineStr">
        <is>
          <t>TFSA</t>
        </is>
      </c>
      <c r="G18" s="2397" t="n">
        <v>7.4817</v>
      </c>
      <c r="H18" s="2398" t="n">
        <v>113.7377</v>
      </c>
      <c r="I18" s="2399">
        <f>J18*$C$4</f>
        <v/>
      </c>
      <c r="J18" s="2399">
        <f>CONFIG!G9</f>
        <v/>
      </c>
      <c r="K18" s="2396" t="inlineStr">
        <is>
          <t>USD</t>
        </is>
      </c>
      <c r="L18" s="2400">
        <f>IF(G18=0,"-",G18*I18)</f>
        <v/>
      </c>
      <c r="M18" s="2400">
        <f>IF(G18=0,"-",G18*J18)</f>
        <v/>
      </c>
      <c r="N18" s="2401">
        <f>IF(G18=0,"-",(I18-H18)*G18)</f>
        <v/>
      </c>
      <c r="O18" s="2402">
        <f>IF(H18&gt;0,(I18-H18)/H18,0)</f>
        <v/>
      </c>
      <c r="P18" s="2403">
        <f>IF(AND(ISNUMBER(L18),L18&gt;0),L18/L$70,0)</f>
        <v/>
      </c>
      <c r="Q18" s="2404" t="inlineStr">
        <is>
          <t>✅ Accumuler</t>
        </is>
      </c>
      <c r="R18" s="2405" t="n"/>
      <c r="S18" s="2405" t="n"/>
      <c r="T18" s="2405" t="n"/>
    </row>
    <row r="19" ht="15.75" customHeight="1" s="1666">
      <c r="B19" s="2394" t="inlineStr">
        <is>
          <t>SMH</t>
        </is>
      </c>
      <c r="C19" s="2394" t="inlineStr">
        <is>
          <t>VanEck Semis</t>
        </is>
      </c>
      <c r="D19" s="2394" t="inlineStr">
        <is>
          <t>ETF</t>
        </is>
      </c>
      <c r="E19" s="2395" t="inlineStr">
        <is>
          <t>T1</t>
        </is>
      </c>
      <c r="F19" s="2396" t="inlineStr">
        <is>
          <t>TFSA</t>
        </is>
      </c>
      <c r="G19" s="2397" t="n">
        <v>19.2266</v>
      </c>
      <c r="H19" s="2398" t="n">
        <v>393.5653</v>
      </c>
      <c r="I19" s="2399">
        <f>J19*$C$4</f>
        <v/>
      </c>
      <c r="J19" s="2399">
        <f>CONFIG!G10</f>
        <v/>
      </c>
      <c r="K19" s="2396" t="inlineStr">
        <is>
          <t>USD</t>
        </is>
      </c>
      <c r="L19" s="2400">
        <f>IF(G19=0,"-",G19*I19)</f>
        <v/>
      </c>
      <c r="M19" s="2400">
        <f>IF(G19=0,"-",G19*J19)</f>
        <v/>
      </c>
      <c r="N19" s="2401">
        <f>IF(G19=0,"-",(I19-H19)*G19)</f>
        <v/>
      </c>
      <c r="O19" s="2402">
        <f>IF(H19&gt;0,(I19-H19)/H19,0)</f>
        <v/>
      </c>
      <c r="P19" s="2403">
        <f>IF(AND(ISNUMBER(L19),L19&gt;0),L19/L$70,0)</f>
        <v/>
      </c>
      <c r="Q19" s="2404" t="inlineStr">
        <is>
          <t>✅ Accumuler</t>
        </is>
      </c>
      <c r="R19" s="2405" t="n"/>
      <c r="S19" s="2405" t="n"/>
      <c r="T19" s="2405" t="n"/>
    </row>
    <row r="20" ht="15.75" customHeight="1" s="1666">
      <c r="B20" s="2394" t="inlineStr">
        <is>
          <t>META</t>
        </is>
      </c>
      <c r="C20" s="2394" t="inlineStr">
        <is>
          <t>Meta Platforms</t>
        </is>
      </c>
      <c r="D20" s="2394" t="inlineStr">
        <is>
          <t>Action</t>
        </is>
      </c>
      <c r="E20" s="2395" t="inlineStr">
        <is>
          <t>T1</t>
        </is>
      </c>
      <c r="F20" s="2396" t="inlineStr">
        <is>
          <t>TFSA</t>
        </is>
      </c>
      <c r="G20" s="2397" t="n">
        <v>1</v>
      </c>
      <c r="H20" s="2398" t="n">
        <v>637.7698</v>
      </c>
      <c r="I20" s="2399">
        <f>J20*$C$4</f>
        <v/>
      </c>
      <c r="J20" s="2399">
        <f>CONFIG!G11</f>
        <v/>
      </c>
      <c r="K20" s="2396" t="inlineStr">
        <is>
          <t>USD</t>
        </is>
      </c>
      <c r="L20" s="2400">
        <f>IF(G20=0,"-",G20*I20)</f>
        <v/>
      </c>
      <c r="M20" s="2400">
        <f>IF(G20=0,"-",G20*J20)</f>
        <v/>
      </c>
      <c r="N20" s="2401">
        <f>IF(G20=0,"-",(I20-H20)*G20)</f>
        <v/>
      </c>
      <c r="O20" s="2402">
        <f>IF(H20&gt;0,(I20-H20)/H20,0)</f>
        <v/>
      </c>
      <c r="P20" s="2403">
        <f>IF(AND(ISNUMBER(L20),L20&gt;0),L20/L$70,0)</f>
        <v/>
      </c>
      <c r="Q20" s="2404" t="inlineStr">
        <is>
          <t>✅ Accumuler</t>
        </is>
      </c>
      <c r="R20" s="2405" t="n"/>
      <c r="S20" s="2405" t="n"/>
      <c r="T20" s="2405" t="n"/>
    </row>
    <row r="21" ht="15.75" customHeight="1" s="1666">
      <c r="B21" s="2394" t="inlineStr">
        <is>
          <t>ENB.TO</t>
        </is>
      </c>
      <c r="C21" s="2394" t="inlineStr">
        <is>
          <t>Enbridge</t>
        </is>
      </c>
      <c r="D21" s="2394" t="inlineStr">
        <is>
          <t>Action</t>
        </is>
      </c>
      <c r="E21" s="2395" t="inlineStr">
        <is>
          <t>T1</t>
        </is>
      </c>
      <c r="F21" s="2396" t="inlineStr">
        <is>
          <t>TFSA</t>
        </is>
      </c>
      <c r="G21" s="2397" t="n">
        <v>9</v>
      </c>
      <c r="H21" s="2398" t="n">
        <v>49.62</v>
      </c>
      <c r="I21" s="2399">
        <f>CONFIG!G12</f>
        <v/>
      </c>
      <c r="J21" s="2399">
        <f>IFERROR(I21/C$4,0)</f>
        <v/>
      </c>
      <c r="K21" s="2396" t="inlineStr">
        <is>
          <t>CAD</t>
        </is>
      </c>
      <c r="L21" s="2400">
        <f>IF(G21=0,"-",G21*I21)</f>
        <v/>
      </c>
      <c r="M21" s="2400">
        <f>IF(G21=0,"-",G21*J21)</f>
        <v/>
      </c>
      <c r="N21" s="2401">
        <f>IF(G21=0,"-",(I21-H21)*G21)</f>
        <v/>
      </c>
      <c r="O21" s="2402">
        <f>IF(H21&gt;0,(I21-H21)/H21,0)</f>
        <v/>
      </c>
      <c r="P21" s="2403">
        <f>IF(AND(ISNUMBER(L21),L21&gt;0),L21/L$70,0)</f>
        <v/>
      </c>
      <c r="Q21" s="2404" t="inlineStr">
        <is>
          <t>✅ Garder</t>
        </is>
      </c>
      <c r="R21" s="2405" t="n"/>
      <c r="S21" s="2405" t="n"/>
      <c r="T21" s="2405" t="n"/>
    </row>
    <row r="22" ht="15.75" customHeight="1" s="1666">
      <c r="B22" s="2394" t="inlineStr">
        <is>
          <t>GEV</t>
        </is>
      </c>
      <c r="C22" s="2394" t="inlineStr">
        <is>
          <t>GE Vernova</t>
        </is>
      </c>
      <c r="D22" s="2394" t="inlineStr">
        <is>
          <t>Action</t>
        </is>
      </c>
      <c r="E22" s="2395" t="inlineStr">
        <is>
          <t>T1</t>
        </is>
      </c>
      <c r="F22" s="2396" t="inlineStr">
        <is>
          <t>TFSA</t>
        </is>
      </c>
      <c r="G22" s="2397" t="n">
        <v>2.4431</v>
      </c>
      <c r="H22" s="2398" t="n">
        <v>831.9906999999999</v>
      </c>
      <c r="I22" s="2399">
        <f>J22*$C$4</f>
        <v/>
      </c>
      <c r="J22" s="2399">
        <f>CONFIG!G13</f>
        <v/>
      </c>
      <c r="K22" s="2396" t="inlineStr">
        <is>
          <t>USD</t>
        </is>
      </c>
      <c r="L22" s="2400">
        <f>IF(G22=0,"-",G22*I22)</f>
        <v/>
      </c>
      <c r="M22" s="2400">
        <f>IF(G22=0,"-",G22*J22)</f>
        <v/>
      </c>
      <c r="N22" s="2401">
        <f>IF(G22=0,"-",(I22-H22)*G22)</f>
        <v/>
      </c>
      <c r="O22" s="2402">
        <f>IF(H22&gt;0,(I22-H22)/H22,0)</f>
        <v/>
      </c>
      <c r="P22" s="2403">
        <f>IF(AND(ISNUMBER(L22),L22&gt;0),L22/L$70,0)</f>
        <v/>
      </c>
      <c r="Q22" s="2404" t="inlineStr">
        <is>
          <t>✅ Accumuler</t>
        </is>
      </c>
      <c r="R22" s="2405" t="n"/>
      <c r="S22" s="2405" t="n"/>
      <c r="T22" s="2405" t="n"/>
    </row>
    <row r="23" ht="15.75" customHeight="1" s="1666">
      <c r="B23" s="2406" t="inlineStr">
        <is>
          <t>MSFT</t>
        </is>
      </c>
      <c r="C23" s="2406" t="inlineStr">
        <is>
          <t>Microsoft</t>
        </is>
      </c>
      <c r="D23" s="2406" t="inlineStr">
        <is>
          <t>Action</t>
        </is>
      </c>
      <c r="E23" s="2407" t="inlineStr">
        <is>
          <t>T2</t>
        </is>
      </c>
      <c r="F23" s="2408" t="inlineStr">
        <is>
          <t>TFSA</t>
        </is>
      </c>
      <c r="G23" s="2409" t="n">
        <v>2</v>
      </c>
      <c r="H23" s="2410" t="n">
        <v>312.5938</v>
      </c>
      <c r="I23" s="2411">
        <f>J23*$C$4</f>
        <v/>
      </c>
      <c r="J23" s="2411">
        <f>CONFIG!G15</f>
        <v/>
      </c>
      <c r="K23" s="2408" t="inlineStr">
        <is>
          <t>USD</t>
        </is>
      </c>
      <c r="L23" s="2412">
        <f>IF(G23=0,"-",G23*I23)</f>
        <v/>
      </c>
      <c r="M23" s="2412">
        <f>IF(G23=0,"-",G23*J23)</f>
        <v/>
      </c>
      <c r="N23" s="2413">
        <f>IF(G23=0,"-",(I23-H23)*G23)</f>
        <v/>
      </c>
      <c r="O23" s="2414">
        <f>IF(H23&gt;0,(I23-H23)/H23,0)</f>
        <v/>
      </c>
      <c r="P23" s="2415">
        <f>IF(AND(ISNUMBER(L23),L23&gt;0),L23/L$70,0)</f>
        <v/>
      </c>
      <c r="Q23" s="2416" t="inlineStr">
        <is>
          <t>✅ Garder</t>
        </is>
      </c>
      <c r="R23" s="2417" t="n"/>
      <c r="S23" s="2417" t="n"/>
      <c r="T23" s="2417" t="n"/>
    </row>
    <row r="24" ht="15.75" customHeight="1" s="1666">
      <c r="B24" s="2406" t="inlineStr">
        <is>
          <t>NVDA</t>
        </is>
      </c>
      <c r="C24" s="2406" t="inlineStr">
        <is>
          <t>NVIDIA</t>
        </is>
      </c>
      <c r="D24" s="2406" t="inlineStr">
        <is>
          <t>Action</t>
        </is>
      </c>
      <c r="E24" s="2407" t="inlineStr">
        <is>
          <t>T2</t>
        </is>
      </c>
      <c r="F24" s="2408" t="inlineStr">
        <is>
          <t>TFSA</t>
        </is>
      </c>
      <c r="G24" s="2409" t="n">
        <v>4</v>
      </c>
      <c r="H24" s="2410" t="n">
        <v>128.59</v>
      </c>
      <c r="I24" s="2411">
        <f>J24*$C$4</f>
        <v/>
      </c>
      <c r="J24" s="2411">
        <f>CONFIG!G16</f>
        <v/>
      </c>
      <c r="K24" s="2408" t="inlineStr">
        <is>
          <t>USD</t>
        </is>
      </c>
      <c r="L24" s="2412">
        <f>IF(G24=0,"-",G24*I24)</f>
        <v/>
      </c>
      <c r="M24" s="2412">
        <f>IF(G24=0,"-",G24*J24)</f>
        <v/>
      </c>
      <c r="N24" s="2413">
        <f>IF(G24=0,"-",(I24-H24)*G24)</f>
        <v/>
      </c>
      <c r="O24" s="2414">
        <f>IF(H24&gt;0,(I24-H24)/H24,0)</f>
        <v/>
      </c>
      <c r="P24" s="2415">
        <f>IF(AND(ISNUMBER(L24),L24&gt;0),L24/L$70,0)</f>
        <v/>
      </c>
      <c r="Q24" s="2416" t="inlineStr">
        <is>
          <t>✅ Garder</t>
        </is>
      </c>
      <c r="R24" s="2417" t="n"/>
      <c r="S24" s="2417" t="n"/>
      <c r="T24" s="2417" t="n"/>
    </row>
    <row r="25" ht="15.75" customHeight="1" s="1666">
      <c r="B25" s="2406" t="inlineStr">
        <is>
          <t>TSLA</t>
        </is>
      </c>
      <c r="C25" s="2406" t="inlineStr">
        <is>
          <t>Tesla</t>
        </is>
      </c>
      <c r="D25" s="2406" t="inlineStr">
        <is>
          <t>Action</t>
        </is>
      </c>
      <c r="E25" s="2407" t="inlineStr">
        <is>
          <t>T2</t>
        </is>
      </c>
      <c r="F25" s="2408" t="inlineStr">
        <is>
          <t>TFSA</t>
        </is>
      </c>
      <c r="G25" s="2409" t="n">
        <v>1.8645</v>
      </c>
      <c r="H25" s="2410" t="n">
        <v>303.5644</v>
      </c>
      <c r="I25" s="2411">
        <f>J25*$C$4</f>
        <v/>
      </c>
      <c r="J25" s="2411">
        <f>CONFIG!G17</f>
        <v/>
      </c>
      <c r="K25" s="2408" t="inlineStr">
        <is>
          <t>USD</t>
        </is>
      </c>
      <c r="L25" s="2412">
        <f>IF(G25=0,"-",G25*I25)</f>
        <v/>
      </c>
      <c r="M25" s="2412">
        <f>IF(G25=0,"-",G25*J25)</f>
        <v/>
      </c>
      <c r="N25" s="2413">
        <f>IF(G25=0,"-",(I25-H25)*G25)</f>
        <v/>
      </c>
      <c r="O25" s="2414">
        <f>IF(H25&gt;0,(I25-H25)/H25,0)</f>
        <v/>
      </c>
      <c r="P25" s="2415">
        <f>IF(AND(ISNUMBER(L25),L25&gt;0),L25/L$70,0)</f>
        <v/>
      </c>
      <c r="Q25" s="2416" t="inlineStr">
        <is>
          <t>✅ Garder</t>
        </is>
      </c>
      <c r="R25" s="2417" t="n"/>
      <c r="S25" s="2417" t="n"/>
      <c r="T25" s="2417" t="n"/>
    </row>
    <row r="26" ht="15.75" customHeight="1" s="1666">
      <c r="B26" s="2406" t="inlineStr">
        <is>
          <t>QQQM</t>
        </is>
      </c>
      <c r="C26" s="2406" t="inlineStr">
        <is>
          <t>Invesco Nasdaq100</t>
        </is>
      </c>
      <c r="D26" s="2406" t="inlineStr">
        <is>
          <t>ETF</t>
        </is>
      </c>
      <c r="E26" s="2407" t="inlineStr">
        <is>
          <t>T2</t>
        </is>
      </c>
      <c r="F26" s="2408" t="inlineStr">
        <is>
          <t>TFSA</t>
        </is>
      </c>
      <c r="G26" s="2409" t="n">
        <v>4.4515</v>
      </c>
      <c r="H26" s="2410" t="n">
        <v>247.1068</v>
      </c>
      <c r="I26" s="2411">
        <f>J26*$C$4</f>
        <v/>
      </c>
      <c r="J26" s="2411">
        <f>CONFIG!G18</f>
        <v/>
      </c>
      <c r="K26" s="2408" t="inlineStr">
        <is>
          <t>USD</t>
        </is>
      </c>
      <c r="L26" s="2412">
        <f>IF(G26=0,"-",G26*I26)</f>
        <v/>
      </c>
      <c r="M26" s="2412">
        <f>IF(G26=0,"-",G26*J26)</f>
        <v/>
      </c>
      <c r="N26" s="2413">
        <f>IF(G26=0,"-",(I26-H26)*G26)</f>
        <v/>
      </c>
      <c r="O26" s="2414">
        <f>IF(H26&gt;0,(I26-H26)/H26,0)</f>
        <v/>
      </c>
      <c r="P26" s="2415">
        <f>IF(AND(ISNUMBER(L26),L26&gt;0),L26/L$70,0)</f>
        <v/>
      </c>
      <c r="Q26" s="2416" t="inlineStr">
        <is>
          <t>✅ Migration ZQQ ✅</t>
        </is>
      </c>
      <c r="R26" s="2417" t="n"/>
      <c r="S26" s="2417" t="n"/>
      <c r="T26" s="2417" t="n"/>
    </row>
    <row r="27" ht="15.75" customHeight="1" s="1666">
      <c r="B27" s="2406" t="inlineStr">
        <is>
          <t>XEQT.TO</t>
        </is>
      </c>
      <c r="C27" s="2406" t="inlineStr">
        <is>
          <t>iShares Core Eq</t>
        </is>
      </c>
      <c r="D27" s="2406" t="inlineStr">
        <is>
          <t>ETF</t>
        </is>
      </c>
      <c r="E27" s="2407" t="inlineStr">
        <is>
          <t>T2</t>
        </is>
      </c>
      <c r="F27" s="2408" t="inlineStr">
        <is>
          <t>TFSA</t>
        </is>
      </c>
      <c r="G27" s="2409" t="n">
        <v>25</v>
      </c>
      <c r="H27" s="2410" t="n">
        <v>39.97</v>
      </c>
      <c r="I27" s="2411">
        <f>CONFIG!G19</f>
        <v/>
      </c>
      <c r="J27" s="2411">
        <f>IFERROR(I27/C$4,0)</f>
        <v/>
      </c>
      <c r="K27" s="2408" t="inlineStr">
        <is>
          <t>CAD</t>
        </is>
      </c>
      <c r="L27" s="2412">
        <f>IF(G27=0,"-",G27*I27)</f>
        <v/>
      </c>
      <c r="M27" s="2412">
        <f>IF(G27=0,"-",G27*J27)</f>
        <v/>
      </c>
      <c r="N27" s="2413">
        <f>IF(G27=0,"-",(I27-H27)*G27)</f>
        <v/>
      </c>
      <c r="O27" s="2414">
        <f>IF(H27&gt;0,(I27-H27)/H27,0)</f>
        <v/>
      </c>
      <c r="P27" s="2415">
        <f>IF(AND(ISNUMBER(L27),L27&gt;0),L27/L$70,0)</f>
        <v/>
      </c>
      <c r="Q27" s="2416" t="inlineStr">
        <is>
          <t>✅ Migration ZEQT ✅</t>
        </is>
      </c>
      <c r="R27" s="2417" t="n"/>
      <c r="S27" s="2417" t="n"/>
      <c r="T27" s="2417" t="n"/>
    </row>
    <row r="28" ht="15.75" customHeight="1" s="1666">
      <c r="B28" s="2406" t="inlineStr">
        <is>
          <t>SPGI</t>
        </is>
      </c>
      <c r="C28" s="2406" t="inlineStr">
        <is>
          <t>S&amp;P Global</t>
        </is>
      </c>
      <c r="D28" s="2406" t="inlineStr">
        <is>
          <t>Action</t>
        </is>
      </c>
      <c r="E28" s="2407" t="inlineStr">
        <is>
          <t>T2</t>
        </is>
      </c>
      <c r="F28" s="2408" t="inlineStr">
        <is>
          <t>TFSA</t>
        </is>
      </c>
      <c r="G28" s="2409" t="n">
        <v>0.9996</v>
      </c>
      <c r="H28" s="2410" t="n">
        <v>443.2458</v>
      </c>
      <c r="I28" s="2411">
        <f>J28*$C$4</f>
        <v/>
      </c>
      <c r="J28" s="2411">
        <f>CONFIG!G14</f>
        <v/>
      </c>
      <c r="K28" s="2408" t="inlineStr">
        <is>
          <t>USD</t>
        </is>
      </c>
      <c r="L28" s="2412">
        <f>IF(G28=0,"-",G28*I28)</f>
        <v/>
      </c>
      <c r="M28" s="2412">
        <f>IF(G28=0,"-",G28*J28)</f>
        <v/>
      </c>
      <c r="N28" s="2413">
        <f>IF(G28=0,"-",(I28-H28)*G28)</f>
        <v/>
      </c>
      <c r="O28" s="2414">
        <f>IF(H28&gt;0,(I28-H28)/H28,0)</f>
        <v/>
      </c>
      <c r="P28" s="2415">
        <f>IF(AND(ISNUMBER(L28),L28&gt;0),L28/L$70,0)</f>
        <v/>
      </c>
      <c r="Q28" s="2416" t="inlineStr">
        <is>
          <t>✅ Garder</t>
        </is>
      </c>
      <c r="R28" s="2417" t="n"/>
      <c r="S28" s="2417" t="n"/>
      <c r="T28" s="2417" t="n"/>
    </row>
    <row r="29" ht="15.75" customHeight="1" s="1666">
      <c r="B29" s="2418" t="inlineStr">
        <is>
          <t>TD.TO</t>
        </is>
      </c>
      <c r="C29" s="2418" t="inlineStr">
        <is>
          <t>TD Bank</t>
        </is>
      </c>
      <c r="D29" s="2418" t="inlineStr">
        <is>
          <t>Action</t>
        </is>
      </c>
      <c r="E29" s="2419" t="inlineStr">
        <is>
          <t>T3</t>
        </is>
      </c>
      <c r="F29" s="2420" t="inlineStr">
        <is>
          <t>TFSA</t>
        </is>
      </c>
      <c r="G29" s="2421" t="n">
        <v>87</v>
      </c>
      <c r="H29" s="2422" t="n">
        <v>79.8348</v>
      </c>
      <c r="I29" s="2423">
        <f>CONFIG!G20</f>
        <v/>
      </c>
      <c r="J29" s="2423">
        <f>IFERROR(I29/C$4,0)</f>
        <v/>
      </c>
      <c r="K29" s="2420" t="inlineStr">
        <is>
          <t>CAD</t>
        </is>
      </c>
      <c r="L29" s="2424">
        <f>IF(G29=0,"-",G29*I29)</f>
        <v/>
      </c>
      <c r="M29" s="2424">
        <f>IF(G29=0,"-",G29*J29)</f>
        <v/>
      </c>
      <c r="N29" s="2425">
        <f>IF(G29=0,"-",(I29-H29)*G29)</f>
        <v/>
      </c>
      <c r="O29" s="2426">
        <f>IF(H29&gt;0,(I29-H29)/H29,0)</f>
        <v/>
      </c>
      <c r="P29" s="2427">
        <f>IF(AND(ISNUMBER(L29),L29&gt;0),L29/L$70,0)</f>
        <v/>
      </c>
      <c r="Q29" s="2428" t="inlineStr">
        <is>
          <t>🔵 Diluer — ne plus acheter</t>
        </is>
      </c>
      <c r="R29" s="2429" t="n"/>
      <c r="S29" s="2429" t="n"/>
      <c r="T29" s="2429" t="n"/>
    </row>
    <row r="30" ht="15.75" customHeight="1" s="1666">
      <c r="B30" s="2418" t="inlineStr">
        <is>
          <t>ZLB.TO</t>
        </is>
      </c>
      <c r="C30" s="2418" t="inlineStr">
        <is>
          <t>BMO Low Vol</t>
        </is>
      </c>
      <c r="D30" s="2418" t="inlineStr">
        <is>
          <t>ETF</t>
        </is>
      </c>
      <c r="E30" s="2419" t="inlineStr">
        <is>
          <t>T3</t>
        </is>
      </c>
      <c r="F30" s="2420" t="inlineStr">
        <is>
          <t>TFSA</t>
        </is>
      </c>
      <c r="G30" s="2421" t="n">
        <v>37</v>
      </c>
      <c r="H30" s="2422" t="n">
        <v>58.1416</v>
      </c>
      <c r="I30" s="2423">
        <f>CONFIG!G21</f>
        <v/>
      </c>
      <c r="J30" s="2423">
        <f>IFERROR(I30/C$4,0)</f>
        <v/>
      </c>
      <c r="K30" s="2420" t="inlineStr">
        <is>
          <t>CAD</t>
        </is>
      </c>
      <c r="L30" s="2424">
        <f>IF(G30=0,"-",G30*I30)</f>
        <v/>
      </c>
      <c r="M30" s="2424">
        <f>IF(G30=0,"-",G30*J30)</f>
        <v/>
      </c>
      <c r="N30" s="2425">
        <f>IF(G30=0,"-",(I30-H30)*G30)</f>
        <v/>
      </c>
      <c r="O30" s="2426">
        <f>IF(H30&gt;0,(I30-H30)/H30,0)</f>
        <v/>
      </c>
      <c r="P30" s="2427">
        <f>IF(AND(ISNUMBER(L30),L30&gt;0),L30/L$70,0)</f>
        <v/>
      </c>
      <c r="Q30" s="2428" t="inlineStr">
        <is>
          <t>🔵 Garder</t>
        </is>
      </c>
      <c r="R30" s="2429" t="n"/>
      <c r="S30" s="2429" t="n"/>
      <c r="T30" s="2429" t="n"/>
    </row>
    <row r="31" ht="15.75" customHeight="1" s="1666">
      <c r="B31" s="2418" t="inlineStr">
        <is>
          <t>H.TO</t>
        </is>
      </c>
      <c r="C31" s="2418" t="inlineStr">
        <is>
          <t>Hydro One</t>
        </is>
      </c>
      <c r="D31" s="2418" t="inlineStr">
        <is>
          <t>Action</t>
        </is>
      </c>
      <c r="E31" s="2419" t="inlineStr">
        <is>
          <t>T3</t>
        </is>
      </c>
      <c r="F31" s="2420" t="inlineStr">
        <is>
          <t>TFSA</t>
        </is>
      </c>
      <c r="G31" s="2421" t="n">
        <v>22</v>
      </c>
      <c r="H31" s="2422" t="n">
        <v>52.8663</v>
      </c>
      <c r="I31" s="2423">
        <f>CONFIG!G22</f>
        <v/>
      </c>
      <c r="J31" s="2423">
        <f>IFERROR(I31/C$4,0)</f>
        <v/>
      </c>
      <c r="K31" s="2420" t="inlineStr">
        <is>
          <t>CAD</t>
        </is>
      </c>
      <c r="L31" s="2424">
        <f>IF(G31=0,"-",G31*I31)</f>
        <v/>
      </c>
      <c r="M31" s="2424">
        <f>IF(G31=0,"-",G31*J31)</f>
        <v/>
      </c>
      <c r="N31" s="2425">
        <f>IF(G31=0,"-",(I31-H31)*G31)</f>
        <v/>
      </c>
      <c r="O31" s="2426">
        <f>IF(H31&gt;0,(I31-H31)/H31,0)</f>
        <v/>
      </c>
      <c r="P31" s="2427">
        <f>IF(AND(ISNUMBER(L31),L31&gt;0),L31/L$70,0)</f>
        <v/>
      </c>
      <c r="Q31" s="2428" t="inlineStr">
        <is>
          <t>🔵 Garder</t>
        </is>
      </c>
      <c r="R31" s="2429" t="n"/>
      <c r="S31" s="2429" t="n"/>
      <c r="T31" s="2429" t="n"/>
    </row>
    <row r="32" ht="15.75" customHeight="1" s="1666">
      <c r="B32" s="2418" t="inlineStr">
        <is>
          <t>T.TO</t>
        </is>
      </c>
      <c r="C32" s="2418" t="inlineStr">
        <is>
          <t>TELUS</t>
        </is>
      </c>
      <c r="D32" s="2418" t="inlineStr">
        <is>
          <t>Action</t>
        </is>
      </c>
      <c r="E32" s="2419" t="inlineStr">
        <is>
          <t>T3</t>
        </is>
      </c>
      <c r="F32" s="2420" t="inlineStr">
        <is>
          <t>TFSA</t>
        </is>
      </c>
      <c r="G32" s="2421" t="n">
        <v>32</v>
      </c>
      <c r="H32" s="2422" t="n">
        <v>22.04</v>
      </c>
      <c r="I32" s="2423">
        <f>CONFIG!G23</f>
        <v/>
      </c>
      <c r="J32" s="2423">
        <f>IFERROR(I32/C$4,0)</f>
        <v/>
      </c>
      <c r="K32" s="2420" t="inlineStr">
        <is>
          <t>CAD</t>
        </is>
      </c>
      <c r="L32" s="2424">
        <f>IF(G32=0,"-",G32*I32)</f>
        <v/>
      </c>
      <c r="M32" s="2424">
        <f>IF(G32=0,"-",G32*J32)</f>
        <v/>
      </c>
      <c r="N32" s="2425">
        <f>IF(G32=0,"-",(I32-H32)*G32)</f>
        <v/>
      </c>
      <c r="O32" s="2426">
        <f>IF(H32&gt;0,(I32-H32)/H32,0)</f>
        <v/>
      </c>
      <c r="P32" s="2427">
        <f>IF(AND(ISNUMBER(L32),L32&gt;0),L32/L$70,0)</f>
        <v/>
      </c>
      <c r="Q32" s="2428" t="inlineStr">
        <is>
          <t>👀 Surveiller div Q3</t>
        </is>
      </c>
      <c r="R32" s="2429" t="n"/>
      <c r="S32" s="2429" t="n"/>
      <c r="T32" s="2429" t="n"/>
    </row>
    <row r="33" ht="15.75" customHeight="1" s="1666">
      <c r="B33" s="2418" t="inlineStr">
        <is>
          <t>QTUM</t>
        </is>
      </c>
      <c r="C33" s="2418" t="inlineStr">
        <is>
          <t>Defiance Quantum</t>
        </is>
      </c>
      <c r="D33" s="2418" t="inlineStr">
        <is>
          <t>ETF</t>
        </is>
      </c>
      <c r="E33" s="2419" t="inlineStr">
        <is>
          <t>T3</t>
        </is>
      </c>
      <c r="F33" s="2420" t="inlineStr">
        <is>
          <t>TFSA</t>
        </is>
      </c>
      <c r="G33" s="2421" t="n">
        <v>5</v>
      </c>
      <c r="H33" s="2422" t="n">
        <v>120.81</v>
      </c>
      <c r="I33" s="2423">
        <f>J33*$C$4</f>
        <v/>
      </c>
      <c r="J33" s="2423">
        <f>CONFIG!G24</f>
        <v/>
      </c>
      <c r="K33" s="2420" t="inlineStr">
        <is>
          <t>USD</t>
        </is>
      </c>
      <c r="L33" s="2424">
        <f>IF(G33=0,"-",G33*I33)</f>
        <v/>
      </c>
      <c r="M33" s="2424">
        <f>IF(G33=0,"-",G33*J33)</f>
        <v/>
      </c>
      <c r="N33" s="2425">
        <f>IF(G33=0,"-",(I33-H33)*G33)</f>
        <v/>
      </c>
      <c r="O33" s="2426">
        <f>IF(H33&gt;0,(I33-H33)/H33,0)</f>
        <v/>
      </c>
      <c r="P33" s="2427">
        <f>IF(AND(ISNUMBER(L33),L33&gt;0),L33/L$70,0)</f>
        <v/>
      </c>
      <c r="Q33" s="2428" t="inlineStr">
        <is>
          <t>🔵 Garder (max 5)</t>
        </is>
      </c>
      <c r="R33" s="2429" t="n"/>
      <c r="S33" s="2429" t="n"/>
      <c r="T33" s="2429" t="n"/>
    </row>
    <row r="34" ht="15.75" customHeight="1" s="1666">
      <c r="B34" s="2418" t="inlineStr">
        <is>
          <t>HURA.TO</t>
        </is>
      </c>
      <c r="C34" s="2418" t="inlineStr">
        <is>
          <t>Global X Uranium</t>
        </is>
      </c>
      <c r="D34" s="2418" t="inlineStr">
        <is>
          <t>ETF</t>
        </is>
      </c>
      <c r="E34" s="2419" t="inlineStr">
        <is>
          <t>T3</t>
        </is>
      </c>
      <c r="F34" s="2420" t="inlineStr">
        <is>
          <t>TFSA</t>
        </is>
      </c>
      <c r="G34" s="2421" t="n">
        <v>6</v>
      </c>
      <c r="H34" s="2422" t="n">
        <v>55.25</v>
      </c>
      <c r="I34" s="2423">
        <f>CONFIG!G25</f>
        <v/>
      </c>
      <c r="J34" s="2423">
        <f>IFERROR(I34/C$4,0)</f>
        <v/>
      </c>
      <c r="K34" s="2420" t="inlineStr">
        <is>
          <t>CAD</t>
        </is>
      </c>
      <c r="L34" s="2424">
        <f>IF(G34=0,"-",G34*I34)</f>
        <v/>
      </c>
      <c r="M34" s="2424">
        <f>IF(G34=0,"-",G34*J34)</f>
        <v/>
      </c>
      <c r="N34" s="2425">
        <f>IF(G34=0,"-",(I34-H34)*G34)</f>
        <v/>
      </c>
      <c r="O34" s="2426">
        <f>IF(H34&gt;0,(I34-H34)/H34,0)</f>
        <v/>
      </c>
      <c r="P34" s="2427">
        <f>IF(AND(ISNUMBER(L34),L34&gt;0),L34/L$70,0)</f>
        <v/>
      </c>
      <c r="Q34" s="2428" t="inlineStr">
        <is>
          <t>🔵 Garder</t>
        </is>
      </c>
      <c r="R34" s="2429" t="n"/>
      <c r="S34" s="2429" t="n"/>
      <c r="T34" s="2429" t="n"/>
    </row>
    <row r="35" ht="15.75" customHeight="1" s="1666">
      <c r="B35" s="2430" t="inlineStr">
        <is>
          <t>REI.UN.TO</t>
        </is>
      </c>
      <c r="C35" s="2430" t="inlineStr">
        <is>
          <t>RioCan REIT</t>
        </is>
      </c>
      <c r="D35" s="2430" t="inlineStr">
        <is>
          <t>REIT</t>
        </is>
      </c>
      <c r="E35" s="2431" t="inlineStr">
        <is>
          <t>T4</t>
        </is>
      </c>
      <c r="F35" s="2432" t="inlineStr">
        <is>
          <t>TFSA</t>
        </is>
      </c>
      <c r="G35" s="2433" t="n">
        <v>0</v>
      </c>
      <c r="H35" s="2434" t="n">
        <v>0</v>
      </c>
      <c r="I35" s="2435">
        <f>CONFIG!G26</f>
        <v/>
      </c>
      <c r="J35" s="2435">
        <f>IFERROR(I35/C$4,0)</f>
        <v/>
      </c>
      <c r="K35" s="2432" t="inlineStr">
        <is>
          <t>CAD</t>
        </is>
      </c>
      <c r="L35" s="2436">
        <f>IF(G35=0,"-",G35*I35)</f>
        <v/>
      </c>
      <c r="M35" s="2436">
        <f>IF(G35=0,"-",G35*J35)</f>
        <v/>
      </c>
      <c r="N35" s="2437">
        <f>IF(G35=0,"-",(I35-H35)*G35)</f>
        <v/>
      </c>
      <c r="O35" s="2438">
        <f>IF(H35&gt;0,(I35-H35)/H35,0)</f>
        <v/>
      </c>
      <c r="P35" s="2439">
        <f>IF(AND(ISNUMBER(L35),L35&gt;0),L35/L$70,0)</f>
        <v/>
      </c>
      <c r="Q35" s="2440" t="inlineStr">
        <is>
          <t>🔄 Diluer</t>
        </is>
      </c>
      <c r="R35" s="2441" t="n"/>
      <c r="S35" s="2441" t="n"/>
      <c r="T35" s="2441" t="n"/>
    </row>
    <row r="36" ht="15.75" customHeight="1" s="1666">
      <c r="B36" s="2430" t="inlineStr">
        <is>
          <t>PLZ.UN.TO</t>
        </is>
      </c>
      <c r="C36" s="2430" t="inlineStr">
        <is>
          <t>Plaza Retail</t>
        </is>
      </c>
      <c r="D36" s="2430" t="inlineStr">
        <is>
          <t>REIT</t>
        </is>
      </c>
      <c r="E36" s="2431" t="inlineStr">
        <is>
          <t>T4</t>
        </is>
      </c>
      <c r="F36" s="2432" t="inlineStr">
        <is>
          <t>TFSA</t>
        </is>
      </c>
      <c r="G36" s="2433" t="n">
        <v>0</v>
      </c>
      <c r="H36" s="2434" t="n">
        <v>0</v>
      </c>
      <c r="I36" s="2435">
        <f>CONFIG!G27</f>
        <v/>
      </c>
      <c r="J36" s="2435">
        <f>IFERROR(I36/C$4,0)</f>
        <v/>
      </c>
      <c r="K36" s="2432" t="inlineStr">
        <is>
          <t>CAD</t>
        </is>
      </c>
      <c r="L36" s="2436">
        <f>IF(G36=0,"-",G36*I36)</f>
        <v/>
      </c>
      <c r="M36" s="2436">
        <f>IF(G36=0,"-",G36*J36)</f>
        <v/>
      </c>
      <c r="N36" s="2437">
        <f>IF(G36=0,"-",(I36-H36)*G36)</f>
        <v/>
      </c>
      <c r="O36" s="2438">
        <f>IF(H36&gt;0,(I36-H36)/H36,0)</f>
        <v/>
      </c>
      <c r="P36" s="2439">
        <f>IF(AND(ISNUMBER(L36),L36&gt;0),L36/L$70,0)</f>
        <v/>
      </c>
      <c r="Q36" s="2440" t="inlineStr">
        <is>
          <t>🔄 Diluer</t>
        </is>
      </c>
      <c r="R36" s="2441" t="n"/>
      <c r="S36" s="2441" t="n"/>
      <c r="T36" s="2441" t="n"/>
    </row>
    <row r="37" ht="15.75" customHeight="1" s="1666">
      <c r="B37" s="2430" t="inlineStr">
        <is>
          <t>XEI.TO</t>
        </is>
      </c>
      <c r="C37" s="2430" t="inlineStr">
        <is>
          <t>iShares High Div</t>
        </is>
      </c>
      <c r="D37" s="2430" t="inlineStr">
        <is>
          <t>ETF</t>
        </is>
      </c>
      <c r="E37" s="2431" t="inlineStr">
        <is>
          <t>T4</t>
        </is>
      </c>
      <c r="F37" s="2432" t="inlineStr">
        <is>
          <t>TFSA</t>
        </is>
      </c>
      <c r="G37" s="2433" t="n">
        <v>51</v>
      </c>
      <c r="H37" s="2434" t="n">
        <v>30.6811</v>
      </c>
      <c r="I37" s="2435">
        <f>CONFIG!G28</f>
        <v/>
      </c>
      <c r="J37" s="2435">
        <f>IFERROR(I37/C$4,0)</f>
        <v/>
      </c>
      <c r="K37" s="2432" t="inlineStr">
        <is>
          <t>CAD</t>
        </is>
      </c>
      <c r="L37" s="2436">
        <f>IF(G37=0,"-",G37*I37)</f>
        <v/>
      </c>
      <c r="M37" s="2436">
        <f>IF(G37=0,"-",G37*J37)</f>
        <v/>
      </c>
      <c r="N37" s="2437">
        <f>IF(G37=0,"-",(I37-H37)*G37)</f>
        <v/>
      </c>
      <c r="O37" s="2438">
        <f>IF(H37&gt;0,(I37-H37)/H37,0)</f>
        <v/>
      </c>
      <c r="P37" s="2439">
        <f>IF(AND(ISNUMBER(L37),L37&gt;0),L37/L$70,0)</f>
        <v/>
      </c>
      <c r="Q37" s="2440" t="inlineStr">
        <is>
          <t>🔄 Diluer</t>
        </is>
      </c>
      <c r="R37" s="2441" t="n"/>
      <c r="S37" s="2441" t="n"/>
      <c r="T37" s="2441" t="n"/>
    </row>
    <row r="38" ht="15.75" customHeight="1" s="1666">
      <c r="B38" s="2430" t="inlineStr">
        <is>
          <t>SRU.UN.TO</t>
        </is>
      </c>
      <c r="C38" s="2430" t="inlineStr">
        <is>
          <t>SmartCentres</t>
        </is>
      </c>
      <c r="D38" s="2430" t="inlineStr">
        <is>
          <t>REIT</t>
        </is>
      </c>
      <c r="E38" s="2431" t="inlineStr">
        <is>
          <t>T4</t>
        </is>
      </c>
      <c r="F38" s="2432" t="inlineStr">
        <is>
          <t>TFSA</t>
        </is>
      </c>
      <c r="G38" s="2433" t="n">
        <v>57</v>
      </c>
      <c r="H38" s="2434" t="n">
        <v>25.2543</v>
      </c>
      <c r="I38" s="2435">
        <f>CONFIG!G29</f>
        <v/>
      </c>
      <c r="J38" s="2435">
        <f>IFERROR(I38/C$4,0)</f>
        <v/>
      </c>
      <c r="K38" s="2432" t="inlineStr">
        <is>
          <t>CAD</t>
        </is>
      </c>
      <c r="L38" s="2436">
        <f>IF(G38=0,"-",G38*I38)</f>
        <v/>
      </c>
      <c r="M38" s="2436">
        <f>IF(G38=0,"-",G38*J38)</f>
        <v/>
      </c>
      <c r="N38" s="2437">
        <f>IF(G38=0,"-",(I38-H38)*G38)</f>
        <v/>
      </c>
      <c r="O38" s="2438">
        <f>IF(H38&gt;0,(I38-H38)/H38,0)</f>
        <v/>
      </c>
      <c r="P38" s="2439">
        <f>IF(AND(ISNUMBER(L38),L38&gt;0),L38/L$70,0)</f>
        <v/>
      </c>
      <c r="Q38" s="2440" t="inlineStr">
        <is>
          <t>🔄 Diluer</t>
        </is>
      </c>
      <c r="R38" s="2441" t="n"/>
      <c r="S38" s="2441" t="n"/>
      <c r="T38" s="2441" t="n"/>
    </row>
    <row r="39" ht="15.75" customHeight="1" s="1666">
      <c r="B39" s="2430" t="inlineStr">
        <is>
          <t>XIC.TO</t>
        </is>
      </c>
      <c r="C39" s="2430" t="inlineStr">
        <is>
          <t>iShares TSX</t>
        </is>
      </c>
      <c r="D39" s="2430" t="inlineStr">
        <is>
          <t>ETF</t>
        </is>
      </c>
      <c r="E39" s="2431" t="inlineStr">
        <is>
          <t>T4</t>
        </is>
      </c>
      <c r="F39" s="2432" t="inlineStr">
        <is>
          <t>TFSA</t>
        </is>
      </c>
      <c r="G39" s="2433" t="n">
        <v>21</v>
      </c>
      <c r="H39" s="2434" t="n">
        <v>40.4066</v>
      </c>
      <c r="I39" s="2435">
        <f>CONFIG!G30</f>
        <v/>
      </c>
      <c r="J39" s="2435">
        <f>IFERROR(I39/C$4,0)</f>
        <v/>
      </c>
      <c r="K39" s="2432" t="inlineStr">
        <is>
          <t>CAD</t>
        </is>
      </c>
      <c r="L39" s="2436">
        <f>IF(G39=0,"-",G39*I39)</f>
        <v/>
      </c>
      <c r="M39" s="2436">
        <f>IF(G39=0,"-",G39*J39)</f>
        <v/>
      </c>
      <c r="N39" s="2437">
        <f>IF(G39=0,"-",(I39-H39)*G39)</f>
        <v/>
      </c>
      <c r="O39" s="2438">
        <f>IF(H39&gt;0,(I39-H39)/H39,0)</f>
        <v/>
      </c>
      <c r="P39" s="2439">
        <f>IF(AND(ISNUMBER(L39),L39&gt;0),L39/L$70,0)</f>
        <v/>
      </c>
      <c r="Q39" s="2440" t="inlineStr">
        <is>
          <t>🔄 Diluer</t>
        </is>
      </c>
      <c r="R39" s="2441" t="n"/>
      <c r="S39" s="2441" t="n"/>
      <c r="T39" s="2441" t="n"/>
    </row>
    <row r="40" ht="15.75" customHeight="1" s="1666">
      <c r="B40" s="2430" t="inlineStr">
        <is>
          <t>ZRE.TO</t>
        </is>
      </c>
      <c r="C40" s="2430" t="inlineStr">
        <is>
          <t>BMO Equal REITs</t>
        </is>
      </c>
      <c r="D40" s="2430" t="inlineStr">
        <is>
          <t>ETF</t>
        </is>
      </c>
      <c r="E40" s="2431" t="inlineStr">
        <is>
          <t>T4</t>
        </is>
      </c>
      <c r="F40" s="2432" t="inlineStr">
        <is>
          <t>TFSA</t>
        </is>
      </c>
      <c r="G40" s="2433" t="n">
        <v>19</v>
      </c>
      <c r="H40" s="2434" t="n">
        <v>20.83</v>
      </c>
      <c r="I40" s="2435">
        <f>CONFIG!G31</f>
        <v/>
      </c>
      <c r="J40" s="2435">
        <f>IFERROR(I40/C$4,0)</f>
        <v/>
      </c>
      <c r="K40" s="2432" t="inlineStr">
        <is>
          <t>CAD</t>
        </is>
      </c>
      <c r="L40" s="2436">
        <f>IF(G40=0,"-",G40*I40)</f>
        <v/>
      </c>
      <c r="M40" s="2436">
        <f>IF(G40=0,"-",G40*J40)</f>
        <v/>
      </c>
      <c r="N40" s="2437">
        <f>IF(G40=0,"-",(I40-H40)*G40)</f>
        <v/>
      </c>
      <c r="O40" s="2438">
        <f>IF(H40&gt;0,(I40-H40)/H40,0)</f>
        <v/>
      </c>
      <c r="P40" s="2439">
        <f>IF(AND(ISNUMBER(L40),L40&gt;0),L40/L$70,0)</f>
        <v/>
      </c>
      <c r="Q40" s="2440" t="inlineStr">
        <is>
          <t>🔄 Diluer</t>
        </is>
      </c>
      <c r="R40" s="2441" t="n"/>
      <c r="S40" s="2441" t="n"/>
      <c r="T40" s="2441" t="n"/>
    </row>
    <row r="41" ht="15.75" customHeight="1" s="1666">
      <c r="B41" s="2430" t="inlineStr">
        <is>
          <t>MFC.TO</t>
        </is>
      </c>
      <c r="C41" s="2430" t="inlineStr">
        <is>
          <t>Manulife</t>
        </is>
      </c>
      <c r="D41" s="2430" t="inlineStr">
        <is>
          <t>Action</t>
        </is>
      </c>
      <c r="E41" s="2431" t="inlineStr">
        <is>
          <t>T4</t>
        </is>
      </c>
      <c r="F41" s="2432" t="inlineStr">
        <is>
          <t>TFSA</t>
        </is>
      </c>
      <c r="G41" s="2433" t="n">
        <v>8</v>
      </c>
      <c r="H41" s="2434" t="n">
        <v>51.7</v>
      </c>
      <c r="I41" s="2435">
        <f>CONFIG!G32</f>
        <v/>
      </c>
      <c r="J41" s="2435">
        <f>IFERROR(I41/C$4,0)</f>
        <v/>
      </c>
      <c r="K41" s="2432" t="inlineStr">
        <is>
          <t>CAD</t>
        </is>
      </c>
      <c r="L41" s="2436">
        <f>IF(G41=0,"-",G41*I41)</f>
        <v/>
      </c>
      <c r="M41" s="2436">
        <f>IF(G41=0,"-",G41*J41)</f>
        <v/>
      </c>
      <c r="N41" s="2437">
        <f>IF(G41=0,"-",(I41-H41)*G41)</f>
        <v/>
      </c>
      <c r="O41" s="2438">
        <f>IF(H41&gt;0,(I41-H41)/H41,0)</f>
        <v/>
      </c>
      <c r="P41" s="2439">
        <f>IF(AND(ISNUMBER(L41),L41&gt;0),L41/L$70,0)</f>
        <v/>
      </c>
      <c r="Q41" s="2440" t="inlineStr">
        <is>
          <t>🔄 Diluer</t>
        </is>
      </c>
      <c r="R41" s="2441" t="n"/>
      <c r="S41" s="2441" t="n"/>
      <c r="T41" s="2441" t="n"/>
    </row>
    <row r="42" ht="15.75" customHeight="1" s="1666">
      <c r="B42" s="2430" t="inlineStr">
        <is>
          <t>VDU.TO</t>
        </is>
      </c>
      <c r="C42" s="2430" t="inlineStr">
        <is>
          <t>Vanguard Dev</t>
        </is>
      </c>
      <c r="D42" s="2430" t="inlineStr">
        <is>
          <t>ETF</t>
        </is>
      </c>
      <c r="E42" s="2431" t="inlineStr">
        <is>
          <t>T4</t>
        </is>
      </c>
      <c r="F42" s="2432" t="inlineStr">
        <is>
          <t>TFSA</t>
        </is>
      </c>
      <c r="G42" s="2433" t="n">
        <v>6</v>
      </c>
      <c r="H42" s="2434" t="n">
        <v>43.75</v>
      </c>
      <c r="I42" s="2435">
        <f>CONFIG!G33</f>
        <v/>
      </c>
      <c r="J42" s="2435">
        <f>IFERROR(I42/C$4,0)</f>
        <v/>
      </c>
      <c r="K42" s="2432" t="inlineStr">
        <is>
          <t>CAD</t>
        </is>
      </c>
      <c r="L42" s="2436">
        <f>IF(G42=0,"-",G42*I42)</f>
        <v/>
      </c>
      <c r="M42" s="2436">
        <f>IF(G42=0,"-",G42*J42)</f>
        <v/>
      </c>
      <c r="N42" s="2437">
        <f>IF(G42=0,"-",(I42-H42)*G42)</f>
        <v/>
      </c>
      <c r="O42" s="2438">
        <f>IF(H42&gt;0,(I42-H42)/H42,0)</f>
        <v/>
      </c>
      <c r="P42" s="2439">
        <f>IF(AND(ISNUMBER(L42),L42&gt;0),L42/L$70,0)</f>
        <v/>
      </c>
      <c r="Q42" s="2440" t="inlineStr">
        <is>
          <t>🔄 Diluer</t>
        </is>
      </c>
      <c r="R42" s="2441" t="n"/>
      <c r="S42" s="2441" t="n"/>
      <c r="T42" s="2441" t="n"/>
    </row>
    <row r="43" ht="15.75" customHeight="1" s="1666">
      <c r="B43" s="2442" t="inlineStr">
        <is>
          <t>💵 CASH TFSA</t>
        </is>
      </c>
      <c r="L43" s="2442">
        <f>CONFIG!B37</f>
        <v/>
      </c>
      <c r="M43" s="2442">
        <f>CONFIG!B37/CONFIG!B3</f>
        <v/>
      </c>
      <c r="N43" s="2442" t="n">
        <v>0</v>
      </c>
      <c r="O43" s="2442" t="n">
        <v>0</v>
      </c>
      <c r="P43" s="2443" t="n"/>
    </row>
    <row r="44" ht="14.25" customHeight="1" s="1666">
      <c r="A44" s="2392" t="n"/>
      <c r="B44" s="2444" t="inlineStr">
        <is>
          <t>SOUS-TOTAL TFSA</t>
        </is>
      </c>
      <c r="C44" s="2444" t="n"/>
      <c r="D44" s="2444" t="n"/>
      <c r="E44" s="2444" t="n"/>
      <c r="F44" s="2444" t="n"/>
      <c r="G44" s="2444" t="n"/>
      <c r="H44" s="2444" t="n"/>
      <c r="I44" s="2444" t="n"/>
      <c r="J44" s="2444" t="n"/>
      <c r="K44" s="2444" t="n"/>
      <c r="L44" s="2445">
        <f>SUM(L15:L43)</f>
        <v/>
      </c>
      <c r="M44" s="2445">
        <f>SUM(M15:M43)</f>
        <v/>
      </c>
      <c r="N44" s="2445">
        <f>SUM(N15:N43)</f>
        <v/>
      </c>
      <c r="O44" s="2446">
        <f>IF(L43&gt;0,N43/L43,0)</f>
        <v/>
      </c>
      <c r="P44" s="2444" t="n"/>
      <c r="Q44" s="2444" t="n"/>
      <c r="R44" s="2392" t="n"/>
      <c r="S44" s="2392" t="n"/>
      <c r="T44" s="2392" t="n"/>
      <c r="U44" s="2392" t="n"/>
      <c r="V44" s="2392" t="n"/>
      <c r="W44" s="2392" t="n"/>
      <c r="X44" s="2392" t="n"/>
      <c r="Y44" s="2392" t="n"/>
      <c r="Z44" s="2392" t="n"/>
      <c r="AA44" s="2392" t="n"/>
      <c r="AB44" s="2392" t="n"/>
      <c r="AC44" s="2392" t="n"/>
      <c r="AD44" s="2392" t="n"/>
      <c r="AE44" s="2392" t="n"/>
      <c r="AF44" s="2392" t="n"/>
      <c r="AG44" s="2392" t="n"/>
      <c r="AH44" s="2392" t="n"/>
    </row>
    <row r="45" ht="15.75" customHeight="1" s="1666">
      <c r="A45" s="2361" t="n"/>
      <c r="B45" s="2361" t="n"/>
      <c r="R45" s="2361" t="n"/>
      <c r="S45" s="2361" t="n"/>
      <c r="T45" s="2361" t="n"/>
      <c r="U45" s="2361" t="n"/>
      <c r="V45" s="2361" t="n"/>
      <c r="W45" s="2361" t="n"/>
      <c r="X45" s="2361" t="n"/>
      <c r="Y45" s="2361" t="n"/>
      <c r="Z45" s="2361" t="n"/>
      <c r="AA45" s="2361" t="n"/>
      <c r="AB45" s="2361" t="n"/>
      <c r="AC45" s="2361" t="n"/>
      <c r="AD45" s="2361" t="n"/>
      <c r="AE45" s="2361" t="n"/>
      <c r="AF45" s="2361" t="n"/>
      <c r="AG45" s="2361" t="n"/>
      <c r="AH45" s="2361" t="n"/>
      <c r="AI45" s="2361" t="n"/>
      <c r="AJ45" s="2361" t="n"/>
      <c r="AK45" s="2361" t="n"/>
    </row>
    <row r="46" ht="21.75" customHeight="1" s="1666">
      <c r="A46" s="2363" t="n"/>
      <c r="B46" s="2447" t="inlineStr">
        <is>
          <t>🟩  FHSA — Maison 2028</t>
        </is>
      </c>
      <c r="R46" s="2363" t="n"/>
      <c r="S46" s="2363" t="n"/>
      <c r="T46" s="2363" t="n"/>
      <c r="U46" s="2363" t="n"/>
      <c r="V46" s="2363" t="n"/>
      <c r="W46" s="2363" t="n"/>
      <c r="X46" s="2363" t="n"/>
      <c r="Y46" s="2363" t="n"/>
      <c r="Z46" s="2363" t="n"/>
      <c r="AA46" s="2363" t="n"/>
      <c r="AB46" s="2363" t="n"/>
      <c r="AC46" s="2363" t="n"/>
      <c r="AD46" s="2363" t="n"/>
      <c r="AE46" s="2363" t="n"/>
      <c r="AF46" s="2363" t="n"/>
    </row>
    <row r="47" ht="15.75" customHeight="1" s="1666">
      <c r="B47" s="2394" t="inlineStr">
        <is>
          <t>VFV.TO</t>
        </is>
      </c>
      <c r="C47" s="2394" t="inlineStr">
        <is>
          <t>Vanguard S&amp;P 500</t>
        </is>
      </c>
      <c r="D47" s="2394" t="inlineStr">
        <is>
          <t>ETF</t>
        </is>
      </c>
      <c r="E47" s="2395" t="inlineStr">
        <is>
          <t>T1</t>
        </is>
      </c>
      <c r="F47" s="2396" t="inlineStr">
        <is>
          <t>FHSA</t>
        </is>
      </c>
      <c r="G47" s="2397" t="n">
        <v>16</v>
      </c>
      <c r="H47" s="2398" t="n">
        <v>157.3812</v>
      </c>
      <c r="I47" s="2399">
        <f>CONFIG!G6</f>
        <v/>
      </c>
      <c r="J47" s="2399">
        <f>IFERROR(I47/C$4,0)</f>
        <v/>
      </c>
      <c r="K47" s="2396" t="inlineStr">
        <is>
          <t>CAD</t>
        </is>
      </c>
      <c r="L47" s="2400">
        <f>IF(G47=0,"-",G47*I47)</f>
        <v/>
      </c>
      <c r="M47" s="2400">
        <f>IF(G47=0,"-",G47*J47)</f>
        <v/>
      </c>
      <c r="N47" s="2401">
        <f>IF(G47=0,"-",(I47-H47)*G47)</f>
        <v/>
      </c>
      <c r="O47" s="2402">
        <f>IF(H46&gt;0,(I46-H46)/H46,0)</f>
        <v/>
      </c>
      <c r="P47" s="2403">
        <f>IF(AND(ISNUMBER(L46),L46&gt;0),L46/L$70,0)</f>
        <v/>
      </c>
      <c r="Q47" s="2404" t="inlineStr">
        <is>
          <t>✅ Achat auto $2,500/mois</t>
        </is>
      </c>
      <c r="R47" s="2405" t="n"/>
      <c r="S47" s="2405" t="n"/>
      <c r="T47" s="2405" t="n"/>
    </row>
    <row r="48" ht="15.75" customHeight="1" s="1666">
      <c r="B48" s="2394" t="inlineStr">
        <is>
          <t>AMZN</t>
        </is>
      </c>
      <c r="C48" s="2394" t="inlineStr">
        <is>
          <t>Amazon</t>
        </is>
      </c>
      <c r="D48" s="2394" t="inlineStr">
        <is>
          <t>Action</t>
        </is>
      </c>
      <c r="E48" s="2395" t="inlineStr">
        <is>
          <t>T1</t>
        </is>
      </c>
      <c r="F48" s="2396" t="inlineStr">
        <is>
          <t>FHSA</t>
        </is>
      </c>
      <c r="G48" s="2397" t="n">
        <v>7</v>
      </c>
      <c r="H48" s="2398" t="n">
        <v>154.9418</v>
      </c>
      <c r="I48" s="2399">
        <f>J48*$C$4</f>
        <v/>
      </c>
      <c r="J48" s="2399">
        <f>CONFIG!G9</f>
        <v/>
      </c>
      <c r="K48" s="2396" t="inlineStr">
        <is>
          <t>USD</t>
        </is>
      </c>
      <c r="L48" s="2400">
        <f>IF(G48=0,"-",G48*I48)</f>
        <v/>
      </c>
      <c r="M48" s="2400">
        <f>IF(G48=0,"-",G48*J48)</f>
        <v/>
      </c>
      <c r="N48" s="2401">
        <f>IF(G48=0,"-",(I48-H48)*G48)</f>
        <v/>
      </c>
      <c r="O48" s="2402">
        <f>IF(H47&gt;0,(I47-H47)/H47,0)</f>
        <v/>
      </c>
      <c r="P48" s="2403">
        <f>IF(AND(ISNUMBER(L47),L47&gt;0),L47/L$70,0)</f>
        <v/>
      </c>
      <c r="Q48" s="2404" t="inlineStr">
        <is>
          <t>✅ Garder</t>
        </is>
      </c>
      <c r="R48" s="2405" t="n"/>
      <c r="S48" s="2405" t="n"/>
      <c r="T48" s="2405" t="n"/>
    </row>
    <row r="49" ht="15.75" customHeight="1" s="1666">
      <c r="B49" s="2406" t="inlineStr">
        <is>
          <t>QQQM</t>
        </is>
      </c>
      <c r="C49" s="2406" t="inlineStr">
        <is>
          <t>Invesco Nasdaq100</t>
        </is>
      </c>
      <c r="D49" s="2406" t="inlineStr">
        <is>
          <t>ETF</t>
        </is>
      </c>
      <c r="E49" s="2407" t="inlineStr">
        <is>
          <t>T2</t>
        </is>
      </c>
      <c r="F49" s="2408" t="inlineStr">
        <is>
          <t>FHSA</t>
        </is>
      </c>
      <c r="G49" s="2409" t="n">
        <v>5.311</v>
      </c>
      <c r="H49" s="2410" t="n">
        <v>247.4064</v>
      </c>
      <c r="I49" s="2411">
        <f>J49*$C$4</f>
        <v/>
      </c>
      <c r="J49" s="2411">
        <f>CONFIG!G18</f>
        <v/>
      </c>
      <c r="K49" s="2408" t="inlineStr">
        <is>
          <t>USD</t>
        </is>
      </c>
      <c r="L49" s="2412">
        <f>IF(G49=0,"-",G49*I49)</f>
        <v/>
      </c>
      <c r="M49" s="2412">
        <f>IF(G49=0,"-",G49*J49)</f>
        <v/>
      </c>
      <c r="N49" s="2413">
        <f>IF(G49=0,"-",(I49-H49)*G49)</f>
        <v/>
      </c>
      <c r="O49" s="2414">
        <f>IF(H48&gt;0,(I48-H48)/H48,0)</f>
        <v/>
      </c>
      <c r="P49" s="2415">
        <f>IF(AND(ISNUMBER(L48),L48&gt;0),L48/L$70,0)</f>
        <v/>
      </c>
      <c r="Q49" s="2416" t="inlineStr">
        <is>
          <t>✅ Migration ZQQ ✅</t>
        </is>
      </c>
      <c r="R49" s="2417" t="n"/>
      <c r="S49" s="2417" t="n"/>
      <c r="T49" s="2417" t="n"/>
    </row>
    <row r="50" ht="15.75" customHeight="1" s="1666">
      <c r="B50" s="2406" t="inlineStr">
        <is>
          <t>XEQT.TO</t>
        </is>
      </c>
      <c r="C50" s="2406" t="inlineStr">
        <is>
          <t>iShares Core Eq</t>
        </is>
      </c>
      <c r="D50" s="2406" t="inlineStr">
        <is>
          <t>ETF</t>
        </is>
      </c>
      <c r="E50" s="2407" t="inlineStr">
        <is>
          <t>T2</t>
        </is>
      </c>
      <c r="F50" s="2408" t="inlineStr">
        <is>
          <t>FHSA</t>
        </is>
      </c>
      <c r="G50" s="2409" t="n">
        <v>15</v>
      </c>
      <c r="H50" s="2410" t="n">
        <v>40.06</v>
      </c>
      <c r="I50" s="2411">
        <f>CONFIG!G19</f>
        <v/>
      </c>
      <c r="J50" s="2411">
        <f>IFERROR(I50/C$4,0)</f>
        <v/>
      </c>
      <c r="K50" s="2408" t="inlineStr">
        <is>
          <t>CAD</t>
        </is>
      </c>
      <c r="L50" s="2412">
        <f>IF(G50=0,"-",G50*I50)</f>
        <v/>
      </c>
      <c r="M50" s="2412">
        <f>IF(G50=0,"-",G50*J50)</f>
        <v/>
      </c>
      <c r="N50" s="2413">
        <f>IF(G50=0,"-",(I50-H50)*G50)</f>
        <v/>
      </c>
      <c r="O50" s="2414">
        <f>IF(H49&gt;0,(I49-H49)/H49,0)</f>
        <v/>
      </c>
      <c r="P50" s="2415">
        <f>IF(AND(ISNUMBER(L49),L49&gt;0),L49/L$70,0)</f>
        <v/>
      </c>
      <c r="Q50" s="2416" t="inlineStr">
        <is>
          <t>✅ Migration ZEQT ✅</t>
        </is>
      </c>
      <c r="R50" s="2417" t="n"/>
      <c r="S50" s="2417" t="n"/>
      <c r="T50" s="2417" t="n"/>
    </row>
    <row r="51" ht="15.75" customHeight="1" s="1666">
      <c r="B51" s="2418" t="inlineStr">
        <is>
          <t>TD.TO</t>
        </is>
      </c>
      <c r="C51" s="2418" t="inlineStr">
        <is>
          <t>TD Bank</t>
        </is>
      </c>
      <c r="D51" s="2418" t="inlineStr">
        <is>
          <t>Action</t>
        </is>
      </c>
      <c r="E51" s="2419" t="inlineStr">
        <is>
          <t>T3</t>
        </is>
      </c>
      <c r="F51" s="2420" t="inlineStr">
        <is>
          <t>FHSA</t>
        </is>
      </c>
      <c r="G51" s="2421" t="n">
        <v>15</v>
      </c>
      <c r="H51" s="2422" t="n">
        <v>82.29000000000001</v>
      </c>
      <c r="I51" s="2423">
        <f>CONFIG!G20</f>
        <v/>
      </c>
      <c r="J51" s="2423">
        <f>IFERROR(I51/C$4,0)</f>
        <v/>
      </c>
      <c r="K51" s="2420" t="inlineStr">
        <is>
          <t>CAD</t>
        </is>
      </c>
      <c r="L51" s="2424">
        <f>IF(G51=0,"-",G51*I51)</f>
        <v/>
      </c>
      <c r="M51" s="2424">
        <f>IF(G51=0,"-",G51*J51)</f>
        <v/>
      </c>
      <c r="N51" s="2425">
        <f>IF(G51=0,"-",(I51-H51)*G51)</f>
        <v/>
      </c>
      <c r="O51" s="2426">
        <f>IF(H50&gt;0,(I50-H50)/H50,0)</f>
        <v/>
      </c>
      <c r="P51" s="2427">
        <f>IF(AND(ISNUMBER(L50),L50&gt;0),L50/L$70,0)</f>
        <v/>
      </c>
      <c r="Q51" s="2428" t="inlineStr">
        <is>
          <t>🔵 Garder</t>
        </is>
      </c>
      <c r="R51" s="2429" t="n"/>
      <c r="S51" s="2429" t="n"/>
      <c r="T51" s="2429" t="n"/>
    </row>
    <row r="52" ht="15.75" customHeight="1" s="1666">
      <c r="B52" s="2418" t="inlineStr">
        <is>
          <t>H.TO</t>
        </is>
      </c>
      <c r="C52" s="2418" t="inlineStr">
        <is>
          <t>Hydro One</t>
        </is>
      </c>
      <c r="D52" s="2418" t="inlineStr">
        <is>
          <t>Action</t>
        </is>
      </c>
      <c r="E52" s="2419" t="inlineStr">
        <is>
          <t>T3</t>
        </is>
      </c>
      <c r="F52" s="2420" t="inlineStr">
        <is>
          <t>FHSA</t>
        </is>
      </c>
      <c r="G52" s="2421" t="n">
        <v>10</v>
      </c>
      <c r="H52" s="2422" t="n">
        <v>51.78</v>
      </c>
      <c r="I52" s="2423">
        <f>CONFIG!G22</f>
        <v/>
      </c>
      <c r="J52" s="2423">
        <f>IFERROR(I52/C$4,0)</f>
        <v/>
      </c>
      <c r="K52" s="2420" t="inlineStr">
        <is>
          <t>CAD</t>
        </is>
      </c>
      <c r="L52" s="2424">
        <f>IF(G52=0,"-",G52*I52)</f>
        <v/>
      </c>
      <c r="M52" s="2424">
        <f>IF(G52=0,"-",G52*J52)</f>
        <v/>
      </c>
      <c r="N52" s="2425">
        <f>IF(G52=0,"-",(I52-H52)*G52)</f>
        <v/>
      </c>
      <c r="O52" s="2426">
        <f>IF(H51&gt;0,(I51-H51)/H51,0)</f>
        <v/>
      </c>
      <c r="P52" s="2427">
        <f>IF(AND(ISNUMBER(L51),L51&gt;0),L51/L$70,0)</f>
        <v/>
      </c>
      <c r="Q52" s="2428" t="inlineStr">
        <is>
          <t>🔵 Garder</t>
        </is>
      </c>
      <c r="R52" s="2429" t="n"/>
      <c r="S52" s="2429" t="n"/>
      <c r="T52" s="2429" t="n"/>
    </row>
    <row r="53" ht="15.75" customHeight="1" s="1666">
      <c r="B53" s="2418" t="inlineStr">
        <is>
          <t>ZLB.TO</t>
        </is>
      </c>
      <c r="C53" s="2418" t="inlineStr">
        <is>
          <t>BMO Low Vol</t>
        </is>
      </c>
      <c r="D53" s="2418" t="inlineStr">
        <is>
          <t>ETF</t>
        </is>
      </c>
      <c r="E53" s="2419" t="inlineStr">
        <is>
          <t>T3</t>
        </is>
      </c>
      <c r="F53" s="2420" t="inlineStr">
        <is>
          <t>FHSA</t>
        </is>
      </c>
      <c r="G53" s="2421" t="n">
        <v>3</v>
      </c>
      <c r="H53" s="2422" t="n">
        <v>59.0666</v>
      </c>
      <c r="I53" s="2423">
        <f>CONFIG!G21</f>
        <v/>
      </c>
      <c r="J53" s="2423">
        <f>IFERROR(I53/C$4,0)</f>
        <v/>
      </c>
      <c r="K53" s="2420" t="inlineStr">
        <is>
          <t>CAD</t>
        </is>
      </c>
      <c r="L53" s="2424">
        <f>IF(G53=0,"-",G53*I53)</f>
        <v/>
      </c>
      <c r="M53" s="2424">
        <f>IF(G53=0,"-",G53*J53)</f>
        <v/>
      </c>
      <c r="N53" s="2425">
        <f>IF(G53=0,"-",(I53-H53)*G53)</f>
        <v/>
      </c>
      <c r="O53" s="2426">
        <f>IF(H52&gt;0,(I52-H52)/H52,0)</f>
        <v/>
      </c>
      <c r="P53" s="2427">
        <f>IF(AND(ISNUMBER(L52),L52&gt;0),L52/L$70,0)</f>
        <v/>
      </c>
      <c r="Q53" s="2428" t="inlineStr">
        <is>
          <t>🔵 Garder</t>
        </is>
      </c>
      <c r="R53" s="2429" t="n"/>
      <c r="S53" s="2429" t="n"/>
      <c r="T53" s="2429" t="n"/>
    </row>
    <row r="54" ht="15.75" customHeight="1" s="1666">
      <c r="B54" s="2430" t="inlineStr">
        <is>
          <t>SRU.UN.TO</t>
        </is>
      </c>
      <c r="C54" s="2430" t="inlineStr">
        <is>
          <t>SmartCentres</t>
        </is>
      </c>
      <c r="D54" s="2430" t="inlineStr">
        <is>
          <t>REIT</t>
        </is>
      </c>
      <c r="E54" s="2431" t="inlineStr">
        <is>
          <t>T4</t>
        </is>
      </c>
      <c r="F54" s="2432" t="inlineStr">
        <is>
          <t>FHSA</t>
        </is>
      </c>
      <c r="G54" s="2433" t="n">
        <v>63</v>
      </c>
      <c r="H54" s="2434" t="n">
        <v>23.61</v>
      </c>
      <c r="I54" s="2435">
        <f>CONFIG!G29</f>
        <v/>
      </c>
      <c r="J54" s="2435">
        <f>IFERROR(I54/C$4,0)</f>
        <v/>
      </c>
      <c r="K54" s="2432" t="inlineStr">
        <is>
          <t>CAD</t>
        </is>
      </c>
      <c r="L54" s="2436">
        <f>IF(G54=0,"-",G54*I54)</f>
        <v/>
      </c>
      <c r="M54" s="2436">
        <f>IF(G54=0,"-",G54*J54)</f>
        <v/>
      </c>
      <c r="N54" s="2437">
        <f>IF(G54=0,"-",(I54-H54)*G54)</f>
        <v/>
      </c>
      <c r="O54" s="2438">
        <f>IF(H53&gt;0,(I53-H53)/H53,0)</f>
        <v/>
      </c>
      <c r="P54" s="2439">
        <f>IF(AND(ISNUMBER(L53),L53&gt;0),L53/L$70,0)</f>
        <v/>
      </c>
      <c r="Q54" s="2440" t="inlineStr">
        <is>
          <t>🔄 Diluer</t>
        </is>
      </c>
      <c r="R54" s="2441" t="n"/>
      <c r="S54" s="2441" t="n"/>
      <c r="T54" s="2441" t="n"/>
    </row>
    <row r="55" ht="15.75" customHeight="1" s="1666">
      <c r="B55" s="2430" t="inlineStr">
        <is>
          <t>REI.UN.TO</t>
        </is>
      </c>
      <c r="C55" s="2430" t="inlineStr">
        <is>
          <t>RioCan REIT</t>
        </is>
      </c>
      <c r="D55" s="2430" t="inlineStr">
        <is>
          <t>REIT</t>
        </is>
      </c>
      <c r="E55" s="2431" t="inlineStr">
        <is>
          <t>T4</t>
        </is>
      </c>
      <c r="F55" s="2432" t="inlineStr">
        <is>
          <t>FHSA</t>
        </is>
      </c>
      <c r="G55" s="2433" t="n">
        <v>80</v>
      </c>
      <c r="H55" s="2434" t="n">
        <v>18.73</v>
      </c>
      <c r="I55" s="2435">
        <f>CONFIG!G26</f>
        <v/>
      </c>
      <c r="J55" s="2435">
        <f>IFERROR(I55/C$4,0)</f>
        <v/>
      </c>
      <c r="K55" s="2432" t="inlineStr">
        <is>
          <t>CAD</t>
        </is>
      </c>
      <c r="L55" s="2436">
        <f>IF(G55=0,"-",G55*I55)</f>
        <v/>
      </c>
      <c r="M55" s="2436">
        <f>IF(G55=0,"-",G55*J55)</f>
        <v/>
      </c>
      <c r="N55" s="2437">
        <f>IF(G55=0,"-",(I55-H55)*G55)</f>
        <v/>
      </c>
      <c r="O55" s="2438">
        <f>IF(H54&gt;0,(I54-H54)/H54,0)</f>
        <v/>
      </c>
      <c r="P55" s="2439">
        <f>IF(AND(ISNUMBER(L54),L54&gt;0),L54/L$70,0)</f>
        <v/>
      </c>
      <c r="Q55" s="2440" t="inlineStr">
        <is>
          <t>🔄 Diluer</t>
        </is>
      </c>
      <c r="R55" s="2441" t="n"/>
      <c r="S55" s="2441" t="n"/>
      <c r="T55" s="2441" t="n"/>
    </row>
    <row r="56" ht="15.75" customHeight="1" s="1666">
      <c r="B56" s="2430" t="inlineStr">
        <is>
          <t>XIC.TO</t>
        </is>
      </c>
      <c r="C56" s="2430" t="inlineStr">
        <is>
          <t>iShares TSX</t>
        </is>
      </c>
      <c r="D56" s="2430" t="inlineStr">
        <is>
          <t>ETF</t>
        </is>
      </c>
      <c r="E56" s="2431" t="inlineStr">
        <is>
          <t>T4</t>
        </is>
      </c>
      <c r="F56" s="2432" t="inlineStr">
        <is>
          <t>FHSA</t>
        </is>
      </c>
      <c r="G56" s="2433" t="n">
        <v>19</v>
      </c>
      <c r="H56" s="2434" t="n">
        <v>48.3705</v>
      </c>
      <c r="I56" s="2435">
        <f>CONFIG!G30</f>
        <v/>
      </c>
      <c r="J56" s="2435">
        <f>IFERROR(I56/C$4,0)</f>
        <v/>
      </c>
      <c r="K56" s="2432" t="inlineStr">
        <is>
          <t>CAD</t>
        </is>
      </c>
      <c r="L56" s="2436">
        <f>IF(G56=0,"-",G56*I56)</f>
        <v/>
      </c>
      <c r="M56" s="2436">
        <f>IF(G56=0,"-",G56*J56)</f>
        <v/>
      </c>
      <c r="N56" s="2437">
        <f>IF(G56=0,"-",(I56-H56)*G56)</f>
        <v/>
      </c>
      <c r="O56" s="2438">
        <f>IF(H55&gt;0,(I55-H55)/H55,0)</f>
        <v/>
      </c>
      <c r="P56" s="2439">
        <f>IF(AND(ISNUMBER(L55),L55&gt;0),L55/L$70,0)</f>
        <v/>
      </c>
      <c r="Q56" s="2440" t="inlineStr">
        <is>
          <t>🔄 Diluer</t>
        </is>
      </c>
      <c r="R56" s="2441" t="n"/>
      <c r="S56" s="2441" t="n"/>
      <c r="T56" s="2441" t="n"/>
    </row>
    <row r="57" ht="15.75" customHeight="1" s="1666">
      <c r="B57" s="2430" t="inlineStr">
        <is>
          <t>XEI.TO</t>
        </is>
      </c>
      <c r="C57" s="2431" t="inlineStr">
        <is>
          <t>iShares High Div</t>
        </is>
      </c>
      <c r="D57" s="2431" t="inlineStr">
        <is>
          <t>ETF</t>
        </is>
      </c>
      <c r="E57" s="2431" t="inlineStr">
        <is>
          <t>T4</t>
        </is>
      </c>
      <c r="F57" s="2448" t="inlineStr">
        <is>
          <t>FHSA</t>
        </is>
      </c>
      <c r="G57" s="2448" t="n">
        <v>26</v>
      </c>
      <c r="H57" s="2448" t="n">
        <v>32.6111</v>
      </c>
      <c r="I57" s="2449">
        <f>CONFIG!G28</f>
        <v/>
      </c>
      <c r="J57" s="2448">
        <f>IFERROR(I57/C$4,0)</f>
        <v/>
      </c>
      <c r="K57" s="2448" t="inlineStr">
        <is>
          <t>CAD</t>
        </is>
      </c>
      <c r="L57" s="2436">
        <f>IF(G57=0,"-",G57*I57)</f>
        <v/>
      </c>
      <c r="M57" s="2436">
        <f>IF(G57=0,"-",G57*J57)</f>
        <v/>
      </c>
      <c r="N57" s="2437">
        <f>IF(G57=0,"-",(I57-H57)*G57)</f>
        <v/>
      </c>
      <c r="O57" s="2438">
        <f>IF(H56&gt;0,(I56-H56)/H56,0)</f>
        <v/>
      </c>
      <c r="P57" s="2439">
        <f>IF(AND(ISNUMBER(L56),L56&gt;0),L56/L$70,0)</f>
        <v/>
      </c>
      <c r="Q57" s="2440" t="inlineStr">
        <is>
          <t>🔄 Migration VDY ✅</t>
        </is>
      </c>
      <c r="R57" s="2441" t="n"/>
      <c r="S57" s="2441" t="n"/>
      <c r="T57" s="2441" t="n"/>
    </row>
    <row r="58" ht="14.25" customHeight="1" s="1666">
      <c r="B58" s="2442" t="inlineStr">
        <is>
          <t>💵 CASH FHSA</t>
        </is>
      </c>
      <c r="C58" s="2442" t="inlineStr">
        <is>
          <t>Cash CAD</t>
        </is>
      </c>
      <c r="D58" s="2442" t="inlineStr">
        <is>
          <t>Cash</t>
        </is>
      </c>
      <c r="E58" s="2442" t="inlineStr">
        <is>
          <t>—</t>
        </is>
      </c>
      <c r="F58" s="2442" t="inlineStr">
        <is>
          <t>FHSA</t>
        </is>
      </c>
      <c r="G58" s="2442" t="n">
        <v>1</v>
      </c>
      <c r="H58" s="2442" t="n">
        <v>0</v>
      </c>
      <c r="I58" s="2442">
        <f>CONFIG!B38</f>
        <v/>
      </c>
      <c r="J58" s="2442" t="n"/>
      <c r="K58" s="2442" t="inlineStr">
        <is>
          <t>CAD</t>
        </is>
      </c>
      <c r="L58" s="2442">
        <f>CONFIG!B38</f>
        <v/>
      </c>
      <c r="M58" s="2442">
        <f>CONFIG!B38/CONFIG!B3</f>
        <v/>
      </c>
      <c r="N58" s="2442" t="n">
        <v>0</v>
      </c>
      <c r="O58" s="2442" t="n">
        <v>0</v>
      </c>
    </row>
    <row r="59" ht="15.75" customHeight="1" s="1666">
      <c r="A59" s="2392" t="n"/>
      <c r="B59" s="2444" t="inlineStr">
        <is>
          <t>SOUS-TOTAL FHSA</t>
        </is>
      </c>
      <c r="C59" s="2444" t="n"/>
      <c r="D59" s="2444" t="n"/>
      <c r="E59" s="2444" t="n"/>
      <c r="F59" s="2444" t="n"/>
      <c r="G59" s="2444" t="n"/>
      <c r="H59" s="2444" t="n"/>
      <c r="I59" s="2444" t="n"/>
      <c r="J59" s="2444" t="n"/>
      <c r="K59" s="2444" t="n"/>
      <c r="L59" s="2445">
        <f>SUM(L47:L58)</f>
        <v/>
      </c>
      <c r="M59" s="2445">
        <f>SUM(M47:M58)</f>
        <v/>
      </c>
      <c r="N59" s="2450">
        <f>SUM(N47:N58)</f>
        <v/>
      </c>
      <c r="O59" s="2444">
        <f>IF(L59&gt;0,N59/L59,0)</f>
        <v/>
      </c>
      <c r="P59" s="2444" t="n"/>
      <c r="Q59" s="2444" t="n"/>
      <c r="R59" s="2392" t="n"/>
      <c r="S59" s="2392" t="n"/>
      <c r="T59" s="2392" t="n"/>
      <c r="U59" s="2392" t="n"/>
      <c r="V59" s="2392" t="n"/>
      <c r="W59" s="2392" t="n"/>
      <c r="X59" s="2392" t="n"/>
      <c r="Y59" s="2392" t="n"/>
      <c r="Z59" s="2392" t="n"/>
      <c r="AA59" s="2392" t="n"/>
      <c r="AB59" s="2392" t="n"/>
      <c r="AC59" s="2392" t="n"/>
      <c r="AD59" s="2392" t="n"/>
      <c r="AE59" s="2392" t="n"/>
      <c r="AF59" s="2392" t="n"/>
      <c r="AG59" s="2392" t="n"/>
      <c r="AH59" s="2392" t="n"/>
      <c r="AI59" s="2392" t="n"/>
    </row>
    <row r="60" ht="15.75" customHeight="1" s="1666">
      <c r="A60" s="2361" t="n"/>
      <c r="B60" s="2361" t="n"/>
      <c r="C60" s="2361" t="n"/>
      <c r="D60" s="2361" t="n"/>
      <c r="E60" s="2361" t="n"/>
      <c r="F60" s="2361" t="n"/>
      <c r="G60" s="2361" t="n"/>
      <c r="H60" s="2361" t="n"/>
      <c r="I60" s="2361" t="n"/>
      <c r="J60" s="2361" t="n"/>
      <c r="K60" s="2361" t="n"/>
      <c r="L60" s="2361" t="n"/>
      <c r="M60" s="2361" t="n"/>
      <c r="N60" s="2361" t="n"/>
      <c r="O60" s="2361" t="n"/>
      <c r="P60" s="2361" t="n"/>
      <c r="Q60" s="2361" t="n"/>
      <c r="R60" s="2361" t="n"/>
      <c r="S60" s="2361" t="n"/>
      <c r="T60" s="2361" t="n"/>
      <c r="U60" s="2361" t="n"/>
      <c r="V60" s="2361" t="n"/>
      <c r="W60" s="2361" t="n"/>
      <c r="X60" s="2361" t="n"/>
      <c r="Y60" s="2361" t="n"/>
      <c r="Z60" s="2361" t="n"/>
      <c r="AA60" s="2361" t="n"/>
      <c r="AB60" s="2361" t="n"/>
      <c r="AC60" s="2361" t="n"/>
      <c r="AD60" s="2361" t="n"/>
      <c r="AE60" s="2361" t="n"/>
      <c r="AF60" s="2361" t="n"/>
      <c r="AG60" s="2361" t="n"/>
      <c r="AH60" s="2361" t="n"/>
      <c r="AI60" s="2361" t="n"/>
      <c r="AJ60" s="2361" t="n"/>
      <c r="AK60" s="2361" t="n"/>
    </row>
    <row r="61" ht="21.75" customHeight="1" s="1666">
      <c r="A61" s="2363" t="n"/>
      <c r="B61" s="2451" t="inlineStr">
        <is>
          <t>🟧  REER — Retraite + Snowball</t>
        </is>
      </c>
      <c r="R61" s="2363" t="n"/>
      <c r="S61" s="2363" t="n"/>
      <c r="T61" s="2363" t="n"/>
      <c r="U61" s="2363" t="n"/>
      <c r="V61" s="2363" t="n"/>
      <c r="W61" s="2363" t="n"/>
      <c r="X61" s="2363" t="n"/>
      <c r="Y61" s="2363" t="n"/>
      <c r="Z61" s="2363" t="n"/>
      <c r="AA61" s="2363" t="n"/>
      <c r="AB61" s="2363" t="n"/>
      <c r="AC61" s="2363" t="n"/>
      <c r="AD61" s="2363" t="n"/>
      <c r="AE61" s="2363" t="n"/>
      <c r="AF61" s="2363" t="n"/>
      <c r="AG61" s="2363" t="n"/>
    </row>
    <row r="62" ht="15.75" customHeight="1" s="1666">
      <c r="B62" s="2394" t="inlineStr">
        <is>
          <t>SCHD</t>
        </is>
      </c>
      <c r="C62" s="2394" t="inlineStr">
        <is>
          <t>Schwab US Div</t>
        </is>
      </c>
      <c r="D62" s="2394" t="inlineStr">
        <is>
          <t>ETF</t>
        </is>
      </c>
      <c r="E62" s="2395" t="inlineStr">
        <is>
          <t>T1</t>
        </is>
      </c>
      <c r="F62" s="2396" t="inlineStr">
        <is>
          <t>REER</t>
        </is>
      </c>
      <c r="G62" s="2397" t="n">
        <v>64.3053</v>
      </c>
      <c r="H62" s="2398" t="n">
        <v>25.5008</v>
      </c>
      <c r="I62" s="2399">
        <f>J62*$C$4</f>
        <v/>
      </c>
      <c r="J62" s="2399">
        <f>CONFIG!G34</f>
        <v/>
      </c>
      <c r="K62" s="2396" t="inlineStr">
        <is>
          <t>USD</t>
        </is>
      </c>
      <c r="L62" s="2400">
        <f>IF(G62=0,"-",G62*I62)</f>
        <v/>
      </c>
      <c r="M62" s="2400">
        <f>IF(G62=0,"-",G62*J62)</f>
        <v/>
      </c>
      <c r="N62" s="2401">
        <f>IF(G62=0,"-",(I62-H62)*G62)</f>
        <v/>
      </c>
      <c r="O62" s="2402">
        <f>IF(H60&gt;0,(I60-H60)/H60,0)</f>
        <v/>
      </c>
      <c r="P62" s="2403">
        <f>IF(AND(ISNUMBER(L60),L60&gt;0),L60/L$70,0)</f>
        <v/>
      </c>
      <c r="Q62" s="2404" t="inlineStr">
        <is>
          <t>✅ REER débloqué · accumuler $2,000/mois · snowball ARC +$1,060</t>
        </is>
      </c>
      <c r="R62" s="2405" t="n"/>
      <c r="S62" s="2405" t="n"/>
      <c r="T62" s="2405" t="n"/>
    </row>
    <row r="63" ht="15.75" customHeight="1" s="1666">
      <c r="B63" s="2406" t="inlineStr">
        <is>
          <t>JEPI</t>
        </is>
      </c>
      <c r="C63" s="2406" t="inlineStr">
        <is>
          <t>JPMorgan Income</t>
        </is>
      </c>
      <c r="D63" s="2406" t="inlineStr">
        <is>
          <t>ETF</t>
        </is>
      </c>
      <c r="E63" s="2407" t="inlineStr">
        <is>
          <t>T2</t>
        </is>
      </c>
      <c r="F63" s="2408" t="inlineStr">
        <is>
          <t>REER</t>
        </is>
      </c>
      <c r="G63" s="2409" t="n">
        <v>1</v>
      </c>
      <c r="H63" s="2410" t="n">
        <v>54.52</v>
      </c>
      <c r="I63" s="2411">
        <f>J63*$C$4</f>
        <v/>
      </c>
      <c r="J63" s="2411">
        <f>CONFIG!G35</f>
        <v/>
      </c>
      <c r="K63" s="2408" t="inlineStr">
        <is>
          <t>USD</t>
        </is>
      </c>
      <c r="L63" s="2412">
        <f>IF(G63=0,"-",G63*I63)</f>
        <v/>
      </c>
      <c r="M63" s="2412">
        <f>IF(G63=0,"-",G63*J63)</f>
        <v/>
      </c>
      <c r="N63" s="2413">
        <f>IF(G63=0,"-",(I63-H63)*G63)</f>
        <v/>
      </c>
      <c r="O63" s="2414">
        <f>IF(H61&gt;0,(I61-H61)/H61,0)</f>
        <v/>
      </c>
      <c r="P63" s="2415">
        <f>IF(AND(ISNUMBER(L61),L61&gt;0),L61/L$70,0)</f>
        <v/>
      </c>
      <c r="Q63" s="2416" t="inlineStr">
        <is>
          <t>✅ Garder</t>
        </is>
      </c>
      <c r="R63" s="2417" t="n"/>
      <c r="S63" s="2417" t="n"/>
      <c r="T63" s="2417" t="n"/>
    </row>
    <row r="64" ht="15.75" customHeight="1" s="1666">
      <c r="B64" s="2418" t="inlineStr">
        <is>
          <t>XEI.TO</t>
        </is>
      </c>
      <c r="C64" s="2418" t="inlineStr">
        <is>
          <t>iShares High Div</t>
        </is>
      </c>
      <c r="D64" s="2418" t="inlineStr">
        <is>
          <t>ETF</t>
        </is>
      </c>
      <c r="E64" s="2419" t="inlineStr">
        <is>
          <t>T3</t>
        </is>
      </c>
      <c r="F64" s="2420" t="inlineStr">
        <is>
          <t>REER</t>
        </is>
      </c>
      <c r="G64" s="2421" t="n">
        <v>0</v>
      </c>
      <c r="H64" s="2422" t="n">
        <v>24.65</v>
      </c>
      <c r="I64" s="2423">
        <f>CONFIG!G28</f>
        <v/>
      </c>
      <c r="J64" s="2423">
        <f>IFERROR(I64/C$4,0)</f>
        <v/>
      </c>
      <c r="K64" s="2420" t="inlineStr">
        <is>
          <t>CAD</t>
        </is>
      </c>
      <c r="L64" s="2424">
        <f>IF(G64=0,"-",G64*I64)</f>
        <v/>
      </c>
      <c r="M64" s="2424">
        <f>IF(G64=0,"-",G64*J64)</f>
        <v/>
      </c>
      <c r="N64" s="2425">
        <f>IF(G64=0,"-",(I64-H64)*G64)</f>
        <v/>
      </c>
      <c r="O64" s="2426">
        <f>IF(H62&gt;0,(I62-H62)/H62,0)</f>
        <v/>
      </c>
      <c r="P64" s="2427">
        <f>IF(AND(ISNUMBER(L62),L62&gt;0),L62/L$70,0)</f>
        <v/>
      </c>
      <c r="Q64" s="2428" t="inlineStr">
        <is>
          <t>VENDU ✅</t>
        </is>
      </c>
      <c r="R64" s="2429" t="n"/>
      <c r="S64" s="2429" t="n"/>
      <c r="T64" s="2429" t="n"/>
    </row>
    <row r="65" ht="15.75" customHeight="1" s="1666">
      <c r="B65" s="2430" t="inlineStr">
        <is>
          <t>ZEQT.TO</t>
        </is>
      </c>
      <c r="C65" s="2452" t="n"/>
      <c r="D65" s="2452" t="n"/>
      <c r="E65" s="2452" t="n"/>
      <c r="F65" s="2443" t="n"/>
      <c r="G65" s="2443" t="n"/>
      <c r="H65" s="2443" t="n"/>
      <c r="I65" s="2443" t="n"/>
      <c r="J65" s="2443" t="n"/>
      <c r="K65" s="2443" t="n"/>
      <c r="L65" s="2436">
        <f>IF(G65=0,"-",G65*I65)</f>
        <v/>
      </c>
      <c r="M65" s="2436">
        <f>IF(G63=0,"-",G63*J63)</f>
        <v/>
      </c>
      <c r="N65" s="2437">
        <f>IF(G63=0,"-",(I63-H63)*G63)</f>
        <v/>
      </c>
      <c r="O65" s="2438">
        <f>IF(H63&gt;0,(I63-H63)/H63,0)</f>
        <v/>
      </c>
      <c r="P65" s="2439">
        <f>IF(AND(ISNUMBER(L63),L63&gt;0),L63/L$70,0)</f>
        <v/>
      </c>
      <c r="Q65" s="2440" t="inlineStr">
        <is>
          <t>VENDU ✅</t>
        </is>
      </c>
      <c r="R65" s="2441" t="n"/>
      <c r="S65" s="2441" t="n"/>
      <c r="T65" s="2441" t="n"/>
    </row>
    <row r="66" ht="15.75" customHeight="1" s="1666">
      <c r="B66" s="2430" t="inlineStr">
        <is>
          <t>XRE.TO</t>
        </is>
      </c>
      <c r="C66" s="2430" t="inlineStr">
        <is>
          <t>iShares REIT</t>
        </is>
      </c>
      <c r="D66" s="2430" t="inlineStr">
        <is>
          <t>ETF</t>
        </is>
      </c>
      <c r="E66" s="2431" t="inlineStr">
        <is>
          <t>T4</t>
        </is>
      </c>
      <c r="F66" s="2432" t="inlineStr">
        <is>
          <t>REER</t>
        </is>
      </c>
      <c r="G66" s="2433" t="n">
        <v>0</v>
      </c>
      <c r="H66" s="2434" t="n">
        <v>15.86</v>
      </c>
      <c r="I66" s="2435" t="n">
        <v>0</v>
      </c>
      <c r="J66" s="2435">
        <f>IFERROR(I64/$C$4,0)</f>
        <v/>
      </c>
      <c r="K66" s="2432" t="inlineStr">
        <is>
          <t>CAD</t>
        </is>
      </c>
      <c r="L66" s="2436">
        <f>IF(G66=0,"-",G66*I66)</f>
        <v/>
      </c>
      <c r="M66" s="2436">
        <f>IF(G64=0,"-",G64*J64)</f>
        <v/>
      </c>
      <c r="N66" s="2437">
        <f>IF(G64=0,"-",(I64-H64)*G64)</f>
        <v/>
      </c>
      <c r="O66" s="2438">
        <f>IF(H64&gt;0,(I64-H64)/H64,0)</f>
        <v/>
      </c>
      <c r="P66" s="2439">
        <f>IF(AND(ISNUMBER(L64),L64&gt;0),L64/L$70,0)</f>
        <v/>
      </c>
      <c r="Q66" s="2440" t="inlineStr">
        <is>
          <t>VENDU ✅</t>
        </is>
      </c>
      <c r="R66" s="2441" t="n"/>
      <c r="S66" s="2441" t="n"/>
      <c r="T66" s="2441" t="n"/>
    </row>
    <row r="67" ht="19.5" customHeight="1" s="1666">
      <c r="B67" s="2442" t="inlineStr">
        <is>
          <t>💵 CASH REER</t>
        </is>
      </c>
      <c r="C67" s="2442" t="inlineStr">
        <is>
          <t>Cash USD (CAD)</t>
        </is>
      </c>
      <c r="D67" s="2442" t="inlineStr">
        <is>
          <t>Cash</t>
        </is>
      </c>
      <c r="E67" s="2442" t="inlineStr">
        <is>
          <t>—</t>
        </is>
      </c>
      <c r="F67" s="2442" t="inlineStr">
        <is>
          <t>REER</t>
        </is>
      </c>
      <c r="G67" s="2442" t="n">
        <v>1</v>
      </c>
      <c r="H67" s="2442" t="n">
        <v>0</v>
      </c>
      <c r="I67" s="2442">
        <f>CONFIG!B39</f>
        <v/>
      </c>
      <c r="J67" s="2442" t="n"/>
      <c r="K67" s="2442" t="inlineStr">
        <is>
          <t>CAD</t>
        </is>
      </c>
      <c r="L67" s="2442">
        <f>CONFIG!B39</f>
        <v/>
      </c>
      <c r="M67" s="2442">
        <f>CONFIG!B39/CONFIG!B3</f>
        <v/>
      </c>
      <c r="N67" s="2442" t="n">
        <v>0</v>
      </c>
      <c r="O67" s="2442" t="n">
        <v>0</v>
      </c>
    </row>
    <row r="68" ht="18" customHeight="1" s="1666">
      <c r="A68" s="2392" t="n"/>
      <c r="B68" s="2444" t="inlineStr">
        <is>
          <t>SOUS-TOTAL REER</t>
        </is>
      </c>
      <c r="C68" s="2444" t="n"/>
      <c r="D68" s="2444" t="n"/>
      <c r="E68" s="2444" t="n"/>
      <c r="F68" s="2444" t="n"/>
      <c r="G68" s="2444" t="n"/>
      <c r="H68" s="2444" t="n"/>
      <c r="I68" s="2444" t="n"/>
      <c r="J68" s="2444" t="n"/>
      <c r="K68" s="2444" t="n"/>
      <c r="L68" s="2445">
        <f>SUM(L62:L67)</f>
        <v/>
      </c>
      <c r="M68" s="2445">
        <f>SUM(M62:M67)</f>
        <v/>
      </c>
      <c r="N68" s="2445">
        <f>SUM(N62:N67)</f>
        <v/>
      </c>
      <c r="O68" s="2446">
        <f>IF(L68&gt;0,N68/L68,0)</f>
        <v/>
      </c>
      <c r="P68" s="2444" t="n"/>
      <c r="Q68" s="2444" t="n"/>
      <c r="R68" s="2392" t="n"/>
      <c r="S68" s="2392" t="n"/>
      <c r="T68" s="2392" t="n"/>
      <c r="U68" s="2392" t="n"/>
      <c r="V68" s="2392" t="n"/>
      <c r="W68" s="2392" t="n"/>
      <c r="X68" s="2392" t="n"/>
      <c r="Y68" s="2392" t="n"/>
      <c r="Z68" s="2392" t="n"/>
      <c r="AA68" s="2392" t="n"/>
      <c r="AB68" s="2392" t="n"/>
      <c r="AC68" s="2392" t="n"/>
      <c r="AD68" s="2392" t="n"/>
      <c r="AE68" s="2392" t="n"/>
      <c r="AF68" s="2392" t="n"/>
      <c r="AG68" s="2392" t="n"/>
      <c r="AH68" s="2392" t="n"/>
      <c r="AI68" s="2392" t="n"/>
      <c r="AJ68" s="2392" t="n"/>
    </row>
    <row r="69" ht="18" customHeight="1" s="1666">
      <c r="A69" s="2361" t="n"/>
      <c r="B69" s="2361" t="n"/>
      <c r="C69" s="2361" t="n"/>
      <c r="D69" s="2361" t="n"/>
      <c r="E69" s="2361" t="n"/>
      <c r="F69" s="2361" t="n"/>
      <c r="G69" s="2361" t="n"/>
      <c r="H69" s="2361" t="n"/>
      <c r="I69" s="2361" t="n"/>
      <c r="J69" s="2361" t="n"/>
      <c r="K69" s="2361" t="n"/>
      <c r="L69" s="2361" t="n"/>
      <c r="M69" s="2361" t="n"/>
      <c r="N69" s="2361" t="n"/>
      <c r="O69" s="2361" t="n"/>
      <c r="P69" s="2361" t="n"/>
      <c r="Q69" s="2361" t="n"/>
      <c r="R69" s="2361" t="n"/>
      <c r="S69" s="2361" t="n"/>
      <c r="T69" s="2361" t="n"/>
      <c r="U69" s="2361" t="n"/>
      <c r="V69" s="2361" t="n"/>
      <c r="W69" s="2361" t="n"/>
      <c r="X69" s="2361" t="n"/>
      <c r="Y69" s="2361" t="n"/>
      <c r="Z69" s="2361" t="n"/>
      <c r="AA69" s="2361" t="n"/>
      <c r="AB69" s="2361" t="n"/>
      <c r="AC69" s="2361" t="n"/>
      <c r="AD69" s="2361" t="n"/>
      <c r="AE69" s="2361" t="n"/>
      <c r="AF69" s="2361" t="n"/>
      <c r="AG69" s="2361" t="n"/>
      <c r="AH69" s="2361" t="n"/>
      <c r="AI69" s="2361" t="n"/>
      <c r="AJ69" s="2361" t="n"/>
      <c r="AK69" s="2361" t="n"/>
    </row>
    <row r="70" ht="24" customHeight="1" s="1666">
      <c r="B70" s="2385" t="inlineStr">
        <is>
          <t>◼  GRAND TOTAL  ·  TFSA + FHSA + REER</t>
        </is>
      </c>
      <c r="C70" s="2385" t="n"/>
      <c r="D70" s="2385" t="n"/>
      <c r="E70" s="2385" t="n"/>
      <c r="F70" s="2385" t="n"/>
      <c r="G70" s="2385" t="n"/>
      <c r="H70" s="2385" t="n"/>
      <c r="I70" s="2385" t="n"/>
      <c r="J70" s="2385" t="n"/>
      <c r="K70" s="2385" t="n"/>
      <c r="L70" s="2386">
        <f>L44+L59+L68</f>
        <v/>
      </c>
      <c r="M70" s="2386">
        <f>M44+M59+M68</f>
        <v/>
      </c>
      <c r="N70" s="2386">
        <f>N44+N59+N68</f>
        <v/>
      </c>
      <c r="O70" s="2387">
        <f>IF(L70&gt;0,N70/L70,0)</f>
        <v/>
      </c>
      <c r="P70" s="2385" t="n"/>
      <c r="Q70" s="2385" t="n"/>
    </row>
    <row r="71" ht="15.75" customHeight="1" s="1666">
      <c r="A71" s="2363" t="n"/>
      <c r="B71" s="2363" t="n"/>
      <c r="C71" s="2363" t="n"/>
      <c r="D71" s="2363" t="n"/>
      <c r="E71" s="2363" t="n"/>
      <c r="F71" s="2363" t="n"/>
      <c r="G71" s="2363" t="n"/>
      <c r="H71" s="2363" t="n"/>
      <c r="I71" s="2363" t="n"/>
      <c r="J71" s="2363" t="n"/>
      <c r="K71" s="2363" t="n"/>
      <c r="L71" s="2363" t="n"/>
      <c r="M71" s="2363" t="n"/>
      <c r="N71" s="2363" t="n"/>
      <c r="O71" s="2363" t="n"/>
      <c r="P71" s="2363" t="n"/>
      <c r="Q71" s="2363" t="n"/>
      <c r="R71" s="2363" t="n"/>
      <c r="S71" s="2363" t="n"/>
      <c r="T71" s="2363" t="n"/>
      <c r="U71" s="2363" t="n"/>
      <c r="V71" s="2363" t="n"/>
      <c r="W71" s="2363" t="n"/>
      <c r="X71" s="2363" t="n"/>
      <c r="Y71" s="2363" t="n"/>
      <c r="Z71" s="2363" t="n"/>
      <c r="AA71" s="2363" t="n"/>
      <c r="AB71" s="2363" t="n"/>
      <c r="AC71" s="2363" t="n"/>
      <c r="AD71" s="2363" t="n"/>
      <c r="AE71" s="2363" t="n"/>
      <c r="AF71" s="2363" t="n"/>
      <c r="AG71" s="2363" t="n"/>
      <c r="AH71" s="2363" t="n"/>
      <c r="AI71" s="2363" t="n"/>
      <c r="AJ71" s="2363" t="n"/>
      <c r="AK71" s="2363" t="n"/>
    </row>
    <row r="72" ht="15.75" customHeight="1" s="1666">
      <c r="A72" s="2363" t="n"/>
      <c r="B72" s="2363" t="n"/>
      <c r="C72" s="2363" t="n"/>
      <c r="D72" s="2363" t="n"/>
      <c r="E72" s="2363" t="n"/>
      <c r="F72" s="2363" t="n"/>
      <c r="G72" s="2363" t="n"/>
      <c r="H72" s="2363" t="n"/>
      <c r="I72" s="2363" t="n"/>
      <c r="J72" s="2363" t="n"/>
      <c r="K72" s="2363" t="n"/>
      <c r="L72" s="2363" t="n"/>
      <c r="M72" s="2363" t="n"/>
      <c r="N72" s="2363" t="n"/>
      <c r="O72" s="2363" t="n"/>
      <c r="P72" s="2363" t="n"/>
      <c r="Q72" s="2363" t="n"/>
      <c r="R72" s="2363" t="n"/>
      <c r="S72" s="2363" t="n"/>
      <c r="T72" s="2363" t="n"/>
      <c r="U72" s="2363" t="n"/>
      <c r="V72" s="2363" t="n"/>
      <c r="W72" s="2363" t="n"/>
      <c r="X72" s="2363" t="n"/>
      <c r="Y72" s="2363" t="n"/>
      <c r="Z72" s="2363" t="n"/>
      <c r="AA72" s="2363" t="n"/>
      <c r="AB72" s="2363" t="n"/>
      <c r="AC72" s="2363" t="n"/>
      <c r="AD72" s="2363" t="n"/>
      <c r="AE72" s="2363" t="n"/>
      <c r="AF72" s="2363" t="n"/>
      <c r="AG72" s="2363" t="n"/>
      <c r="AH72" s="2363" t="n"/>
      <c r="AI72" s="2363" t="n"/>
      <c r="AJ72" s="2363" t="n"/>
      <c r="AK72" s="2363" t="n"/>
    </row>
    <row r="73" ht="15.75" customHeight="1" s="1666">
      <c r="A73" s="2392" t="n"/>
      <c r="B73" s="2453" t="inlineStr">
        <is>
          <t>ΣTIER — Résumé par niveau de conviction</t>
        </is>
      </c>
      <c r="C73" s="2454" t="n"/>
      <c r="D73" s="2454" t="n"/>
      <c r="E73" s="2454" t="n"/>
      <c r="F73" s="2454" t="n"/>
      <c r="G73" s="2454" t="n"/>
      <c r="H73" s="2454" t="n"/>
      <c r="I73" s="2454" t="n"/>
      <c r="J73" s="2454" t="n"/>
      <c r="K73" s="2454" t="n"/>
      <c r="L73" s="2455">
        <f>SUMIF(E14:E64,"T1",L14:L64)</f>
        <v/>
      </c>
      <c r="M73" s="2455">
        <f>SUMIF(E14:E64,"T1",M14:M64)</f>
        <v/>
      </c>
      <c r="N73" s="2392" t="n"/>
      <c r="O73" s="2392" t="n"/>
      <c r="P73" s="2392" t="n"/>
      <c r="Q73" s="2392" t="n"/>
      <c r="R73" s="2392" t="n"/>
      <c r="S73" s="2392" t="n"/>
      <c r="T73" s="2392" t="n"/>
      <c r="U73" s="2392" t="n"/>
      <c r="V73" s="2392" t="n"/>
      <c r="W73" s="2392" t="n"/>
      <c r="X73" s="2392" t="n"/>
      <c r="Y73" s="2392" t="n"/>
      <c r="Z73" s="2392" t="n"/>
      <c r="AA73" s="2392" t="n"/>
      <c r="AB73" s="2392" t="n"/>
      <c r="AC73" s="2392" t="n"/>
      <c r="AD73" s="2392" t="n"/>
      <c r="AE73" s="2392" t="n"/>
      <c r="AF73" s="2392" t="n"/>
      <c r="AG73" s="2392" t="n"/>
      <c r="AH73" s="2392" t="n"/>
      <c r="AI73" s="2392" t="n"/>
      <c r="AJ73" s="2392" t="n"/>
      <c r="AK73" s="2392" t="n"/>
    </row>
    <row r="74" ht="15.75" customHeight="1" s="1666">
      <c r="B74" s="2456" t="inlineStr">
        <is>
          <t>ΣT2</t>
        </is>
      </c>
      <c r="C74" s="2457" t="n"/>
      <c r="D74" s="2457" t="n"/>
      <c r="E74" s="2457" t="n"/>
      <c r="F74" s="2457" t="n"/>
      <c r="G74" s="2457" t="n"/>
      <c r="H74" s="2457" t="n"/>
      <c r="I74" s="2457" t="n"/>
      <c r="J74" s="2457" t="n"/>
      <c r="K74" s="2457" t="n"/>
      <c r="L74" s="2458">
        <f>SUMIF(E14:E64,"T2",L14:L64)</f>
        <v/>
      </c>
      <c r="M74" s="2458">
        <f>SUMIF(E14:E64,"T2",M14:M64)</f>
        <v/>
      </c>
    </row>
    <row r="75" ht="15" customHeight="1" s="1666">
      <c r="B75" s="2453" t="inlineStr">
        <is>
          <t>ΣT3</t>
        </is>
      </c>
      <c r="C75" s="2454" t="n"/>
      <c r="D75" s="2454" t="n"/>
      <c r="E75" s="2454" t="n"/>
      <c r="F75" s="2454" t="n"/>
      <c r="G75" s="2454" t="n"/>
      <c r="H75" s="2454" t="n"/>
      <c r="I75" s="2454" t="n"/>
      <c r="J75" s="2454" t="n"/>
      <c r="K75" s="2454" t="n"/>
      <c r="L75" s="2455">
        <f>SUMIF(E14:E64,"T3",L14:L64)</f>
        <v/>
      </c>
      <c r="M75" s="2455">
        <f>SUMIF(E14:E64,"T3",M14:M64)</f>
        <v/>
      </c>
    </row>
    <row r="76" ht="15" customHeight="1" s="1666">
      <c r="B76" s="2456" t="inlineStr">
        <is>
          <t>ΣT4</t>
        </is>
      </c>
      <c r="C76" s="2457" t="n"/>
      <c r="D76" s="2457" t="n"/>
      <c r="E76" s="2457" t="n"/>
      <c r="F76" s="2457" t="n"/>
      <c r="G76" s="2457" t="n"/>
      <c r="H76" s="2457" t="n"/>
      <c r="I76" s="2457" t="n"/>
      <c r="J76" s="2457" t="n"/>
      <c r="K76" s="2457" t="n"/>
      <c r="L76" s="2458">
        <f>SUMIF(E14:E64,"T4",L14:L64)</f>
        <v/>
      </c>
      <c r="M76" s="2458">
        <f>SUMIF(E14:E64,"T4",M14:M64)</f>
        <v/>
      </c>
    </row>
    <row r="77" ht="15" customHeight="1" s="1666">
      <c r="B77" s="2453" t="inlineStr">
        <is>
          <t>ΣT5</t>
        </is>
      </c>
      <c r="C77" s="2454" t="n"/>
      <c r="D77" s="2454" t="n"/>
      <c r="E77" s="2454" t="n"/>
      <c r="F77" s="2454" t="n"/>
      <c r="G77" s="2454" t="n"/>
      <c r="H77" s="2454" t="n"/>
      <c r="I77" s="2454" t="n"/>
      <c r="J77" s="2454" t="n"/>
      <c r="K77" s="2454" t="n"/>
      <c r="L77" s="2455">
        <f>SUMIF(E14:E64,"T5",L14:L64)</f>
        <v/>
      </c>
      <c r="M77" s="2455">
        <f>SUMIF(E14:E64,"T5",M14:M64)</f>
        <v/>
      </c>
    </row>
    <row r="78" ht="15.75" customHeight="1" s="1666"/>
    <row r="79" ht="15.75" customHeight="1" s="1666"/>
    <row r="80" ht="15.75" customHeight="1" s="1666"/>
    <row r="81" ht="15.75" customHeight="1" s="1666"/>
    <row r="82" ht="15.75" customHeight="1" s="1666"/>
    <row r="83" ht="15.75" customHeight="1" s="1666"/>
    <row r="84" ht="15.75" customHeight="1" s="1666"/>
    <row r="85" ht="15.75" customHeight="1" s="1666"/>
    <row r="86" ht="15.75" customHeight="1" s="1666"/>
    <row r="87" ht="15.75" customHeight="1" s="1666"/>
    <row r="88" ht="15.75" customHeight="1" s="1666"/>
    <row r="89" ht="15.75" customHeight="1" s="1666"/>
    <row r="90" ht="15.75" customHeight="1" s="1666"/>
    <row r="91" ht="15.75" customHeight="1" s="1666"/>
    <row r="92" ht="15.75" customHeight="1" s="1666"/>
    <row r="93" ht="15.75" customHeight="1" s="1666"/>
    <row r="94" ht="15.75" customHeight="1" s="1666"/>
    <row r="95" ht="15.75" customHeight="1" s="1666"/>
    <row r="96" ht="15.75" customHeight="1" s="1666"/>
    <row r="97" ht="15.75" customHeight="1" s="1666"/>
    <row r="98" ht="15.75" customHeight="1" s="1666"/>
    <row r="99" ht="15.75" customHeight="1" s="1666"/>
    <row r="100" ht="15.75" customHeight="1" s="1666"/>
    <row r="101" ht="15.75" customHeight="1" s="1666"/>
    <row r="102" ht="15.75" customHeight="1" s="1666"/>
    <row r="103" ht="15.75" customHeight="1" s="1666"/>
    <row r="104" ht="15.75" customHeight="1" s="1666"/>
    <row r="105" ht="15.75" customHeight="1" s="1666"/>
    <row r="106" ht="15.75" customHeight="1" s="1666"/>
    <row r="107" ht="15.75" customHeight="1" s="1666"/>
    <row r="108" ht="15.75" customHeight="1" s="1666"/>
    <row r="109" ht="15.75" customHeight="1" s="1666"/>
    <row r="110" ht="15.75" customHeight="1" s="1666"/>
    <row r="111" ht="15.75" customHeight="1" s="1666"/>
    <row r="112" ht="15.75" customHeight="1" s="1666"/>
    <row r="113" ht="15.75" customHeight="1" s="1666"/>
    <row r="114" ht="15.75" customHeight="1" s="1666"/>
    <row r="115" ht="15.75" customHeight="1" s="1666"/>
    <row r="116" ht="15.75" customHeight="1" s="1666"/>
    <row r="117" ht="15.75" customHeight="1" s="1666"/>
    <row r="118" ht="15.75" customHeight="1" s="1666"/>
    <row r="119" ht="15.75" customHeight="1" s="1666"/>
    <row r="120" ht="15.75" customHeight="1" s="1666"/>
    <row r="121" ht="15.75" customHeight="1" s="1666"/>
    <row r="122" ht="15.75" customHeight="1" s="1666"/>
    <row r="123" ht="15.75" customHeight="1" s="1666"/>
    <row r="124" ht="15.75" customHeight="1" s="1666"/>
    <row r="125" ht="15.75" customHeight="1" s="1666"/>
    <row r="126" ht="15.75" customHeight="1" s="1666"/>
    <row r="127" ht="15.75" customHeight="1" s="1666"/>
    <row r="128" ht="15.75" customHeight="1" s="1666"/>
    <row r="129" ht="15.75" customHeight="1" s="1666"/>
    <row r="130" ht="15.75" customHeight="1" s="1666"/>
    <row r="131" ht="15.75" customHeight="1" s="1666"/>
    <row r="132" ht="15.75" customHeight="1" s="1666"/>
    <row r="133" ht="15.75" customHeight="1" s="1666"/>
    <row r="134" ht="15.75" customHeight="1" s="1666"/>
    <row r="135" ht="15.75" customHeight="1" s="1666"/>
    <row r="136" ht="15.75" customHeight="1" s="1666"/>
    <row r="137" ht="15.75" customHeight="1" s="1666"/>
    <row r="138" ht="15.75" customHeight="1" s="1666"/>
    <row r="139" ht="15.75" customHeight="1" s="1666"/>
    <row r="140" ht="15.75" customHeight="1" s="1666"/>
    <row r="141" ht="15.75" customHeight="1" s="1666"/>
    <row r="142" ht="15.75" customHeight="1" s="1666"/>
    <row r="143" ht="15.75" customHeight="1" s="1666"/>
    <row r="144" ht="15.75" customHeight="1" s="1666"/>
    <row r="145" ht="15.75" customHeight="1" s="1666"/>
    <row r="146" ht="15.75" customHeight="1" s="1666"/>
    <row r="147" ht="15.75" customHeight="1" s="1666"/>
    <row r="148" ht="15.75" customHeight="1" s="1666"/>
    <row r="149" ht="15.75" customHeight="1" s="1666"/>
    <row r="150" ht="15.75" customHeight="1" s="1666"/>
    <row r="151" ht="15.75" customHeight="1" s="1666"/>
    <row r="152" ht="15.75" customHeight="1" s="1666"/>
    <row r="153" ht="15.75" customHeight="1" s="1666"/>
    <row r="154" ht="15.75" customHeight="1" s="1666"/>
    <row r="155" ht="15.75" customHeight="1" s="1666"/>
    <row r="156" ht="15.75" customHeight="1" s="1666"/>
    <row r="157" ht="15.75" customHeight="1" s="1666"/>
    <row r="158" ht="15.75" customHeight="1" s="1666"/>
    <row r="159" ht="15.75" customHeight="1" s="1666"/>
    <row r="160" ht="15.75" customHeight="1" s="1666"/>
    <row r="161" ht="15.75" customHeight="1" s="1666"/>
    <row r="162" ht="15.75" customHeight="1" s="1666"/>
    <row r="163" ht="15.75" customHeight="1" s="1666"/>
    <row r="164" ht="15.75" customHeight="1" s="1666"/>
    <row r="165" ht="15.75" customHeight="1" s="1666"/>
    <row r="166" ht="15.75" customHeight="1" s="1666"/>
    <row r="167" ht="15.75" customHeight="1" s="1666"/>
    <row r="168" ht="15.75" customHeight="1" s="1666"/>
    <row r="169" ht="15.75" customHeight="1" s="1666"/>
    <row r="170" ht="15.75" customHeight="1" s="1666"/>
    <row r="171" ht="15.75" customHeight="1" s="1666"/>
    <row r="172" ht="15.75" customHeight="1" s="1666"/>
    <row r="173" ht="15.75" customHeight="1" s="1666"/>
    <row r="174" ht="15.75" customHeight="1" s="1666"/>
    <row r="175" ht="15.75" customHeight="1" s="1666"/>
    <row r="176" ht="15.75" customHeight="1" s="1666"/>
    <row r="177" ht="15.75" customHeight="1" s="1666"/>
    <row r="178" ht="15.75" customHeight="1" s="1666"/>
    <row r="179" ht="15.75" customHeight="1" s="1666"/>
    <row r="180" ht="15.75" customHeight="1" s="1666"/>
    <row r="181" ht="15.75" customHeight="1" s="1666"/>
    <row r="182" ht="15.75" customHeight="1" s="1666"/>
    <row r="183" ht="15.75" customHeight="1" s="1666"/>
    <row r="184" ht="15.75" customHeight="1" s="1666"/>
    <row r="185" ht="15.75" customHeight="1" s="1666"/>
    <row r="186" ht="15.75" customHeight="1" s="1666"/>
    <row r="187" ht="15.75" customHeight="1" s="1666"/>
    <row r="188" ht="15.75" customHeight="1" s="1666"/>
    <row r="189" ht="15.75" customHeight="1" s="1666"/>
    <row r="190" ht="15.75" customHeight="1" s="1666"/>
    <row r="191" ht="15.75" customHeight="1" s="1666"/>
    <row r="192" ht="15.75" customHeight="1" s="1666"/>
    <row r="193" ht="15.75" customHeight="1" s="1666"/>
    <row r="194" ht="15.75" customHeight="1" s="1666"/>
    <row r="195" ht="15.75" customHeight="1" s="1666"/>
    <row r="196" ht="15.75" customHeight="1" s="1666"/>
    <row r="197" ht="15.75" customHeight="1" s="1666"/>
    <row r="198" ht="15.75" customHeight="1" s="1666"/>
    <row r="199" ht="15.75" customHeight="1" s="1666"/>
    <row r="200" ht="15.75" customHeight="1" s="1666"/>
    <row r="201" ht="15.75" customHeight="1" s="1666"/>
    <row r="202" ht="15.75" customHeight="1" s="1666"/>
    <row r="203" ht="15.75" customHeight="1" s="1666"/>
    <row r="204" ht="15.75" customHeight="1" s="1666"/>
    <row r="205" ht="15.75" customHeight="1" s="1666"/>
    <row r="206" ht="15.75" customHeight="1" s="1666"/>
    <row r="207" ht="15.75" customHeight="1" s="1666"/>
    <row r="208" ht="15.75" customHeight="1" s="1666"/>
    <row r="209" ht="15.75" customHeight="1" s="1666"/>
    <row r="210" ht="15.75" customHeight="1" s="1666"/>
    <row r="211" ht="15.75" customHeight="1" s="1666"/>
    <row r="212" ht="15.75" customHeight="1" s="1666"/>
    <row r="213" ht="15.75" customHeight="1" s="1666"/>
    <row r="214" ht="15.75" customHeight="1" s="1666"/>
    <row r="215" ht="15.75" customHeight="1" s="1666"/>
    <row r="216" ht="15.75" customHeight="1" s="1666"/>
    <row r="217" ht="15.75" customHeight="1" s="1666"/>
    <row r="218" ht="15.75" customHeight="1" s="1666"/>
    <row r="219" ht="15.75" customHeight="1" s="1666"/>
    <row r="220" ht="15.75" customHeight="1" s="1666"/>
    <row r="221" ht="15.75" customHeight="1" s="1666"/>
    <row r="222" ht="15.75" customHeight="1" s="1666"/>
    <row r="223" ht="15.75" customHeight="1" s="1666"/>
    <row r="224" ht="15.75" customHeight="1" s="1666"/>
    <row r="225" ht="15.75" customHeight="1" s="1666"/>
    <row r="226" ht="15.75" customHeight="1" s="1666"/>
    <row r="227" ht="15.75" customHeight="1" s="1666"/>
    <row r="228" ht="15.75" customHeight="1" s="1666"/>
    <row r="229" ht="15.75" customHeight="1" s="1666"/>
    <row r="230" ht="15.75" customHeight="1" s="1666"/>
    <row r="231" ht="15.75" customHeight="1" s="1666"/>
    <row r="232" ht="15.75" customHeight="1" s="1666"/>
    <row r="233" ht="15.75" customHeight="1" s="1666"/>
    <row r="234" ht="15.75" customHeight="1" s="1666"/>
    <row r="235" ht="15.75" customHeight="1" s="1666"/>
    <row r="236" ht="15.75" customHeight="1" s="1666"/>
    <row r="237" ht="15.75" customHeight="1" s="1666"/>
    <row r="238" ht="15.75" customHeight="1" s="1666"/>
    <row r="239" ht="15.75" customHeight="1" s="1666"/>
    <row r="240" ht="15.75" customHeight="1" s="1666"/>
    <row r="241" ht="15.75" customHeight="1" s="1666"/>
    <row r="242" ht="15.75" customHeight="1" s="1666"/>
    <row r="243" ht="15.75" customHeight="1" s="1666"/>
    <row r="244" ht="15.75" customHeight="1" s="1666"/>
    <row r="245" ht="15.75" customHeight="1" s="1666"/>
    <row r="246" ht="15.75" customHeight="1" s="1666"/>
    <row r="247" ht="15.75" customHeight="1" s="1666"/>
    <row r="248" ht="15.75" customHeight="1" s="1666"/>
    <row r="249" ht="15.75" customHeight="1" s="1666"/>
    <row r="250" ht="15.75" customHeight="1" s="1666"/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9">
    <mergeCell ref="D4:J4"/>
    <mergeCell ref="B46:Q46"/>
    <mergeCell ref="B14:Q14"/>
    <mergeCell ref="B45:Q45"/>
    <mergeCell ref="B61:Q61"/>
    <mergeCell ref="B1:Q1"/>
    <mergeCell ref="B43:K43"/>
    <mergeCell ref="B2:Q2"/>
    <mergeCell ref="B3:Q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00B0F0"/>
    <outlinePr summaryBelow="1" summaryRight="1"/>
    <pageSetUpPr fitToPage="0"/>
  </sheetPr>
  <dimension ref="A1:AM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B9" activeCellId="0" sqref="B9"/>
    </sheetView>
  </sheetViews>
  <sheetFormatPr baseColWidth="8" defaultColWidth="14.43359375" defaultRowHeight="15" zeroHeight="0" outlineLevelRow="0"/>
  <cols>
    <col width="12" customWidth="1" style="1665" min="1" max="1"/>
    <col width="22" customWidth="1" style="1665" min="2" max="2"/>
    <col width="10" customWidth="1" style="1665" min="3" max="4"/>
    <col width="8" customWidth="1" style="1665" min="5" max="6"/>
    <col width="14" customWidth="1" style="1665" min="7" max="14"/>
    <col width="10" customWidth="1" style="1665" min="15" max="18"/>
    <col width="8" customWidth="1" style="1665" min="19" max="23"/>
    <col width="8.710000000000001" customWidth="1" style="1665" min="24" max="27"/>
    <col width="16" customWidth="1" style="1665" min="28" max="28"/>
    <col width="8.710000000000001" customWidth="1" style="1665" min="29" max="39"/>
  </cols>
  <sheetData>
    <row r="1" ht="27.75" customHeight="1" s="1666">
      <c r="A1" s="2359" t="n"/>
      <c r="B1" s="2459" t="inlineStr">
        <is>
          <t>🔍  ANALYSE TRIABLE  —  Toutes les positions consolidées</t>
        </is>
      </c>
      <c r="AH1" s="2359" t="n"/>
    </row>
    <row r="2" ht="14.25" customHeight="1" s="1666">
      <c r="A2" s="2361" t="n"/>
      <c r="B2" s="2460" t="inlineStr">
        <is>
          <t>🔍  ANALYSE TRIABLE  ·  Recherche 9 mars 2026  ·  Cliquer ▼ pour trier/filtrer</t>
        </is>
      </c>
      <c r="C2" s="2461" t="n"/>
      <c r="D2" s="2461" t="n"/>
      <c r="E2" s="2461" t="n"/>
      <c r="F2" s="2461" t="n"/>
      <c r="G2" s="2461" t="n"/>
      <c r="H2" s="2461" t="n"/>
      <c r="I2" s="2461" t="n"/>
      <c r="J2" s="2461" t="n"/>
      <c r="K2" s="2461" t="n"/>
      <c r="L2" s="2461" t="n"/>
      <c r="M2" s="2461" t="n"/>
      <c r="N2" s="2461" t="n"/>
      <c r="O2" s="2461" t="n"/>
      <c r="P2" s="2461" t="n"/>
      <c r="Q2" s="2461" t="n"/>
      <c r="R2" s="2461" t="n"/>
      <c r="S2" s="2461" t="n"/>
      <c r="T2" s="2461" t="n"/>
      <c r="U2" s="2461" t="n"/>
      <c r="V2" s="2461" t="n"/>
      <c r="W2" s="2361" t="n"/>
      <c r="X2" s="2361" t="n"/>
      <c r="Y2" s="2361" t="n"/>
      <c r="Z2" s="2361" t="n"/>
      <c r="AA2" s="2361" t="n"/>
      <c r="AB2" s="2361" t="n"/>
      <c r="AC2" s="2361" t="n"/>
      <c r="AD2" s="2361" t="n"/>
      <c r="AE2" s="2361" t="n"/>
      <c r="AF2" s="2361" t="n"/>
      <c r="AG2" s="2361" t="n"/>
      <c r="AH2" s="2361" t="n"/>
      <c r="AI2" s="2361" t="n"/>
    </row>
    <row r="3" ht="13.5" customHeight="1" s="1666">
      <c r="A3" s="2364" t="n"/>
      <c r="B3" s="2462" t="inlineStr">
        <is>
          <t>Sources: stockanalysis · koyfin · stockevents · digrin · yahoo finance  ·  9 mars 2026</t>
        </is>
      </c>
      <c r="C3" s="2364" t="n"/>
      <c r="D3" s="2364" t="n"/>
      <c r="E3" s="2364" t="n"/>
      <c r="F3" s="2364" t="n"/>
      <c r="G3" s="2364" t="n"/>
      <c r="H3" s="2364" t="n"/>
      <c r="I3" s="2364" t="n"/>
      <c r="J3" s="2364" t="n"/>
      <c r="K3" s="2364" t="n"/>
      <c r="L3" s="2364" t="n"/>
      <c r="M3" s="2364" t="n"/>
      <c r="N3" s="2364" t="n"/>
      <c r="O3" s="2364" t="n"/>
      <c r="P3" s="2364" t="n"/>
      <c r="Q3" s="2364" t="n"/>
      <c r="R3" s="2364" t="n"/>
      <c r="S3" s="2364" t="n"/>
      <c r="T3" s="2364" t="n"/>
      <c r="U3" s="2364" t="n"/>
      <c r="V3" s="2364" t="n"/>
      <c r="W3" s="2364" t="n"/>
      <c r="X3" s="2364" t="n"/>
      <c r="Y3" s="2364" t="n"/>
      <c r="Z3" s="2364" t="n"/>
      <c r="AA3" s="2364" t="n"/>
      <c r="AB3" s="2364" t="n"/>
      <c r="AC3" s="2364" t="n"/>
      <c r="AD3" s="2364" t="n"/>
      <c r="AE3" s="2364" t="n"/>
      <c r="AF3" s="2364" t="n"/>
      <c r="AG3" s="2364" t="n"/>
      <c r="AH3" s="2364" t="n"/>
      <c r="AI3" s="2364" t="n"/>
      <c r="AJ3" s="2364" t="n"/>
    </row>
    <row r="4" ht="12" customHeight="1" s="1666">
      <c r="A4" s="2364" t="n"/>
      <c r="B4" s="2364" t="n"/>
      <c r="C4" s="2364" t="n"/>
      <c r="D4" s="2364" t="n"/>
      <c r="E4" s="2364" t="n"/>
      <c r="F4" s="2364" t="n"/>
      <c r="G4" s="2364" t="n"/>
      <c r="H4" s="2364" t="n"/>
      <c r="I4" s="2364" t="n"/>
      <c r="J4" s="2364" t="n"/>
      <c r="K4" s="2364" t="n"/>
      <c r="L4" s="2364" t="n"/>
      <c r="M4" s="2364" t="n"/>
      <c r="N4" s="2364" t="n"/>
      <c r="O4" s="2364" t="n"/>
      <c r="P4" s="2364" t="n"/>
      <c r="Q4" s="2364" t="n"/>
      <c r="R4" s="2364" t="n"/>
      <c r="S4" s="2364" t="n"/>
      <c r="T4" s="2364" t="n"/>
      <c r="U4" s="2364" t="n"/>
      <c r="V4" s="2364" t="n"/>
      <c r="W4" s="2364" t="n"/>
      <c r="X4" s="2364" t="n"/>
      <c r="Y4" s="2364" t="n"/>
      <c r="Z4" s="2364" t="n"/>
      <c r="AA4" s="2364" t="n"/>
      <c r="AB4" s="2364" t="n"/>
      <c r="AC4" s="2364" t="n"/>
      <c r="AD4" s="2364" t="n"/>
      <c r="AE4" s="2364" t="n"/>
      <c r="AF4" s="2364" t="n"/>
      <c r="AG4" s="2364" t="n"/>
      <c r="AH4" s="2364" t="n"/>
      <c r="AI4" s="2364" t="n"/>
      <c r="AJ4" s="2364" t="n"/>
      <c r="AK4" s="2364" t="n"/>
    </row>
    <row r="5" ht="18" customHeight="1" s="1666">
      <c r="A5" s="2366" t="n"/>
      <c r="B5" s="2367" t="inlineStr">
        <is>
          <t>Taux USD/CAD →</t>
        </is>
      </c>
      <c r="C5" s="2368">
        <f>CONFIG!$B$3</f>
        <v/>
      </c>
      <c r="D5" s="2369" t="inlineStr">
        <is>
          <t>← modifier ici (se propage partout)</t>
        </is>
      </c>
      <c r="E5" s="2366" t="n"/>
      <c r="F5" s="2366" t="n"/>
      <c r="G5" s="2366" t="n"/>
      <c r="H5" s="2366" t="n"/>
      <c r="I5" s="2366" t="n"/>
      <c r="J5" s="2366" t="n"/>
      <c r="K5" s="2366" t="n"/>
      <c r="L5" s="2366" t="n"/>
      <c r="M5" s="2366" t="n"/>
      <c r="N5" s="2366" t="n"/>
      <c r="O5" s="2366" t="n"/>
      <c r="P5" s="2366" t="n"/>
      <c r="Q5" s="2366" t="n"/>
      <c r="R5" s="2366" t="n"/>
      <c r="S5" s="2366" t="n"/>
      <c r="T5" s="2366" t="n"/>
      <c r="U5" s="2366" t="n"/>
      <c r="V5" s="2366" t="n"/>
      <c r="W5" s="2366" t="n"/>
      <c r="X5" s="2366" t="n"/>
      <c r="Y5" s="2366" t="n"/>
      <c r="Z5" s="2366" t="n"/>
      <c r="AA5" s="2366" t="n"/>
      <c r="AB5" s="2366" t="n"/>
      <c r="AC5" s="2366" t="n"/>
      <c r="AD5" s="2366" t="n"/>
      <c r="AE5" s="2366" t="n"/>
      <c r="AF5" s="2366" t="n"/>
      <c r="AG5" s="2366" t="n"/>
      <c r="AH5" s="2366" t="n"/>
      <c r="AI5" s="2366" t="n"/>
      <c r="AJ5" s="2366" t="n"/>
      <c r="AK5" s="2366" t="n"/>
      <c r="AL5" s="2366" t="n"/>
    </row>
    <row r="6" ht="18" customHeight="1" s="1666">
      <c r="B6" s="2463">
        <f>'📈 PORTEFEUILLE'!L67</f>
        <v/>
      </c>
      <c r="C6" s="2463">
        <f>'📈 PORTEFEUILLE'!M67</f>
        <v/>
      </c>
      <c r="D6" s="2463">
        <f>'📈 PORTEFEUILLE'!N67</f>
        <v/>
      </c>
      <c r="E6" s="2464">
        <f>'📈 PORTEFEUILLE'!O67</f>
        <v/>
      </c>
      <c r="F6" s="2464">
        <f>IFERROR(('📈 PORTEFEUILLE'!L70+'📈 PORTEFEUILLE'!L71)/'📈 PORTEFEUILLE'!L67,0)</f>
        <v/>
      </c>
      <c r="G6" s="2465">
        <f>IFERROR(SUMPRODUCT(L8:L48,R8:R48)/SUM(L8:L48),0)</f>
        <v/>
      </c>
      <c r="H6" s="2466">
        <f>IF(G6&gt;1.4,"⚠️ BETA ÉLEVÉ",IF(G6&gt;1.2,"🟡 MODÉRÉ","✅ BETA OK"))</f>
        <v/>
      </c>
      <c r="I6" s="2467" t="n"/>
    </row>
    <row r="7" ht="24" customHeight="1" s="1666">
      <c r="A7" s="2344" t="n"/>
      <c r="B7" s="2344" t="inlineStr">
        <is>
          <t>TICKER</t>
        </is>
      </c>
      <c r="C7" s="2344" t="inlineStr">
        <is>
          <t>NOM</t>
        </is>
      </c>
      <c r="D7" s="2344" t="inlineStr">
        <is>
          <t>TYPE</t>
        </is>
      </c>
      <c r="E7" s="2344" t="inlineStr">
        <is>
          <t>TIER</t>
        </is>
      </c>
      <c r="F7" s="2344" t="inlineStr">
        <is>
          <t>CTE</t>
        </is>
      </c>
      <c r="G7" s="2344" t="inlineStr">
        <is>
          <t>QTÉ</t>
        </is>
      </c>
      <c r="H7" s="2344" t="inlineStr">
        <is>
          <t>PRIX MOY</t>
        </is>
      </c>
      <c r="I7" s="2344" t="inlineStr">
        <is>
          <t>PRIX ACT CAD</t>
        </is>
      </c>
      <c r="J7" s="2344" t="inlineStr">
        <is>
          <t>PRIX ACT USD</t>
        </is>
      </c>
      <c r="K7" s="2344" t="inlineStr">
        <is>
          <t>DEV</t>
        </is>
      </c>
      <c r="L7" s="2344" t="inlineStr">
        <is>
          <t>VALEUR CAD</t>
        </is>
      </c>
      <c r="M7" s="2344" t="inlineStr">
        <is>
          <t>GAIN $</t>
        </is>
      </c>
      <c r="N7" s="2344" t="inlineStr">
        <is>
          <t>GAIN %</t>
        </is>
      </c>
      <c r="O7" s="2344" t="inlineStr">
        <is>
          <t>% PORT.</t>
        </is>
      </c>
      <c r="P7" s="2344" t="inlineStr">
        <is>
          <t>YIELD</t>
        </is>
      </c>
      <c r="Q7" s="2344" t="inlineStr">
        <is>
          <t>DIV CAD/AN</t>
        </is>
      </c>
      <c r="R7" s="2344" t="inlineStr">
        <is>
          <t>BETA</t>
        </is>
      </c>
      <c r="S7" s="2344" t="inlineStr">
        <is>
          <t>EXPO IA%</t>
        </is>
      </c>
      <c r="T7" s="2344" t="inlineStr">
        <is>
          <t>OBJ. CAD</t>
        </is>
      </c>
      <c r="U7" s="2344" t="inlineStr">
        <is>
          <t>DERNIER ACH.</t>
        </is>
      </c>
      <c r="V7" s="2344" t="inlineStr">
        <is>
          <t>ACTION / SIGNAL</t>
        </is>
      </c>
      <c r="W7" s="2344" t="inlineStr">
        <is>
          <t>CORE / SATELLITE</t>
        </is>
      </c>
      <c r="X7" s="2344" t="inlineStr">
        <is>
          <t>TAG (formule)</t>
        </is>
      </c>
      <c r="Y7" s="2468" t="inlineStr">
        <is>
          <t>IS_CORE</t>
        </is>
      </c>
      <c r="Z7" s="2468" t="inlineStr">
        <is>
          <t>IS_CAN_REIT</t>
        </is>
      </c>
      <c r="AA7" s="2370" t="n"/>
      <c r="AB7" s="2469" t="inlineStr">
        <is>
          <t>🤖 EXPOSITION IA %</t>
        </is>
      </c>
      <c r="AC7" s="2470" t="inlineStr">
        <is>
          <t>P/E RATIO</t>
        </is>
      </c>
      <c r="AD7" s="2470" t="inlineStr">
        <is>
          <t>DATE ACHAT</t>
        </is>
      </c>
      <c r="AE7" s="2470" t="inlineStr">
        <is>
          <t>PRIX CIBLE CAD</t>
        </is>
      </c>
      <c r="AF7" s="2470" t="inlineStr">
        <is>
          <t>PROCHAIN EARNINGS</t>
        </is>
      </c>
      <c r="AG7" s="2470" t="inlineStr">
        <is>
          <t>POTENTIEL %</t>
        </is>
      </c>
      <c r="AH7" s="2370" t="n"/>
      <c r="AI7" s="2370" t="n"/>
      <c r="AJ7" s="2370" t="n"/>
      <c r="AK7" s="2370" t="n"/>
      <c r="AL7" s="2370" t="n"/>
      <c r="AM7" s="2370" t="n"/>
    </row>
    <row r="8" ht="15.75" customHeight="1" s="1666">
      <c r="B8" s="2471" t="inlineStr">
        <is>
          <t>VFV.TO</t>
        </is>
      </c>
      <c r="C8" s="2404" t="inlineStr">
        <is>
          <t>Vanguard S&amp;P 500</t>
        </is>
      </c>
      <c r="D8" s="2472" t="inlineStr">
        <is>
          <t>ETF</t>
        </is>
      </c>
      <c r="E8" s="2473" t="inlineStr">
        <is>
          <t>T1</t>
        </is>
      </c>
      <c r="F8" s="2472" t="n">
        <v>84</v>
      </c>
      <c r="G8" s="2474" t="n">
        <v>119.9246</v>
      </c>
      <c r="H8" s="2475" t="n">
        <v>119.9246</v>
      </c>
      <c r="I8" s="2475">
        <f>IFERROR(VLOOKUP(B8,CONFIG!$F$6:$G$35,2,0),0)</f>
        <v/>
      </c>
      <c r="J8" s="2475">
        <f>IFERROR(I8/CONFIG!B3,0)</f>
        <v/>
      </c>
      <c r="K8" s="2472" t="inlineStr">
        <is>
          <t>CAD</t>
        </is>
      </c>
      <c r="L8" s="2476">
        <f>IF(G8&gt;0,G8*I8,0)</f>
        <v/>
      </c>
      <c r="M8" s="2477">
        <f>IF(H8&gt;0,(I8-H8)*G8,0)</f>
        <v/>
      </c>
      <c r="N8" s="2478">
        <f>IF(H8&gt;0,(I8-H8)/H8,0)</f>
        <v/>
      </c>
      <c r="O8" s="2479">
        <f>IF(L8&gt;0,L8/SUM(L8:L48),0)</f>
        <v/>
      </c>
      <c r="P8" s="2480" t="n">
        <v>0.0092</v>
      </c>
      <c r="Q8" s="2476">
        <f>IF(G8&gt;0,G8*I8*P8,0)</f>
        <v/>
      </c>
      <c r="R8" s="2481" t="n">
        <v>1</v>
      </c>
      <c r="S8" s="2482" t="n">
        <v>0.3</v>
      </c>
      <c r="T8" s="2483" t="n">
        <v>20000</v>
      </c>
      <c r="U8" s="2484" t="inlineStr">
        <is>
          <t>2026-03-09</t>
        </is>
      </c>
      <c r="V8" s="2485" t="inlineStr">
        <is>
          <t>✅ Accumuler — FHSA auto $2,500/mois</t>
        </is>
      </c>
      <c r="W8" s="2486" t="inlineStr">
        <is>
          <t>Core 🌍</t>
        </is>
      </c>
      <c r="X8" s="2487" t="inlineStr">
        <is>
          <t>ETF</t>
        </is>
      </c>
      <c r="Y8" s="2488" t="n">
        <v>1</v>
      </c>
      <c r="Z8" s="2489" t="n">
        <v>0</v>
      </c>
      <c r="AB8" s="2490" t="n">
        <v>0.35</v>
      </c>
      <c r="AC8" s="2491" t="inlineStr">
        <is>
          <t>22.5</t>
        </is>
      </c>
      <c r="AD8" s="2491" t="inlineStr">
        <is>
          <t>2026-03-09</t>
        </is>
      </c>
      <c r="AE8" s="2491" t="inlineStr">
        <is>
          <t>$185</t>
        </is>
      </c>
      <c r="AF8" s="2491" t="inlineStr">
        <is>
          <t>—</t>
        </is>
      </c>
      <c r="AG8" s="2492">
        <f>IFERROR((185-I8)/I8,0)</f>
        <v/>
      </c>
    </row>
    <row r="9" ht="15.75" customHeight="1" s="1666">
      <c r="B9" s="2493" t="inlineStr">
        <is>
          <t>GOOG</t>
        </is>
      </c>
      <c r="C9" s="2404" t="inlineStr">
        <is>
          <t>Alphabet</t>
        </is>
      </c>
      <c r="D9" s="2472" t="inlineStr">
        <is>
          <t>Action</t>
        </is>
      </c>
      <c r="E9" s="2473" t="inlineStr">
        <is>
          <t>T1</t>
        </is>
      </c>
      <c r="F9" s="2472" t="n">
        <v>6</v>
      </c>
      <c r="G9" s="2474" t="n">
        <v>90.60590000000001</v>
      </c>
      <c r="H9" s="2475" t="n">
        <v>90.60590000000001</v>
      </c>
      <c r="I9" s="2475">
        <f>IFERROR(J9*CONFIG!B3,0)</f>
        <v/>
      </c>
      <c r="J9" s="2475">
        <f>IFERROR(VLOOKUP(B9,CONFIG!$F$6:$G$35,2,0),0)</f>
        <v/>
      </c>
      <c r="K9" s="2475" t="inlineStr">
        <is>
          <t>USD</t>
        </is>
      </c>
      <c r="L9" s="2476">
        <f>IF(G9&gt;0,G9*I9,0)</f>
        <v/>
      </c>
      <c r="M9" s="2477">
        <f>IF(H9&gt;0,(I9-H9)*G9,0)</f>
        <v/>
      </c>
      <c r="N9" s="2478">
        <f>IF(H9&gt;0,(I9-H9)/H9,0)</f>
        <v/>
      </c>
      <c r="O9" s="2479">
        <f>IF(L9&gt;0,L9/SUM(L8:L48),0)</f>
        <v/>
      </c>
      <c r="P9" s="2480" t="n">
        <v>0.005</v>
      </c>
      <c r="Q9" s="2476">
        <f>IF(G9&gt;0,G9*I9*P9,0)</f>
        <v/>
      </c>
      <c r="R9" s="2481" t="n">
        <v>1.06</v>
      </c>
      <c r="S9" s="2482" t="n">
        <v>0.85</v>
      </c>
      <c r="T9" s="2483" t="n">
        <v>5000</v>
      </c>
      <c r="U9" s="2484" t="inlineStr">
        <is>
          <t>2025</t>
        </is>
      </c>
      <c r="V9" s="2485" t="inlineStr">
        <is>
          <t>✅ Garder — +232%, ne pas vendre</t>
        </is>
      </c>
      <c r="W9" s="2494" t="inlineStr">
        <is>
          <t>Core 🚀</t>
        </is>
      </c>
      <c r="X9" s="2487" t="inlineStr">
        <is>
          <t>GROWTH</t>
        </is>
      </c>
      <c r="Y9" s="2488" t="n">
        <v>1</v>
      </c>
      <c r="Z9" s="2489" t="n">
        <v>0</v>
      </c>
      <c r="AB9" s="2495" t="n">
        <v>0.9</v>
      </c>
      <c r="AC9" s="2491" t="inlineStr">
        <is>
          <t>21.0</t>
        </is>
      </c>
      <c r="AD9" s="2491" t="inlineStr">
        <is>
          <t>2025</t>
        </is>
      </c>
      <c r="AE9" s="2491" t="inlineStr">
        <is>
          <t>$400</t>
        </is>
      </c>
      <c r="AF9" s="2491" t="inlineStr">
        <is>
          <t>Apr 2026</t>
        </is>
      </c>
      <c r="AG9" s="2496">
        <f>IFERROR((400-I9)/I9,0)</f>
        <v/>
      </c>
    </row>
    <row r="10" ht="15.75" customHeight="1" s="1666">
      <c r="B10" s="2493" t="inlineStr">
        <is>
          <t>AVGO</t>
        </is>
      </c>
      <c r="C10" s="2404" t="inlineStr">
        <is>
          <t>Broadcom</t>
        </is>
      </c>
      <c r="D10" s="2472" t="inlineStr">
        <is>
          <t>Action</t>
        </is>
      </c>
      <c r="E10" s="2473" t="inlineStr">
        <is>
          <t>T1</t>
        </is>
      </c>
      <c r="F10" s="2472" t="n">
        <v>16.5743</v>
      </c>
      <c r="G10" s="2474" t="n">
        <v>342.1593</v>
      </c>
      <c r="H10" s="2475" t="n">
        <v>342.1593</v>
      </c>
      <c r="I10" s="2475">
        <f>IFERROR(J10*CONFIG!B3,0)</f>
        <v/>
      </c>
      <c r="J10" s="2475">
        <f>IFERROR(VLOOKUP(B10,CONFIG!$F$6:$G$35,2,0),0)</f>
        <v/>
      </c>
      <c r="K10" s="2475" t="inlineStr">
        <is>
          <t>USD</t>
        </is>
      </c>
      <c r="L10" s="2476">
        <f>IF(G10&gt;0,G10*I10,0)</f>
        <v/>
      </c>
      <c r="M10" s="2477">
        <f>IF(H10&gt;0,(I10-H10)*G10,0)</f>
        <v/>
      </c>
      <c r="N10" s="2478">
        <f>IF(H10&gt;0,(I10-H10)/H10,0)</f>
        <v/>
      </c>
      <c r="O10" s="2479">
        <f>IF(L10&gt;0,L10/SUM(L8:L48),0)</f>
        <v/>
      </c>
      <c r="P10" s="2480" t="n">
        <v>0.007900000000000001</v>
      </c>
      <c r="Q10" s="2476">
        <f>IF(G10&gt;0,G10*I10*P10,0)</f>
        <v/>
      </c>
      <c r="R10" s="2481" t="n">
        <v>1.3</v>
      </c>
      <c r="S10" s="2482" t="n">
        <v>0.9</v>
      </c>
      <c r="T10" s="2483" t="n">
        <v>10000</v>
      </c>
      <c r="U10" s="2484" t="inlineStr">
        <is>
          <t>2026-03-09</t>
        </is>
      </c>
      <c r="V10" s="2485" t="inlineStr">
        <is>
          <t>✅ Accumuler — IA custom chips T1</t>
        </is>
      </c>
      <c r="W10" s="2494" t="inlineStr">
        <is>
          <t>Core 🚀</t>
        </is>
      </c>
      <c r="X10" s="2487" t="inlineStr">
        <is>
          <t>GROWTH</t>
        </is>
      </c>
      <c r="Y10" s="2488" t="n">
        <v>1</v>
      </c>
      <c r="Z10" s="2489" t="n">
        <v>0</v>
      </c>
      <c r="AB10" s="2495" t="n">
        <v>1</v>
      </c>
      <c r="AC10" s="2491" t="inlineStr">
        <is>
          <t>35.0</t>
        </is>
      </c>
      <c r="AD10" s="2491" t="inlineStr">
        <is>
          <t>2026-03-09</t>
        </is>
      </c>
      <c r="AE10" s="2491" t="inlineStr">
        <is>
          <t>$450</t>
        </is>
      </c>
      <c r="AF10" s="2491" t="inlineStr">
        <is>
          <t>Jun 2026</t>
        </is>
      </c>
      <c r="AG10" s="2492">
        <f>IFERROR((450-I10)/I10,0)</f>
        <v/>
      </c>
    </row>
    <row r="11" ht="15.75" customHeight="1" s="1666">
      <c r="B11" s="2493" t="inlineStr">
        <is>
          <t>AMZN</t>
        </is>
      </c>
      <c r="C11" s="2404" t="inlineStr">
        <is>
          <t>Amazon</t>
        </is>
      </c>
      <c r="D11" s="2472" t="inlineStr">
        <is>
          <t>Action</t>
        </is>
      </c>
      <c r="E11" s="2473" t="inlineStr">
        <is>
          <t>T1</t>
        </is>
      </c>
      <c r="F11" s="2472" t="n">
        <v>7.4817</v>
      </c>
      <c r="G11" s="2474" t="n">
        <v>113.7377</v>
      </c>
      <c r="H11" s="2475" t="n">
        <v>113.7377</v>
      </c>
      <c r="I11" s="2475">
        <f>IFERROR(J11*CONFIG!B3,0)</f>
        <v/>
      </c>
      <c r="J11" s="2475">
        <f>IFERROR(VLOOKUP(B11,CONFIG!$F$6:$G$35,2,0),0)</f>
        <v/>
      </c>
      <c r="K11" s="2475" t="inlineStr">
        <is>
          <t>USD</t>
        </is>
      </c>
      <c r="L11" s="2476">
        <f>IF(G11&gt;0,G11*I11,0)</f>
        <v/>
      </c>
      <c r="M11" s="2477">
        <f>IF(H11&gt;0,(I11-H11)*G11,0)</f>
        <v/>
      </c>
      <c r="N11" s="2478">
        <f>IF(H11&gt;0,(I11-H11)/H11,0)</f>
        <v/>
      </c>
      <c r="O11" s="2479">
        <f>IF(L11&gt;0,L11/SUM(L8:L48),0)</f>
        <v/>
      </c>
      <c r="P11" s="2480" t="n">
        <v>0.001</v>
      </c>
      <c r="Q11" s="2476">
        <f>IF(G11&gt;0,G11*I11*P11,0)</f>
        <v/>
      </c>
      <c r="R11" s="2481" t="n">
        <v>1.22</v>
      </c>
      <c r="S11" s="2482" t="n">
        <v>0.7</v>
      </c>
      <c r="T11" s="2483" t="n">
        <v>4000</v>
      </c>
      <c r="U11" s="2484" t="inlineStr">
        <is>
          <t>2025</t>
        </is>
      </c>
      <c r="V11" s="2485" t="inlineStr">
        <is>
          <t>✅ Garder — AWS cloud IA</t>
        </is>
      </c>
      <c r="W11" s="2494" t="inlineStr">
        <is>
          <t>Core 🚀</t>
        </is>
      </c>
      <c r="X11" s="2487" t="inlineStr">
        <is>
          <t>GROWTH</t>
        </is>
      </c>
      <c r="Y11" s="2488" t="n">
        <v>1</v>
      </c>
      <c r="Z11" s="2489" t="n">
        <v>0</v>
      </c>
      <c r="AB11" s="2495" t="n">
        <v>0.7</v>
      </c>
      <c r="AC11" s="2491" t="inlineStr">
        <is>
          <t>40.0</t>
        </is>
      </c>
      <c r="AD11" s="2491" t="inlineStr">
        <is>
          <t>2025</t>
        </is>
      </c>
      <c r="AE11" s="2491" t="inlineStr">
        <is>
          <t>$280</t>
        </is>
      </c>
      <c r="AF11" s="2491" t="inlineStr">
        <is>
          <t>May 2026</t>
        </is>
      </c>
      <c r="AG11" s="2496">
        <f>IFERROR((280-I11)/I11,0)</f>
        <v/>
      </c>
    </row>
    <row r="12" ht="15.75" customHeight="1" s="1666">
      <c r="B12" s="2493" t="inlineStr">
        <is>
          <t>SMH</t>
        </is>
      </c>
      <c r="C12" s="2404" t="inlineStr">
        <is>
          <t>VanEck Semis</t>
        </is>
      </c>
      <c r="D12" s="2472" t="inlineStr">
        <is>
          <t>ETF</t>
        </is>
      </c>
      <c r="E12" s="2473" t="inlineStr">
        <is>
          <t>T1</t>
        </is>
      </c>
      <c r="F12" s="2472" t="n">
        <v>19.2266</v>
      </c>
      <c r="G12" s="2474" t="n">
        <v>393.5653</v>
      </c>
      <c r="H12" s="2475" t="n">
        <v>393.5653</v>
      </c>
      <c r="I12" s="2475">
        <f>IFERROR(J12*CONFIG!B3,0)</f>
        <v/>
      </c>
      <c r="J12" s="2475">
        <f>IFERROR(VLOOKUP(B12,CONFIG!$F$6:$G$35,2,0),0)</f>
        <v/>
      </c>
      <c r="K12" s="2475" t="inlineStr">
        <is>
          <t>USD</t>
        </is>
      </c>
      <c r="L12" s="2476">
        <f>IF(G12&gt;0,G12*I12,0)</f>
        <v/>
      </c>
      <c r="M12" s="2477">
        <f>IF(H12&gt;0,(I12-H12)*G12,0)</f>
        <v/>
      </c>
      <c r="N12" s="2478">
        <f>IF(H12&gt;0,(I12-H12)/H12,0)</f>
        <v/>
      </c>
      <c r="O12" s="2479">
        <f>IF(L12&gt;0,L12/SUM(L8:L48),0)</f>
        <v/>
      </c>
      <c r="P12" s="2480" t="n">
        <v>0.007</v>
      </c>
      <c r="Q12" s="2476">
        <f>IF(G12&gt;0,G12*I12*P12,0)</f>
        <v/>
      </c>
      <c r="R12" s="2481" t="n">
        <v>1.55</v>
      </c>
      <c r="S12" s="2482" t="n">
        <v>0.95</v>
      </c>
      <c r="T12" s="2483" t="n">
        <v>8000</v>
      </c>
      <c r="U12" s="2484" t="inlineStr">
        <is>
          <t>2026-03-09</t>
        </is>
      </c>
      <c r="V12" s="2485" t="inlineStr">
        <is>
          <t>✅ Accumuler — diversif semis IA</t>
        </is>
      </c>
      <c r="W12" s="2486" t="inlineStr">
        <is>
          <t>Core 🌍</t>
        </is>
      </c>
      <c r="X12" s="2487" t="inlineStr">
        <is>
          <t>ETF</t>
        </is>
      </c>
      <c r="Y12" s="2488" t="n">
        <v>1</v>
      </c>
      <c r="Z12" s="2489" t="n">
        <v>0</v>
      </c>
      <c r="AB12" s="2495" t="n">
        <v>1</v>
      </c>
      <c r="AC12" s="2491" t="inlineStr">
        <is>
          <t>28.0</t>
        </is>
      </c>
      <c r="AD12" s="2491" t="inlineStr">
        <is>
          <t>2026-03-09</t>
        </is>
      </c>
      <c r="AE12" s="2491" t="inlineStr">
        <is>
          <t>$500</t>
        </is>
      </c>
      <c r="AF12" s="2491" t="inlineStr">
        <is>
          <t>—</t>
        </is>
      </c>
      <c r="AG12" s="2492">
        <f>IFERROR((500-I12)/I12,0)</f>
        <v/>
      </c>
    </row>
    <row r="13" ht="15.75" customHeight="1" s="1666">
      <c r="B13" s="2493" t="inlineStr">
        <is>
          <t>META</t>
        </is>
      </c>
      <c r="C13" s="2404" t="inlineStr">
        <is>
          <t>Meta Platforms</t>
        </is>
      </c>
      <c r="D13" s="2472" t="inlineStr">
        <is>
          <t>Action</t>
        </is>
      </c>
      <c r="E13" s="2473" t="inlineStr">
        <is>
          <t>T1</t>
        </is>
      </c>
      <c r="F13" s="2472" t="n">
        <v>1</v>
      </c>
      <c r="G13" s="2474" t="n">
        <v>637.7698</v>
      </c>
      <c r="H13" s="2475" t="n">
        <v>637.7698</v>
      </c>
      <c r="I13" s="2475">
        <f>IFERROR(J13*CONFIG!B3,0)</f>
        <v/>
      </c>
      <c r="J13" s="2475">
        <f>IFERROR(VLOOKUP(B13,CONFIG!$F$6:$G$35,2,0),0)</f>
        <v/>
      </c>
      <c r="K13" s="2475" t="inlineStr">
        <is>
          <t>USD</t>
        </is>
      </c>
      <c r="L13" s="2476">
        <f>IF(G13&gt;0,G13*I13,0)</f>
        <v/>
      </c>
      <c r="M13" s="2477">
        <f>IF(H13&gt;0,(I13-H13)*G13,0)</f>
        <v/>
      </c>
      <c r="N13" s="2478">
        <f>IF(H13&gt;0,(I13-H13)/H13,0)</f>
        <v/>
      </c>
      <c r="O13" s="2479">
        <f>IF(L13&gt;0,L13/SUM(L8:L48),0)</f>
        <v/>
      </c>
      <c r="P13" s="2480" t="n">
        <v>0.0038</v>
      </c>
      <c r="Q13" s="2476">
        <f>IF(G13&gt;0,G13*I13*P13,0)</f>
        <v/>
      </c>
      <c r="R13" s="2481" t="n">
        <v>1.25</v>
      </c>
      <c r="S13" s="2482" t="n">
        <v>0.8</v>
      </c>
      <c r="T13" s="2483" t="n">
        <v>3000</v>
      </c>
      <c r="U13" s="2484" t="inlineStr">
        <is>
          <t>2026-03-09</t>
        </is>
      </c>
      <c r="V13" s="2485" t="inlineStr">
        <is>
          <t>⭐ Surveiller — Earnings 28 avr</t>
        </is>
      </c>
      <c r="W13" s="2494" t="inlineStr">
        <is>
          <t>Core 🚀</t>
        </is>
      </c>
      <c r="X13" s="2487" t="inlineStr">
        <is>
          <t>GROWTH</t>
        </is>
      </c>
      <c r="Y13" s="2488" t="n">
        <v>1</v>
      </c>
      <c r="Z13" s="2489" t="n">
        <v>0</v>
      </c>
      <c r="AB13" s="2495" t="n">
        <v>0.8</v>
      </c>
      <c r="AC13" s="2491" t="inlineStr">
        <is>
          <t>28.5</t>
        </is>
      </c>
      <c r="AD13" s="2491" t="inlineStr">
        <is>
          <t>2026-03-09</t>
        </is>
      </c>
      <c r="AE13" s="2491" t="inlineStr">
        <is>
          <t>$800</t>
        </is>
      </c>
      <c r="AF13" s="2491" t="inlineStr">
        <is>
          <t>28 avr 2026</t>
        </is>
      </c>
      <c r="AG13" s="2496">
        <f>IFERROR((800-I13)/I13,0)</f>
        <v/>
      </c>
    </row>
    <row r="14" ht="15.75" customHeight="1" s="1666">
      <c r="B14" s="2493" t="inlineStr">
        <is>
          <t>ENB.TO</t>
        </is>
      </c>
      <c r="C14" s="2404" t="inlineStr">
        <is>
          <t>Enbridge</t>
        </is>
      </c>
      <c r="D14" s="2472" t="inlineStr">
        <is>
          <t>Action</t>
        </is>
      </c>
      <c r="E14" s="2473" t="inlineStr">
        <is>
          <t>T1</t>
        </is>
      </c>
      <c r="F14" s="2472" t="n">
        <v>9</v>
      </c>
      <c r="G14" s="2474" t="n">
        <v>49.62</v>
      </c>
      <c r="H14" s="2475" t="n">
        <v>49.62</v>
      </c>
      <c r="I14" s="2475">
        <f>IFERROR(VLOOKUP(B14,CONFIG!$F$6:$G$35,2,0),0)</f>
        <v/>
      </c>
      <c r="J14" s="2475">
        <f>IFERROR(I14/CONFIG!B3,0)</f>
        <v/>
      </c>
      <c r="K14" s="2475" t="inlineStr">
        <is>
          <t>CAD</t>
        </is>
      </c>
      <c r="L14" s="2476">
        <f>IF(G14&gt;0,G14*I14,0)</f>
        <v/>
      </c>
      <c r="M14" s="2477">
        <f>IF(H14&gt;0,(I14-H14)*G14,0)</f>
        <v/>
      </c>
      <c r="N14" s="2478">
        <f>IF(H14&gt;0,(I14-H14)/H14,0)</f>
        <v/>
      </c>
      <c r="O14" s="2479">
        <f>IF(L14&gt;0,L14/SUM(L8:L48),0)</f>
        <v/>
      </c>
      <c r="P14" s="2480" t="n">
        <v>0.0535</v>
      </c>
      <c r="Q14" s="2476">
        <f>IF(G14&gt;0,G14*I14*P14,0)</f>
        <v/>
      </c>
      <c r="R14" s="2481" t="n">
        <v>0.65</v>
      </c>
      <c r="S14" s="2482" t="n">
        <v>0.05</v>
      </c>
      <c r="T14" s="2483" t="n">
        <v>2000</v>
      </c>
      <c r="U14" s="2484" t="inlineStr">
        <is>
          <t>2025</t>
        </is>
      </c>
      <c r="V14" s="2485" t="inlineStr">
        <is>
          <t>✅ Garder — 30 ans div, faible beta</t>
        </is>
      </c>
      <c r="W14" s="2497" t="inlineStr">
        <is>
          <t>Core 🇨🇦</t>
        </is>
      </c>
      <c r="X14" s="2487" t="inlineStr">
        <is>
          <t>CAN</t>
        </is>
      </c>
      <c r="Y14" s="2488" t="n">
        <v>1</v>
      </c>
      <c r="Z14" s="2489" t="n">
        <v>0</v>
      </c>
      <c r="AB14" s="2498" t="n">
        <v>0.2</v>
      </c>
      <c r="AC14" s="2491" t="inlineStr">
        <is>
          <t>18.0</t>
        </is>
      </c>
      <c r="AD14" s="2491" t="inlineStr">
        <is>
          <t>2025</t>
        </is>
      </c>
      <c r="AE14" s="2491" t="inlineStr">
        <is>
          <t>$80</t>
        </is>
      </c>
      <c r="AF14" s="2491" t="inlineStr">
        <is>
          <t>Aug 2026</t>
        </is>
      </c>
      <c r="AG14" s="2492">
        <f>IFERROR((80-I14)/I14,0)</f>
        <v/>
      </c>
    </row>
    <row r="15" ht="15.75" customHeight="1" s="1666">
      <c r="B15" s="2493" t="inlineStr">
        <is>
          <t>GEV</t>
        </is>
      </c>
      <c r="C15" s="2404" t="inlineStr">
        <is>
          <t>GE Vernova</t>
        </is>
      </c>
      <c r="D15" s="2472" t="inlineStr">
        <is>
          <t>Action</t>
        </is>
      </c>
      <c r="E15" s="2473" t="inlineStr">
        <is>
          <t>T1</t>
        </is>
      </c>
      <c r="F15" s="2472" t="n">
        <v>2.4431</v>
      </c>
      <c r="G15" s="2474" t="n">
        <v>831.9906999999999</v>
      </c>
      <c r="H15" s="2475" t="n">
        <v>831.9906999999999</v>
      </c>
      <c r="I15" s="2475">
        <f>IFERROR(J15*CONFIG!B3,0)</f>
        <v/>
      </c>
      <c r="J15" s="2475">
        <f>IFERROR(VLOOKUP(B15,CONFIG!$F$6:$G$35,2,0),0)</f>
        <v/>
      </c>
      <c r="K15" s="2475" t="inlineStr">
        <is>
          <t>USD</t>
        </is>
      </c>
      <c r="L15" s="2476">
        <f>IF(G15&gt;0,G15*I15,0)</f>
        <v/>
      </c>
      <c r="M15" s="2477">
        <f>IF(H15&gt;0,(I15-H15)*G15,0)</f>
        <v/>
      </c>
      <c r="N15" s="2478">
        <f>IF(H15&gt;0,(I15-H15)/H15,0)</f>
        <v/>
      </c>
      <c r="O15" s="2479">
        <f>IF(L15&gt;0,L15/SUM(L8:L48),0)</f>
        <v/>
      </c>
      <c r="P15" s="2480" t="n">
        <v>0.002</v>
      </c>
      <c r="Q15" s="2476">
        <f>IF(G15&gt;0,G15*I15*P15,0)</f>
        <v/>
      </c>
      <c r="R15" s="2481" t="n">
        <v>1.45</v>
      </c>
      <c r="S15" s="2482" t="n">
        <v>0.6</v>
      </c>
      <c r="T15" s="2483" t="n">
        <v>3000</v>
      </c>
      <c r="U15" s="2484" t="inlineStr">
        <is>
          <t>2026-03-09</t>
        </is>
      </c>
      <c r="V15" s="2485" t="inlineStr">
        <is>
          <t>⭐ Surveiller — infra data centers</t>
        </is>
      </c>
      <c r="W15" s="2499" t="inlineStr">
        <is>
          <t>Core 🔋</t>
        </is>
      </c>
      <c r="X15" s="2487" t="inlineStr">
        <is>
          <t>INFRA</t>
        </is>
      </c>
      <c r="Y15" s="2488" t="n">
        <v>1</v>
      </c>
      <c r="Z15" s="2489" t="n">
        <v>0</v>
      </c>
      <c r="AB15" s="2495" t="n">
        <v>0.9</v>
      </c>
      <c r="AC15" s="2491" t="inlineStr">
        <is>
          <t>55.0</t>
        </is>
      </c>
      <c r="AD15" s="2491" t="inlineStr">
        <is>
          <t>2026-03-09</t>
        </is>
      </c>
      <c r="AE15" s="2491" t="inlineStr">
        <is>
          <t>$1000</t>
        </is>
      </c>
      <c r="AF15" s="2491" t="inlineStr">
        <is>
          <t>May 2026</t>
        </is>
      </c>
      <c r="AG15" s="2496">
        <f>IFERROR((1000-I15)/I15,0)</f>
        <v/>
      </c>
    </row>
    <row r="16" ht="15.75" customHeight="1" s="1666">
      <c r="B16" s="2500" t="inlineStr">
        <is>
          <t>MSFT</t>
        </is>
      </c>
      <c r="C16" s="2416" t="inlineStr">
        <is>
          <t>Microsoft</t>
        </is>
      </c>
      <c r="D16" s="2501" t="inlineStr">
        <is>
          <t>Action</t>
        </is>
      </c>
      <c r="E16" s="1858" t="inlineStr">
        <is>
          <t>T2</t>
        </is>
      </c>
      <c r="F16" s="2501" t="n">
        <v>2</v>
      </c>
      <c r="G16" s="2502" t="n">
        <v>312.5938</v>
      </c>
      <c r="H16" s="2503" t="n">
        <v>312.5938</v>
      </c>
      <c r="I16" s="2503">
        <f>IFERROR(J16*CONFIG!B3,0)</f>
        <v/>
      </c>
      <c r="J16" s="2503">
        <f>IFERROR(VLOOKUP(B16,CONFIG!$F$6:$G$35,2,0),0)</f>
        <v/>
      </c>
      <c r="K16" s="2503" t="inlineStr">
        <is>
          <t>USD</t>
        </is>
      </c>
      <c r="L16" s="2504">
        <f>IF(G16&gt;0,G16*I16,0)</f>
        <v/>
      </c>
      <c r="M16" s="2505">
        <f>IF(H16&gt;0,(I16-H16)*G16,0)</f>
        <v/>
      </c>
      <c r="N16" s="2506">
        <f>IF(H16&gt;0,(I16-H16)/H16,0)</f>
        <v/>
      </c>
      <c r="O16" s="2507">
        <f>IF(L16&gt;0,L16/SUM(L8:L48),0)</f>
        <v/>
      </c>
      <c r="P16" s="2508" t="n">
        <v>0.008200000000000001</v>
      </c>
      <c r="Q16" s="2504">
        <f>IF(G16&gt;0,G16*I16*P16,0)</f>
        <v/>
      </c>
      <c r="R16" s="2509" t="n">
        <v>0.9</v>
      </c>
      <c r="S16" s="2510" t="n">
        <v>0.85</v>
      </c>
      <c r="T16" s="2511" t="n">
        <v>3000</v>
      </c>
      <c r="U16" s="2512" t="inlineStr">
        <is>
          <t>2025</t>
        </is>
      </c>
      <c r="V16" s="2513" t="inlineStr">
        <is>
          <t>✅ Garder — Copilot + Azure stable</t>
        </is>
      </c>
      <c r="W16" s="2514" t="inlineStr">
        <is>
          <t>Core 🚀</t>
        </is>
      </c>
      <c r="X16" s="2515" t="inlineStr">
        <is>
          <t>GROWTH</t>
        </is>
      </c>
      <c r="Y16" s="2488" t="n">
        <v>1</v>
      </c>
      <c r="Z16" s="2489" t="n">
        <v>0</v>
      </c>
      <c r="AB16" s="2495" t="n">
        <v>0.8</v>
      </c>
      <c r="AC16" s="2491" t="inlineStr">
        <is>
          <t>33.0</t>
        </is>
      </c>
      <c r="AD16" s="2491" t="inlineStr">
        <is>
          <t>2025</t>
        </is>
      </c>
      <c r="AE16" s="2491" t="inlineStr">
        <is>
          <t>$500</t>
        </is>
      </c>
      <c r="AF16" s="2491" t="inlineStr">
        <is>
          <t>Apr 2026</t>
        </is>
      </c>
      <c r="AG16" s="2492">
        <f>IFERROR((500-I16)/I16,0)</f>
        <v/>
      </c>
    </row>
    <row r="17" ht="15.75" customHeight="1" s="1666">
      <c r="B17" s="2500" t="inlineStr">
        <is>
          <t>NVDA</t>
        </is>
      </c>
      <c r="C17" s="2416" t="inlineStr">
        <is>
          <t>NVIDIA</t>
        </is>
      </c>
      <c r="D17" s="2501" t="inlineStr">
        <is>
          <t>Action</t>
        </is>
      </c>
      <c r="E17" s="1858" t="inlineStr">
        <is>
          <t>T2</t>
        </is>
      </c>
      <c r="F17" s="2501" t="n">
        <v>4</v>
      </c>
      <c r="G17" s="2502" t="n">
        <v>128.59</v>
      </c>
      <c r="H17" s="2503" t="n">
        <v>128.59</v>
      </c>
      <c r="I17" s="2503">
        <f>IFERROR(J17*CONFIG!B3,0)</f>
        <v/>
      </c>
      <c r="J17" s="2503">
        <f>IFERROR(VLOOKUP(B17,CONFIG!$F$6:$G$35,2,0),0)</f>
        <v/>
      </c>
      <c r="K17" s="2503" t="inlineStr">
        <is>
          <t>USD</t>
        </is>
      </c>
      <c r="L17" s="2504">
        <f>IF(G17&gt;0,G17*I17,0)</f>
        <v/>
      </c>
      <c r="M17" s="2505">
        <f>IF(H17&gt;0,(I17-H17)*G17,0)</f>
        <v/>
      </c>
      <c r="N17" s="2506">
        <f>IF(H17&gt;0,(I17-H17)/H17,0)</f>
        <v/>
      </c>
      <c r="O17" s="2507">
        <f>IF(L17&gt;0,L17/SUM(L8:L48),0)</f>
        <v/>
      </c>
      <c r="P17" s="2508" t="n">
        <v>0.0003</v>
      </c>
      <c r="Q17" s="2504">
        <f>IF(G17&gt;0,G17*I17*P17,0)</f>
        <v/>
      </c>
      <c r="R17" s="2509" t="n">
        <v>1.7</v>
      </c>
      <c r="S17" s="2510" t="n">
        <v>0.99</v>
      </c>
      <c r="T17" s="2511" t="n">
        <v>3000</v>
      </c>
      <c r="U17" s="2512" t="inlineStr">
        <is>
          <t>2025</t>
        </is>
      </c>
      <c r="V17" s="2513" t="inlineStr">
        <is>
          <t>✅ Garder — beta 1.7, déjà exposé SMH</t>
        </is>
      </c>
      <c r="W17" s="2514" t="inlineStr">
        <is>
          <t>Core 🚀</t>
        </is>
      </c>
      <c r="X17" s="2515" t="inlineStr">
        <is>
          <t>GROWTH</t>
        </is>
      </c>
      <c r="Y17" s="2488" t="n">
        <v>1</v>
      </c>
      <c r="Z17" s="2489" t="n">
        <v>0</v>
      </c>
      <c r="AB17" s="2495" t="n">
        <v>1</v>
      </c>
      <c r="AC17" s="2491" t="inlineStr">
        <is>
          <t>45.0</t>
        </is>
      </c>
      <c r="AD17" s="2491" t="inlineStr">
        <is>
          <t>2025</t>
        </is>
      </c>
      <c r="AE17" s="2491" t="inlineStr">
        <is>
          <t>$250</t>
        </is>
      </c>
      <c r="AF17" s="2491" t="inlineStr">
        <is>
          <t>May 2026</t>
        </is>
      </c>
      <c r="AG17" s="2496">
        <f>IFERROR((250-I17)/I17,0)</f>
        <v/>
      </c>
    </row>
    <row r="18" ht="15.75" customHeight="1" s="1666">
      <c r="B18" s="2500" t="inlineStr">
        <is>
          <t>TSLA</t>
        </is>
      </c>
      <c r="C18" s="2416" t="inlineStr">
        <is>
          <t>Tesla</t>
        </is>
      </c>
      <c r="D18" s="2501" t="inlineStr">
        <is>
          <t>Action</t>
        </is>
      </c>
      <c r="E18" s="1858" t="inlineStr">
        <is>
          <t>T2</t>
        </is>
      </c>
      <c r="F18" s="2501" t="n">
        <v>1.8645</v>
      </c>
      <c r="G18" s="2502" t="n">
        <v>303.5644</v>
      </c>
      <c r="H18" s="2503" t="n">
        <v>303.5644</v>
      </c>
      <c r="I18" s="2503">
        <f>IFERROR(J18*CONFIG!B3,0)</f>
        <v/>
      </c>
      <c r="J18" s="2503">
        <f>IFERROR(VLOOKUP(B18,CONFIG!$F$6:$G$35,2,0),0)</f>
        <v/>
      </c>
      <c r="K18" s="2503" t="inlineStr">
        <is>
          <t>USD</t>
        </is>
      </c>
      <c r="L18" s="2504">
        <f>IF(G18&gt;0,G18*I18,0)</f>
        <v/>
      </c>
      <c r="M18" s="2505">
        <f>IF(H18&gt;0,(I18-H18)*G18,0)</f>
        <v/>
      </c>
      <c r="N18" s="2506">
        <f>IF(H18&gt;0,(I18-H18)/H18,0)</f>
        <v/>
      </c>
      <c r="O18" s="2507">
        <f>IF(L18&gt;0,L18/SUM(L8:L48),0)</f>
        <v/>
      </c>
      <c r="P18" s="2508" t="n">
        <v>0</v>
      </c>
      <c r="Q18" s="2504">
        <f>IF(G18&gt;0,G18*I18*P18,0)</f>
        <v/>
      </c>
      <c r="R18" s="2509" t="n">
        <v>2.1</v>
      </c>
      <c r="S18" s="2510" t="n">
        <v>0.5</v>
      </c>
      <c r="T18" s="2511" t="n">
        <v>2000</v>
      </c>
      <c r="U18" s="2512" t="inlineStr">
        <is>
          <t>2026-03-09</t>
        </is>
      </c>
      <c r="V18" s="2513" t="inlineStr">
        <is>
          <t>⭐ Garder — spéculatif, beta 2.1</t>
        </is>
      </c>
      <c r="W18" s="2516" t="inlineStr">
        <is>
          <t>Satellite ⚡</t>
        </is>
      </c>
      <c r="X18" s="2515" t="inlineStr">
        <is>
          <t>SPEC</t>
        </is>
      </c>
      <c r="Y18" s="2517" t="n">
        <v>0</v>
      </c>
      <c r="Z18" s="2489" t="n">
        <v>0</v>
      </c>
      <c r="AB18" s="2490" t="n">
        <v>0.4</v>
      </c>
      <c r="AC18" s="2491" t="inlineStr">
        <is>
          <t>120.0</t>
        </is>
      </c>
      <c r="AD18" s="2491" t="inlineStr">
        <is>
          <t>2026-03-09</t>
        </is>
      </c>
      <c r="AE18" s="2491" t="inlineStr">
        <is>
          <t>$400</t>
        </is>
      </c>
      <c r="AF18" s="2491" t="inlineStr">
        <is>
          <t>Apr 2026</t>
        </is>
      </c>
      <c r="AG18" s="2492">
        <f>IFERROR((400-I18)/I18,0)</f>
        <v/>
      </c>
    </row>
    <row r="19" ht="15.75" customHeight="1" s="1666">
      <c r="B19" s="2500" t="inlineStr">
        <is>
          <t>QQQM</t>
        </is>
      </c>
      <c r="C19" s="2416" t="inlineStr">
        <is>
          <t>Nasdaq 100</t>
        </is>
      </c>
      <c r="D19" s="2501" t="inlineStr">
        <is>
          <t>ETF</t>
        </is>
      </c>
      <c r="E19" s="1858" t="inlineStr">
        <is>
          <t>T2</t>
        </is>
      </c>
      <c r="F19" s="2501" t="n">
        <v>4.4515</v>
      </c>
      <c r="G19" s="2502" t="n">
        <v>247.1068</v>
      </c>
      <c r="H19" s="2503" t="n">
        <v>247.1068</v>
      </c>
      <c r="I19" s="2503">
        <f>IFERROR(J19*CONFIG!B3,0)</f>
        <v/>
      </c>
      <c r="J19" s="2503">
        <f>IFERROR(VLOOKUP(B19,CONFIG!$F$6:$G$35,2,0),0)</f>
        <v/>
      </c>
      <c r="K19" s="2503" t="inlineStr">
        <is>
          <t>USD</t>
        </is>
      </c>
      <c r="L19" s="2504">
        <f>IF(G19&gt;0,G19*I19,0)</f>
        <v/>
      </c>
      <c r="M19" s="2505">
        <f>IF(H19&gt;0,(I19-H19)*G19,0)</f>
        <v/>
      </c>
      <c r="N19" s="2506">
        <f>IF(H19&gt;0,(I19-H19)/H19,0)</f>
        <v/>
      </c>
      <c r="O19" s="2507">
        <f>IF(L19&gt;0,L19/SUM(L8:L48),0)</f>
        <v/>
      </c>
      <c r="P19" s="2508" t="n">
        <v>0.0065</v>
      </c>
      <c r="Q19" s="2504">
        <f>IF(G19&gt;0,G19*I19*P19,0)</f>
        <v/>
      </c>
      <c r="R19" s="2509" t="n">
        <v>1.15</v>
      </c>
      <c r="S19" s="2510" t="n">
        <v>0.6</v>
      </c>
      <c r="T19" s="2511" t="n">
        <v>3000</v>
      </c>
      <c r="U19" s="2512" t="inlineStr">
        <is>
          <t>2026-03-09</t>
        </is>
      </c>
      <c r="V19" s="2513" t="inlineStr">
        <is>
          <t>✅ Garder — overlap NVDA/META/AMZN</t>
        </is>
      </c>
      <c r="W19" s="2518" t="inlineStr">
        <is>
          <t>Core 🌍</t>
        </is>
      </c>
      <c r="X19" s="2515" t="inlineStr">
        <is>
          <t>ETF</t>
        </is>
      </c>
      <c r="Y19" s="2488" t="n">
        <v>1</v>
      </c>
      <c r="Z19" s="2489" t="n">
        <v>0</v>
      </c>
      <c r="AB19" s="2490" t="n">
        <v>0.6</v>
      </c>
      <c r="AC19" s="2491" t="inlineStr">
        <is>
          <t>30.0</t>
        </is>
      </c>
      <c r="AD19" s="2491" t="inlineStr">
        <is>
          <t>2026-03-09</t>
        </is>
      </c>
      <c r="AE19" s="2491" t="inlineStr">
        <is>
          <t>$280</t>
        </is>
      </c>
      <c r="AF19" s="2491" t="inlineStr">
        <is>
          <t>—</t>
        </is>
      </c>
      <c r="AG19" s="2496">
        <f>IFERROR((280-I19)/I19,0)</f>
        <v/>
      </c>
    </row>
    <row r="20" ht="15.75" customHeight="1" s="1666">
      <c r="B20" s="2500" t="inlineStr">
        <is>
          <t>XEQT.TO</t>
        </is>
      </c>
      <c r="C20" s="2416" t="inlineStr">
        <is>
          <t>iShares Core Eq</t>
        </is>
      </c>
      <c r="D20" s="2501" t="inlineStr">
        <is>
          <t>ETF</t>
        </is>
      </c>
      <c r="E20" s="1858" t="inlineStr">
        <is>
          <t>T2</t>
        </is>
      </c>
      <c r="F20" s="2501" t="n">
        <v>25</v>
      </c>
      <c r="G20" s="2502" t="n">
        <v>39.97</v>
      </c>
      <c r="H20" s="2503" t="n">
        <v>39.97</v>
      </c>
      <c r="I20" s="2503">
        <f>IFERROR(VLOOKUP(B20,CONFIG!$F$6:$G$35,2,0),0)</f>
        <v/>
      </c>
      <c r="J20" s="2503">
        <f>IFERROR(I20/CONFIG!B3,0)</f>
        <v/>
      </c>
      <c r="K20" s="2503" t="inlineStr">
        <is>
          <t>CAD</t>
        </is>
      </c>
      <c r="L20" s="2504">
        <f>IF(G20&gt;0,G20*I20,0)</f>
        <v/>
      </c>
      <c r="M20" s="2505">
        <f>IF(H20&gt;0,(I20-H20)*G20,0)</f>
        <v/>
      </c>
      <c r="N20" s="2506">
        <f>IF(H20&gt;0,(I20-H20)/H20,0)</f>
        <v/>
      </c>
      <c r="O20" s="2507">
        <f>IF(L20&gt;0,L20/SUM(L8:L48),0)</f>
        <v/>
      </c>
      <c r="P20" s="2508" t="n">
        <v>0.021</v>
      </c>
      <c r="Q20" s="2504">
        <f>IF(G20&gt;0,G20*I20*P20,0)</f>
        <v/>
      </c>
      <c r="R20" s="2509" t="n">
        <v>0.95</v>
      </c>
      <c r="S20" s="2510" t="n">
        <v>0.2</v>
      </c>
      <c r="T20" s="2511" t="n">
        <v>2000</v>
      </c>
      <c r="U20" s="2512" t="inlineStr">
        <is>
          <t>2026-03-09</t>
        </is>
      </c>
      <c r="V20" s="2513" t="inlineStr">
        <is>
          <t>✅ Garder — diversif mondiale</t>
        </is>
      </c>
      <c r="W20" s="2518" t="inlineStr">
        <is>
          <t>Core 🌍</t>
        </is>
      </c>
      <c r="X20" s="2515" t="inlineStr">
        <is>
          <t>ETF</t>
        </is>
      </c>
      <c r="Y20" s="2488" t="n">
        <v>1</v>
      </c>
      <c r="Z20" s="2489" t="n">
        <v>0</v>
      </c>
      <c r="AB20" s="2490" t="n">
        <v>0.3</v>
      </c>
      <c r="AC20" s="2491" t="inlineStr">
        <is>
          <t>18.0</t>
        </is>
      </c>
      <c r="AD20" s="2491" t="inlineStr">
        <is>
          <t>2026-03-09</t>
        </is>
      </c>
      <c r="AE20" s="2491" t="inlineStr">
        <is>
          <t>$45</t>
        </is>
      </c>
      <c r="AF20" s="2491" t="inlineStr">
        <is>
          <t>—</t>
        </is>
      </c>
      <c r="AG20" s="2492">
        <f>IFERROR((45-I20)/I20,0)</f>
        <v/>
      </c>
    </row>
    <row r="21" ht="15.75" customHeight="1" s="1666">
      <c r="B21" s="2500" t="inlineStr">
        <is>
          <t>SPGI</t>
        </is>
      </c>
      <c r="C21" s="2416" t="inlineStr">
        <is>
          <t>S&amp;P Global</t>
        </is>
      </c>
      <c r="D21" s="2501" t="inlineStr">
        <is>
          <t>Action</t>
        </is>
      </c>
      <c r="E21" s="1858" t="inlineStr">
        <is>
          <t>T2</t>
        </is>
      </c>
      <c r="F21" s="2501" t="n">
        <v>0.9996</v>
      </c>
      <c r="G21" s="2502" t="n">
        <v>443.2458</v>
      </c>
      <c r="H21" s="2503" t="n">
        <v>443.2458</v>
      </c>
      <c r="I21" s="2503">
        <f>IFERROR(J21*CONFIG!B3,0)</f>
        <v/>
      </c>
      <c r="J21" s="2503">
        <f>IFERROR(VLOOKUP(B21,CONFIG!$F$6:$G$35,2,0),0)</f>
        <v/>
      </c>
      <c r="K21" s="2503" t="inlineStr">
        <is>
          <t>USD</t>
        </is>
      </c>
      <c r="L21" s="2504">
        <f>IF(G21&gt;0,G21*I21,0)</f>
        <v/>
      </c>
      <c r="M21" s="2505">
        <f>IF(H21&gt;0,(I21-H21)*G21,0)</f>
        <v/>
      </c>
      <c r="N21" s="2506">
        <f>IF(H21&gt;0,(I21-H21)/H21,0)</f>
        <v/>
      </c>
      <c r="O21" s="2507">
        <f>IF(L21&gt;0,L21/SUM(L8:L48),0)</f>
        <v/>
      </c>
      <c r="P21" s="2508" t="n">
        <v>0.008800000000000001</v>
      </c>
      <c r="Q21" s="2504">
        <f>IF(G21&gt;0,G21*I21*P21,0)</f>
        <v/>
      </c>
      <c r="R21" s="2509" t="n">
        <v>1.05</v>
      </c>
      <c r="S21" s="2510" t="n">
        <v>0.15</v>
      </c>
      <c r="T21" s="2511" t="n">
        <v>2000</v>
      </c>
      <c r="U21" s="2512" t="inlineStr">
        <is>
          <t>2026-03-09</t>
        </is>
      </c>
      <c r="V21" s="2513" t="inlineStr">
        <is>
          <t>✅ Garder — moat monopolistique</t>
        </is>
      </c>
      <c r="W21" s="2514" t="inlineStr">
        <is>
          <t>Core 🚀</t>
        </is>
      </c>
      <c r="X21" s="2515" t="inlineStr">
        <is>
          <t>GROWTH</t>
        </is>
      </c>
      <c r="Y21" s="2488" t="n">
        <v>1</v>
      </c>
      <c r="Z21" s="2489" t="n">
        <v>0</v>
      </c>
      <c r="AB21" s="2490" t="n">
        <v>0.3</v>
      </c>
      <c r="AC21" s="2491" t="inlineStr">
        <is>
          <t>40.0</t>
        </is>
      </c>
      <c r="AD21" s="2491" t="inlineStr">
        <is>
          <t>2026-03-09</t>
        </is>
      </c>
      <c r="AE21" s="2491" t="inlineStr">
        <is>
          <t>$550</t>
        </is>
      </c>
      <c r="AF21" s="2491" t="inlineStr">
        <is>
          <t>May 2026</t>
        </is>
      </c>
      <c r="AG21" s="2496">
        <f>IFERROR((550-I21)/I21,0)</f>
        <v/>
      </c>
    </row>
    <row r="22" ht="15.75" customHeight="1" s="1666">
      <c r="B22" s="2519" t="inlineStr">
        <is>
          <t>TD.TO</t>
        </is>
      </c>
      <c r="C22" s="2428" t="inlineStr">
        <is>
          <t>TD Bank</t>
        </is>
      </c>
      <c r="D22" s="2520" t="inlineStr">
        <is>
          <t>Action</t>
        </is>
      </c>
      <c r="E22" s="2521" t="inlineStr">
        <is>
          <t>T3</t>
        </is>
      </c>
      <c r="F22" s="2520" t="n">
        <v>87</v>
      </c>
      <c r="G22" s="2522" t="n">
        <v>79.8348</v>
      </c>
      <c r="H22" s="2523" t="n">
        <v>79.8348</v>
      </c>
      <c r="I22" s="2523">
        <f>IFERROR(VLOOKUP(B22,CONFIG!$F$6:$G$35,2,0),0)</f>
        <v/>
      </c>
      <c r="J22" s="2523">
        <f>IFERROR(I22/CONFIG!B3,0)</f>
        <v/>
      </c>
      <c r="K22" s="2523" t="inlineStr">
        <is>
          <t>CAD</t>
        </is>
      </c>
      <c r="L22" s="2524">
        <f>IF(G22&gt;0,G22*I22,0)</f>
        <v/>
      </c>
      <c r="M22" s="2525">
        <f>IF(H22&gt;0,(I22-H22)*G22,0)</f>
        <v/>
      </c>
      <c r="N22" s="2526">
        <f>IF(H22&gt;0,(I22-H22)/H22,0)</f>
        <v/>
      </c>
      <c r="O22" s="2527">
        <f>IF(L22&gt;0,L22/SUM(L8:L48),0)</f>
        <v/>
      </c>
      <c r="P22" s="2528" t="n">
        <v>0.048</v>
      </c>
      <c r="Q22" s="2524">
        <f>IF(G22&gt;0,G22*I22*P22,0)</f>
        <v/>
      </c>
      <c r="R22" s="2529" t="n">
        <v>0.85</v>
      </c>
      <c r="S22" s="2530" t="n">
        <v>0.05</v>
      </c>
      <c r="T22" s="2531" t="n">
        <v>0</v>
      </c>
      <c r="U22" s="2532" t="inlineStr">
        <is>
          <t>2025</t>
        </is>
      </c>
      <c r="V22" s="2533" t="inlineStr">
        <is>
          <t>🔵 Diluer — AML risque, ne plus acheter</t>
        </is>
      </c>
      <c r="W22" s="2534" t="inlineStr">
        <is>
          <t>Satellite 🇨🇦</t>
        </is>
      </c>
      <c r="X22" s="2535" t="inlineStr">
        <is>
          <t>CAN_SAT</t>
        </is>
      </c>
      <c r="Y22" s="2517" t="n">
        <v>0</v>
      </c>
      <c r="Z22" s="2536" t="n">
        <v>1</v>
      </c>
      <c r="AB22" s="2498" t="n">
        <v>0.05</v>
      </c>
      <c r="AC22" s="2491" t="inlineStr">
        <is>
          <t>12.0</t>
        </is>
      </c>
      <c r="AD22" s="2491" t="inlineStr">
        <is>
          <t>2025</t>
        </is>
      </c>
      <c r="AE22" s="2491" t="inlineStr">
        <is>
          <t>$85</t>
        </is>
      </c>
      <c r="AF22" s="2491" t="inlineStr">
        <is>
          <t>May 2026</t>
        </is>
      </c>
      <c r="AG22" s="2492">
        <f>IFERROR((85-I22)/I22,0)</f>
        <v/>
      </c>
    </row>
    <row r="23" ht="15.75" customHeight="1" s="1666">
      <c r="B23" s="2519" t="inlineStr">
        <is>
          <t>ZLB.TO</t>
        </is>
      </c>
      <c r="C23" s="2428" t="inlineStr">
        <is>
          <t>BMO Low Vol</t>
        </is>
      </c>
      <c r="D23" s="2520" t="inlineStr">
        <is>
          <t>ETF</t>
        </is>
      </c>
      <c r="E23" s="2521" t="inlineStr">
        <is>
          <t>T3</t>
        </is>
      </c>
      <c r="F23" s="2520" t="n">
        <v>37</v>
      </c>
      <c r="G23" s="2522" t="n">
        <v>58.1416</v>
      </c>
      <c r="H23" s="2523" t="n">
        <v>58.1416</v>
      </c>
      <c r="I23" s="2523">
        <f>IFERROR(VLOOKUP(B23,CONFIG!$F$6:$G$35,2,0),0)</f>
        <v/>
      </c>
      <c r="J23" s="2523">
        <f>IFERROR(I23/CONFIG!B3,0)</f>
        <v/>
      </c>
      <c r="K23" s="2523" t="inlineStr">
        <is>
          <t>CAD</t>
        </is>
      </c>
      <c r="L23" s="2524">
        <f>IF(G23&gt;0,G23*I23,0)</f>
        <v/>
      </c>
      <c r="M23" s="2525">
        <f>IF(H23&gt;0,(I23-H23)*G23,0)</f>
        <v/>
      </c>
      <c r="N23" s="2526">
        <f>IF(H23&gt;0,(I23-H23)/H23,0)</f>
        <v/>
      </c>
      <c r="O23" s="2527">
        <f>IF(L23&gt;0,L23/SUM(L8:L48),0)</f>
        <v/>
      </c>
      <c r="P23" s="2528" t="n">
        <v>0.025</v>
      </c>
      <c r="Q23" s="2524">
        <f>IF(G23&gt;0,G23*I23*P23,0)</f>
        <v/>
      </c>
      <c r="R23" s="2529" t="n">
        <v>0.6</v>
      </c>
      <c r="S23" s="2530" t="n">
        <v>0.05</v>
      </c>
      <c r="T23" s="2531" t="n">
        <v>2500</v>
      </c>
      <c r="U23" s="2532" t="inlineStr">
        <is>
          <t>2025</t>
        </is>
      </c>
      <c r="V23" s="2533" t="inlineStr">
        <is>
          <t>🔵 Garder — coussin défensif beta 0.6</t>
        </is>
      </c>
      <c r="W23" s="2534" t="inlineStr">
        <is>
          <t>Satellite 🇨🇦</t>
        </is>
      </c>
      <c r="X23" s="2535" t="inlineStr">
        <is>
          <t>CAN_SAT</t>
        </is>
      </c>
      <c r="Y23" s="2517" t="n">
        <v>0</v>
      </c>
      <c r="Z23" s="2536" t="n">
        <v>1</v>
      </c>
      <c r="AB23" s="2498" t="n">
        <v>0.05</v>
      </c>
      <c r="AC23" s="2491" t="inlineStr">
        <is>
          <t>16.0</t>
        </is>
      </c>
      <c r="AD23" s="2491" t="inlineStr">
        <is>
          <t>2025</t>
        </is>
      </c>
      <c r="AE23" s="2491" t="inlineStr">
        <is>
          <t>$62</t>
        </is>
      </c>
      <c r="AF23" s="2491" t="inlineStr">
        <is>
          <t>—</t>
        </is>
      </c>
      <c r="AG23" s="2496">
        <f>IFERROR((62-I23)/I23,0)</f>
        <v/>
      </c>
    </row>
    <row r="24" ht="15.75" customHeight="1" s="1666">
      <c r="B24" s="2519" t="inlineStr">
        <is>
          <t>H.TO</t>
        </is>
      </c>
      <c r="C24" s="2428" t="inlineStr">
        <is>
          <t>Hydro One</t>
        </is>
      </c>
      <c r="D24" s="2520" t="inlineStr">
        <is>
          <t>Action</t>
        </is>
      </c>
      <c r="E24" s="2521" t="inlineStr">
        <is>
          <t>T3</t>
        </is>
      </c>
      <c r="F24" s="2520" t="n">
        <v>22</v>
      </c>
      <c r="G24" s="2522" t="n">
        <v>52.8663</v>
      </c>
      <c r="H24" s="2523" t="n">
        <v>52.8663</v>
      </c>
      <c r="I24" s="2523">
        <f>IFERROR(VLOOKUP(B24,CONFIG!$F$6:$G$35,2,0),0)</f>
        <v/>
      </c>
      <c r="J24" s="2523">
        <f>IFERROR(I24/CONFIG!B3,0)</f>
        <v/>
      </c>
      <c r="K24" s="2523" t="inlineStr">
        <is>
          <t>CAD</t>
        </is>
      </c>
      <c r="L24" s="2524">
        <f>IF(G24&gt;0,G24*I24,0)</f>
        <v/>
      </c>
      <c r="M24" s="2525">
        <f>IF(H24&gt;0,(I24-H24)*G24,0)</f>
        <v/>
      </c>
      <c r="N24" s="2526">
        <f>IF(H24&gt;0,(I24-H24)/H24,0)</f>
        <v/>
      </c>
      <c r="O24" s="2527">
        <f>IF(L24&gt;0,L24/SUM(L8:L48),0)</f>
        <v/>
      </c>
      <c r="P24" s="2528" t="n">
        <v>0.032</v>
      </c>
      <c r="Q24" s="2524">
        <f>IF(G24&gt;0,G24*I24*P24,0)</f>
        <v/>
      </c>
      <c r="R24" s="2529" t="n">
        <v>0.35</v>
      </c>
      <c r="S24" s="2530" t="n">
        <v>0</v>
      </c>
      <c r="T24" s="2531" t="n">
        <v>2000</v>
      </c>
      <c r="U24" s="2532" t="inlineStr">
        <is>
          <t>2025</t>
        </is>
      </c>
      <c r="V24" s="2533" t="inlineStr">
        <is>
          <t>🔵 Garder — utilité, beta 0.35</t>
        </is>
      </c>
      <c r="W24" s="2534" t="inlineStr">
        <is>
          <t>Satellite 🇨🇦</t>
        </is>
      </c>
      <c r="X24" s="2535" t="inlineStr">
        <is>
          <t>CAN_SAT</t>
        </is>
      </c>
      <c r="Y24" s="2517" t="n">
        <v>0</v>
      </c>
      <c r="Z24" s="2536" t="n">
        <v>1</v>
      </c>
      <c r="AB24" s="2498" t="n">
        <v>0.05</v>
      </c>
      <c r="AC24" s="2491" t="inlineStr">
        <is>
          <t>22.0</t>
        </is>
      </c>
      <c r="AD24" s="2491" t="inlineStr">
        <is>
          <t>2025</t>
        </is>
      </c>
      <c r="AE24" s="2491" t="inlineStr">
        <is>
          <t>$65</t>
        </is>
      </c>
      <c r="AF24" s="2491" t="inlineStr">
        <is>
          <t>May 2026</t>
        </is>
      </c>
      <c r="AG24" s="2492">
        <f>IFERROR((65-I24)/I24,0)</f>
        <v/>
      </c>
    </row>
    <row r="25" ht="15.75" customHeight="1" s="1666">
      <c r="B25" s="2519" t="inlineStr">
        <is>
          <t>T.TO</t>
        </is>
      </c>
      <c r="C25" s="2428" t="inlineStr">
        <is>
          <t>TELUS</t>
        </is>
      </c>
      <c r="D25" s="2520" t="inlineStr">
        <is>
          <t>Action</t>
        </is>
      </c>
      <c r="E25" s="2521" t="inlineStr">
        <is>
          <t>T3</t>
        </is>
      </c>
      <c r="F25" s="2520" t="n">
        <v>32</v>
      </c>
      <c r="G25" s="2522" t="n">
        <v>22.04</v>
      </c>
      <c r="H25" s="2523" t="n">
        <v>22.04</v>
      </c>
      <c r="I25" s="2523">
        <f>IFERROR(VLOOKUP(B25,CONFIG!$F$6:$G$35,2,0),0)</f>
        <v/>
      </c>
      <c r="J25" s="2523">
        <f>IFERROR(I25/CONFIG!B3,0)</f>
        <v/>
      </c>
      <c r="K25" s="2523" t="inlineStr">
        <is>
          <t>CAD</t>
        </is>
      </c>
      <c r="L25" s="2524">
        <f>IF(G25&gt;0,G25*I25,0)</f>
        <v/>
      </c>
      <c r="M25" s="2525">
        <f>IF(H25&gt;0,(I25-H25)*G25,0)</f>
        <v/>
      </c>
      <c r="N25" s="2526">
        <f>IF(H25&gt;0,(I25-H25)/H25,0)</f>
        <v/>
      </c>
      <c r="O25" s="2527">
        <f>IF(L25&gt;0,L25/SUM(L8:L48),0)</f>
        <v/>
      </c>
      <c r="P25" s="2528" t="n">
        <v>0.078</v>
      </c>
      <c r="Q25" s="2524">
        <f>IF(G25&gt;0,G25*I25*P25,0)</f>
        <v/>
      </c>
      <c r="R25" s="2529" t="n">
        <v>0.55</v>
      </c>
      <c r="S25" s="2530" t="n">
        <v>0</v>
      </c>
      <c r="T25" s="2531" t="n">
        <v>0</v>
      </c>
      <c r="U25" s="2532" t="inlineStr">
        <is>
          <t>2025</t>
        </is>
      </c>
      <c r="V25" s="2533" t="inlineStr">
        <is>
          <t>👀 Q3 2026 — surveiller décision div</t>
        </is>
      </c>
      <c r="W25" s="2534" t="inlineStr">
        <is>
          <t>Satellite 🇨🇦</t>
        </is>
      </c>
      <c r="X25" s="2535" t="inlineStr">
        <is>
          <t>CAN_SAT</t>
        </is>
      </c>
      <c r="Y25" s="2517" t="n">
        <v>0</v>
      </c>
      <c r="Z25" s="2536" t="n">
        <v>1</v>
      </c>
      <c r="AB25" s="2498" t="n">
        <v>0.02</v>
      </c>
      <c r="AC25" s="2491" t="inlineStr">
        <is>
          <t>9.0</t>
        </is>
      </c>
      <c r="AD25" s="2491" t="inlineStr">
        <is>
          <t>2025</t>
        </is>
      </c>
      <c r="AE25" s="2491" t="inlineStr">
        <is>
          <t>—</t>
        </is>
      </c>
      <c r="AF25" s="2491" t="inlineStr">
        <is>
          <t>Aug 2026</t>
        </is>
      </c>
    </row>
    <row r="26" ht="15.75" customHeight="1" s="1666">
      <c r="B26" s="2519" t="inlineStr">
        <is>
          <t>QTUM</t>
        </is>
      </c>
      <c r="C26" s="2428" t="inlineStr">
        <is>
          <t>Defiance Quantum</t>
        </is>
      </c>
      <c r="D26" s="2520" t="inlineStr">
        <is>
          <t>ETF</t>
        </is>
      </c>
      <c r="E26" s="2521" t="inlineStr">
        <is>
          <t>T3</t>
        </is>
      </c>
      <c r="F26" s="2520" t="n">
        <v>5</v>
      </c>
      <c r="G26" s="2522" t="n">
        <v>120.81</v>
      </c>
      <c r="H26" s="2523" t="n">
        <v>120.81</v>
      </c>
      <c r="I26" s="2523">
        <f>IFERROR(J26*CONFIG!B3,0)</f>
        <v/>
      </c>
      <c r="J26" s="2523">
        <f>IFERROR(VLOOKUP(B26,CONFIG!$F$6:$G$35,2,0),0)</f>
        <v/>
      </c>
      <c r="K26" s="2523" t="inlineStr">
        <is>
          <t>USD</t>
        </is>
      </c>
      <c r="L26" s="2524">
        <f>IF(G26&gt;0,G26*I26,0)</f>
        <v/>
      </c>
      <c r="M26" s="2525">
        <f>IF(H26&gt;0,(I26-H26)*G26,0)</f>
        <v/>
      </c>
      <c r="N26" s="2526">
        <f>IF(H26&gt;0,(I26-H26)/H26,0)</f>
        <v/>
      </c>
      <c r="O26" s="2527">
        <f>IF(L26&gt;0,L26/SUM(L8:L48),0)</f>
        <v/>
      </c>
      <c r="P26" s="2528" t="n">
        <v>0.005</v>
      </c>
      <c r="Q26" s="2524">
        <f>IF(G26&gt;0,G26*I26*P26,0)</f>
        <v/>
      </c>
      <c r="R26" s="2529" t="n">
        <v>1.4</v>
      </c>
      <c r="S26" s="2530" t="n">
        <v>0.7</v>
      </c>
      <c r="T26" s="2531" t="n">
        <v>1000</v>
      </c>
      <c r="U26" s="2532" t="inlineStr">
        <is>
          <t>2025</t>
        </is>
      </c>
      <c r="V26" s="2533" t="inlineStr">
        <is>
          <t>🔵 Garder — thèse 10 ans, position petite</t>
        </is>
      </c>
      <c r="W26" s="2537" t="inlineStr">
        <is>
          <t>Satellite ⚡</t>
        </is>
      </c>
      <c r="X26" s="2535" t="inlineStr">
        <is>
          <t>SPEC</t>
        </is>
      </c>
      <c r="Y26" s="2517" t="n">
        <v>0</v>
      </c>
      <c r="Z26" s="2489" t="n">
        <v>0</v>
      </c>
      <c r="AB26" s="2495" t="n">
        <v>0.8</v>
      </c>
      <c r="AC26" s="2491" t="inlineStr">
        <is>
          <t>—</t>
        </is>
      </c>
      <c r="AD26" s="2491" t="inlineStr">
        <is>
          <t>2025</t>
        </is>
      </c>
      <c r="AE26" s="2491" t="inlineStr">
        <is>
          <t>$130</t>
        </is>
      </c>
      <c r="AF26" s="2491" t="inlineStr">
        <is>
          <t>—</t>
        </is>
      </c>
      <c r="AG26" s="2492">
        <f>IFERROR((130-I26)/I26,0)</f>
        <v/>
      </c>
    </row>
    <row r="27" ht="15.75" customHeight="1" s="1666">
      <c r="B27" s="2519" t="inlineStr">
        <is>
          <t>HURA.TO</t>
        </is>
      </c>
      <c r="C27" s="2428" t="inlineStr">
        <is>
          <t>Global X Uranium</t>
        </is>
      </c>
      <c r="D27" s="2520" t="inlineStr">
        <is>
          <t>ETF</t>
        </is>
      </c>
      <c r="E27" s="2521" t="inlineStr">
        <is>
          <t>T3</t>
        </is>
      </c>
      <c r="F27" s="2520" t="n">
        <v>6</v>
      </c>
      <c r="G27" s="2522" t="n">
        <v>55.25</v>
      </c>
      <c r="H27" s="2523" t="n">
        <v>55.25</v>
      </c>
      <c r="I27" s="2523">
        <f>IFERROR(VLOOKUP(B27,CONFIG!$F$6:$G$35,2,0),0)</f>
        <v/>
      </c>
      <c r="J27" s="2523">
        <f>IFERROR(I27/CONFIG!B3,0)</f>
        <v/>
      </c>
      <c r="K27" s="2523" t="inlineStr">
        <is>
          <t>CAD</t>
        </is>
      </c>
      <c r="L27" s="2524">
        <f>IF(G27&gt;0,G27*I27,0)</f>
        <v/>
      </c>
      <c r="M27" s="2525">
        <f>IF(H27&gt;0,(I27-H27)*G27,0)</f>
        <v/>
      </c>
      <c r="N27" s="2526">
        <f>IF(H27&gt;0,(I27-H27)/H27,0)</f>
        <v/>
      </c>
      <c r="O27" s="2527">
        <f>IF(L27&gt;0,L27/SUM(L8:L48),0)</f>
        <v/>
      </c>
      <c r="P27" s="2528" t="n">
        <v>0.012</v>
      </c>
      <c r="Q27" s="2524">
        <f>IF(G27&gt;0,G27*I27*P27,0)</f>
        <v/>
      </c>
      <c r="R27" s="2529" t="n">
        <v>1.1</v>
      </c>
      <c r="S27" s="2530" t="n">
        <v>0</v>
      </c>
      <c r="T27" s="2531" t="n">
        <v>1500</v>
      </c>
      <c r="U27" s="2532" t="inlineStr">
        <is>
          <t>2025</t>
        </is>
      </c>
      <c r="V27" s="2533" t="inlineStr">
        <is>
          <t>🔵 Garder — énergie IA data centers</t>
        </is>
      </c>
      <c r="W27" s="2538" t="inlineStr">
        <is>
          <t>Satellite 🔬</t>
        </is>
      </c>
      <c r="X27" s="2535" t="inlineStr">
        <is>
          <t>SPEC</t>
        </is>
      </c>
      <c r="Y27" s="2517" t="n">
        <v>0</v>
      </c>
      <c r="Z27" s="2489" t="n">
        <v>0</v>
      </c>
      <c r="AB27" s="2490" t="n">
        <v>0.4</v>
      </c>
      <c r="AC27" s="2491" t="inlineStr">
        <is>
          <t>—</t>
        </is>
      </c>
      <c r="AD27" s="2491" t="inlineStr">
        <is>
          <t>2025</t>
        </is>
      </c>
      <c r="AE27" s="2491" t="inlineStr">
        <is>
          <t>$70</t>
        </is>
      </c>
      <c r="AF27" s="2491" t="inlineStr">
        <is>
          <t>—</t>
        </is>
      </c>
      <c r="AG27" s="2496">
        <f>IFERROR((70-I27)/I27,0)</f>
        <v/>
      </c>
    </row>
    <row r="28" ht="15.75" customHeight="1" s="1666">
      <c r="B28" s="2539" t="inlineStr">
        <is>
          <t>REI.UN.TO</t>
        </is>
      </c>
      <c r="C28" s="2440" t="inlineStr">
        <is>
          <t>RioCan REIT</t>
        </is>
      </c>
      <c r="D28" s="2540" t="inlineStr">
        <is>
          <t>REIT</t>
        </is>
      </c>
      <c r="E28" s="2541" t="inlineStr">
        <is>
          <t>T4</t>
        </is>
      </c>
      <c r="F28" s="2540" t="n">
        <v>0</v>
      </c>
      <c r="G28" s="2542" t="n">
        <v>0</v>
      </c>
      <c r="H28" s="2543" t="n">
        <v>0</v>
      </c>
      <c r="I28" s="2543">
        <f>IFERROR(VLOOKUP(B28,CONFIG!$F$6:$G$35,2,0),0)</f>
        <v/>
      </c>
      <c r="J28" s="2543">
        <f>IFERROR(I28/CONFIG!B3,0)</f>
        <v/>
      </c>
      <c r="K28" s="2543" t="inlineStr">
        <is>
          <t>CAD</t>
        </is>
      </c>
      <c r="L28" s="2544">
        <f>IF(G28&gt;0,G28*I28,0)</f>
        <v/>
      </c>
      <c r="M28" s="2545">
        <f>IF(H28&gt;0,(I28-H28)*G28,0)</f>
        <v/>
      </c>
      <c r="N28" s="2546">
        <f>IF(H28&gt;0,(I28-H28)/H28,0)</f>
        <v/>
      </c>
      <c r="O28" s="2547">
        <f>IF(L28&gt;0,L28/SUM(L8:L48),0)</f>
        <v/>
      </c>
      <c r="P28" s="2548" t="n">
        <v>0.0587</v>
      </c>
      <c r="Q28" s="2544">
        <f>IF(G28&gt;0,G28*I28*P28,0)</f>
        <v/>
      </c>
      <c r="R28" s="2549" t="n">
        <v>0.85</v>
      </c>
      <c r="S28" s="2550" t="n">
        <v>0</v>
      </c>
      <c r="T28" s="2551" t="n">
        <v>7000</v>
      </c>
      <c r="U28" s="2552" t="inlineStr">
        <is>
          <t>2025</t>
        </is>
      </c>
      <c r="V28" s="2553" t="inlineStr">
        <is>
          <t>🔄 Coussin défensif — div mensuel 5.9%</t>
        </is>
      </c>
      <c r="W28" s="2554" t="inlineStr">
        <is>
          <t>Satellite 🏢</t>
        </is>
      </c>
      <c r="X28" s="2555" t="inlineStr">
        <is>
          <t>REIT</t>
        </is>
      </c>
      <c r="Y28" s="2517" t="n">
        <v>0</v>
      </c>
      <c r="Z28" s="2536" t="n">
        <v>1</v>
      </c>
      <c r="AB28" s="2498" t="n">
        <v>0</v>
      </c>
      <c r="AC28" s="2491" t="inlineStr">
        <is>
          <t>—</t>
        </is>
      </c>
      <c r="AD28" s="2491" t="inlineStr">
        <is>
          <t>2025</t>
        </is>
      </c>
      <c r="AE28" s="2491" t="inlineStr">
        <is>
          <t>$22</t>
        </is>
      </c>
      <c r="AF28" s="2491" t="inlineStr">
        <is>
          <t>—</t>
        </is>
      </c>
      <c r="AG28" s="2492">
        <f>IFERROR((22-I28)/I28,0)</f>
        <v/>
      </c>
    </row>
    <row r="29" ht="15.75" customHeight="1" s="1666">
      <c r="B29" s="2539" t="inlineStr">
        <is>
          <t>PLZ.UN.TO</t>
        </is>
      </c>
      <c r="C29" s="2440" t="inlineStr">
        <is>
          <t>Plaza Retail</t>
        </is>
      </c>
      <c r="D29" s="2540" t="inlineStr">
        <is>
          <t>REIT</t>
        </is>
      </c>
      <c r="E29" s="2541" t="inlineStr">
        <is>
          <t>T4</t>
        </is>
      </c>
      <c r="F29" s="2540" t="n">
        <v>0</v>
      </c>
      <c r="G29" s="2542" t="n">
        <v>0</v>
      </c>
      <c r="H29" s="2543" t="n">
        <v>0</v>
      </c>
      <c r="I29" s="2543">
        <f>IFERROR(VLOOKUP(B29,CONFIG!$F$6:$G$35,2,0),0)</f>
        <v/>
      </c>
      <c r="J29" s="2543">
        <f>IFERROR(I29/CONFIG!B3,0)</f>
        <v/>
      </c>
      <c r="K29" s="2543" t="inlineStr">
        <is>
          <t>CAD</t>
        </is>
      </c>
      <c r="L29" s="2544">
        <f>IF(G29&gt;0,G29*I29,0)</f>
        <v/>
      </c>
      <c r="M29" s="2545">
        <f>IF(H29&gt;0,(I29-H29)*G29,0)</f>
        <v/>
      </c>
      <c r="N29" s="2546">
        <f>IF(H29&gt;0,(I29-H29)/H29,0)</f>
        <v/>
      </c>
      <c r="O29" s="2547">
        <f>IF(L29&gt;0,L29/SUM(L8:L48),0)</f>
        <v/>
      </c>
      <c r="P29" s="2548" t="n">
        <v>0.0667</v>
      </c>
      <c r="Q29" s="2544">
        <f>IF(G29&gt;0,G29*I29*P29,0)</f>
        <v/>
      </c>
      <c r="R29" s="2549" t="n">
        <v>0.7</v>
      </c>
      <c r="S29" s="2550" t="n">
        <v>0</v>
      </c>
      <c r="T29" s="2551" t="n">
        <v>0</v>
      </c>
      <c r="U29" s="2552" t="inlineStr">
        <is>
          <t>2025</t>
        </is>
      </c>
      <c r="V29" s="2553" t="inlineStr">
        <is>
          <t>🔄 Diluer — croissance div nulle 5 ans</t>
        </is>
      </c>
      <c r="W29" s="2554" t="inlineStr">
        <is>
          <t>Satellite 🏢</t>
        </is>
      </c>
      <c r="X29" s="2555" t="inlineStr">
        <is>
          <t>REIT</t>
        </is>
      </c>
      <c r="Y29" s="2517" t="n">
        <v>0</v>
      </c>
      <c r="Z29" s="2536" t="n">
        <v>1</v>
      </c>
      <c r="AB29" s="2498" t="n">
        <v>0</v>
      </c>
      <c r="AC29" s="2491" t="inlineStr">
        <is>
          <t>—</t>
        </is>
      </c>
      <c r="AD29" s="2491" t="inlineStr">
        <is>
          <t>2025</t>
        </is>
      </c>
      <c r="AE29" s="2491" t="inlineStr">
        <is>
          <t>$5</t>
        </is>
      </c>
      <c r="AF29" s="2491" t="inlineStr">
        <is>
          <t>—</t>
        </is>
      </c>
      <c r="AG29" s="2496">
        <f>IFERROR((5-I29)/I29,0)</f>
        <v/>
      </c>
    </row>
    <row r="30" ht="15.75" customHeight="1" s="1666">
      <c r="B30" s="2539" t="inlineStr">
        <is>
          <t>XEI.TO</t>
        </is>
      </c>
      <c r="C30" s="2440" t="inlineStr">
        <is>
          <t>iShares High Div</t>
        </is>
      </c>
      <c r="D30" s="2540" t="inlineStr">
        <is>
          <t>ETF</t>
        </is>
      </c>
      <c r="E30" s="2541" t="inlineStr">
        <is>
          <t>T4</t>
        </is>
      </c>
      <c r="F30" s="2540" t="n">
        <v>51</v>
      </c>
      <c r="G30" s="2542" t="n">
        <v>30.6811</v>
      </c>
      <c r="H30" s="2543" t="n">
        <v>30.6811</v>
      </c>
      <c r="I30" s="2543">
        <f>IFERROR(VLOOKUP(B30,CONFIG!$F$6:$G$35,2,0),0)</f>
        <v/>
      </c>
      <c r="J30" s="2543">
        <f>IFERROR(I30/CONFIG!B3,0)</f>
        <v/>
      </c>
      <c r="K30" s="2543" t="inlineStr">
        <is>
          <t>CAD</t>
        </is>
      </c>
      <c r="L30" s="2544">
        <f>IF(G30&gt;0,G30*I30,0)</f>
        <v/>
      </c>
      <c r="M30" s="2545">
        <f>IF(H30&gt;0,(I30-H30)*G30,0)</f>
        <v/>
      </c>
      <c r="N30" s="2546">
        <f>IF(H30&gt;0,(I30-H30)/H30,0)</f>
        <v/>
      </c>
      <c r="O30" s="2547">
        <f>IF(L30&gt;0,L30/SUM(L8:L48),0)</f>
        <v/>
      </c>
      <c r="P30" s="2548" t="n">
        <v>0.049</v>
      </c>
      <c r="Q30" s="2544">
        <f>IF(G30&gt;0,G30*I30*P30,0)</f>
        <v/>
      </c>
      <c r="R30" s="2549" t="n">
        <v>0.8</v>
      </c>
      <c r="S30" s="2550" t="n">
        <v>0</v>
      </c>
      <c r="T30" s="2551" t="n">
        <v>0</v>
      </c>
      <c r="U30" s="2552" t="inlineStr">
        <is>
          <t>2026-03-09</t>
        </is>
      </c>
      <c r="V30" s="2553" t="inlineStr">
        <is>
          <t>🔄 Diluer — redondant avec ENB/TD</t>
        </is>
      </c>
      <c r="W30" s="2554" t="inlineStr">
        <is>
          <t>Satellite 🏢</t>
        </is>
      </c>
      <c r="X30" s="2555" t="inlineStr">
        <is>
          <t>REIT</t>
        </is>
      </c>
      <c r="Y30" s="2517" t="n">
        <v>0</v>
      </c>
      <c r="Z30" s="2536" t="n">
        <v>1</v>
      </c>
      <c r="AB30" s="2498" t="n">
        <v>0.05</v>
      </c>
      <c r="AC30" s="2491" t="inlineStr">
        <is>
          <t>—</t>
        </is>
      </c>
      <c r="AD30" s="2491" t="inlineStr">
        <is>
          <t>2026-03-09</t>
        </is>
      </c>
      <c r="AE30" s="2491" t="inlineStr">
        <is>
          <t>$38</t>
        </is>
      </c>
      <c r="AF30" s="2491" t="inlineStr">
        <is>
          <t>—</t>
        </is>
      </c>
      <c r="AG30" s="2492">
        <f>IFERROR((38-I30)/I30,0)</f>
        <v/>
      </c>
    </row>
    <row r="31" ht="15.75" customHeight="1" s="1666">
      <c r="B31" s="2539" t="inlineStr">
        <is>
          <t>SRU.UN.TO</t>
        </is>
      </c>
      <c r="C31" s="2440" t="inlineStr">
        <is>
          <t>SmartCentres</t>
        </is>
      </c>
      <c r="D31" s="2540" t="inlineStr">
        <is>
          <t>REIT</t>
        </is>
      </c>
      <c r="E31" s="2541" t="inlineStr">
        <is>
          <t>T4</t>
        </is>
      </c>
      <c r="F31" s="2540" t="n">
        <v>57</v>
      </c>
      <c r="G31" s="2542" t="n">
        <v>25.2543</v>
      </c>
      <c r="H31" s="2543" t="n">
        <v>25.2543</v>
      </c>
      <c r="I31" s="2543">
        <f>IFERROR(VLOOKUP(B31,CONFIG!$F$6:$G$35,2,0),0)</f>
        <v/>
      </c>
      <c r="J31" s="2543">
        <f>IFERROR(I31/CONFIG!B3,0)</f>
        <v/>
      </c>
      <c r="K31" s="2543" t="inlineStr">
        <is>
          <t>CAD</t>
        </is>
      </c>
      <c r="L31" s="2544">
        <f>IF(G31&gt;0,G31*I31,0)</f>
        <v/>
      </c>
      <c r="M31" s="2545">
        <f>IF(H31&gt;0,(I31-H31)*G31,0)</f>
        <v/>
      </c>
      <c r="N31" s="2546">
        <f>IF(H31&gt;0,(I31-H31)/H31,0)</f>
        <v/>
      </c>
      <c r="O31" s="2547">
        <f>IF(L31&gt;0,L31/SUM(L8:L48),0)</f>
        <v/>
      </c>
      <c r="P31" s="2548" t="n">
        <v>0.0718</v>
      </c>
      <c r="Q31" s="2544">
        <f>IF(G31&gt;0,G31*I31*P31,0)</f>
        <v/>
      </c>
      <c r="R31" s="2549" t="n">
        <v>0.9</v>
      </c>
      <c r="S31" s="2550" t="n">
        <v>0</v>
      </c>
      <c r="T31" s="2551" t="n">
        <v>3000</v>
      </c>
      <c r="U31" s="2552" t="inlineStr">
        <is>
          <t>2025</t>
        </is>
      </c>
      <c r="V31" s="2553" t="inlineStr">
        <is>
          <t>🔄 Coussin défensif — Walmart anchor</t>
        </is>
      </c>
      <c r="W31" s="2554" t="inlineStr">
        <is>
          <t>Satellite 🏢</t>
        </is>
      </c>
      <c r="X31" s="2555" t="inlineStr">
        <is>
          <t>REIT</t>
        </is>
      </c>
      <c r="Y31" s="2517" t="n">
        <v>0</v>
      </c>
      <c r="Z31" s="2536" t="n">
        <v>1</v>
      </c>
      <c r="AB31" s="2498" t="n">
        <v>0</v>
      </c>
      <c r="AC31" s="2491" t="inlineStr">
        <is>
          <t>—</t>
        </is>
      </c>
      <c r="AD31" s="2491" t="inlineStr">
        <is>
          <t>2025</t>
        </is>
      </c>
      <c r="AE31" s="2491" t="inlineStr">
        <is>
          <t>$30</t>
        </is>
      </c>
      <c r="AF31" s="2491" t="inlineStr">
        <is>
          <t>—</t>
        </is>
      </c>
      <c r="AG31" s="2496">
        <f>IFERROR((30-I31)/I31,0)</f>
        <v/>
      </c>
    </row>
    <row r="32" ht="15.75" customHeight="1" s="1666">
      <c r="B32" s="2539" t="inlineStr">
        <is>
          <t>XIC.TO</t>
        </is>
      </c>
      <c r="C32" s="2440" t="inlineStr">
        <is>
          <t>iShares TSX</t>
        </is>
      </c>
      <c r="D32" s="2540" t="inlineStr">
        <is>
          <t>ETF</t>
        </is>
      </c>
      <c r="E32" s="2541" t="inlineStr">
        <is>
          <t>T4</t>
        </is>
      </c>
      <c r="F32" s="2540" t="n">
        <v>21</v>
      </c>
      <c r="G32" s="2542" t="n">
        <v>40.4066</v>
      </c>
      <c r="H32" s="2543" t="n">
        <v>40.4066</v>
      </c>
      <c r="I32" s="2543">
        <f>IFERROR(VLOOKUP(B32,CONFIG!$F$6:$G$35,2,0),0)</f>
        <v/>
      </c>
      <c r="J32" s="2543">
        <f>IFERROR(I32/CONFIG!B3,0)</f>
        <v/>
      </c>
      <c r="K32" s="2543" t="inlineStr">
        <is>
          <t>CAD</t>
        </is>
      </c>
      <c r="L32" s="2544">
        <f>IF(G32&gt;0,G32*I32,0)</f>
        <v/>
      </c>
      <c r="M32" s="2545">
        <f>IF(H32&gt;0,(I32-H32)*G32,0)</f>
        <v/>
      </c>
      <c r="N32" s="2546">
        <f>IF(H32&gt;0,(I32-H32)/H32,0)</f>
        <v/>
      </c>
      <c r="O32" s="2547">
        <f>IF(L32&gt;0,L32/SUM(L8:L48),0)</f>
        <v/>
      </c>
      <c r="P32" s="2548" t="n">
        <v>0.028</v>
      </c>
      <c r="Q32" s="2544">
        <f>IF(G32&gt;0,G32*I32*P32,0)</f>
        <v/>
      </c>
      <c r="R32" s="2549" t="n">
        <v>0.95</v>
      </c>
      <c r="S32" s="2550" t="n">
        <v>0.1</v>
      </c>
      <c r="T32" s="2551" t="n">
        <v>0</v>
      </c>
      <c r="U32" s="2552" t="inlineStr">
        <is>
          <t>2025</t>
        </is>
      </c>
      <c r="V32" s="2553" t="inlineStr">
        <is>
          <t>🔄 Diluer — redondant titres individ.</t>
        </is>
      </c>
      <c r="W32" s="2556" t="inlineStr">
        <is>
          <t>Satellite 🇨🇦</t>
        </is>
      </c>
      <c r="X32" s="2555" t="inlineStr">
        <is>
          <t>CAN_SAT</t>
        </is>
      </c>
      <c r="Y32" s="2517" t="n">
        <v>0</v>
      </c>
      <c r="Z32" s="2536" t="n">
        <v>1</v>
      </c>
      <c r="AB32" s="2498" t="n">
        <v>0.2</v>
      </c>
      <c r="AC32" s="2491" t="inlineStr">
        <is>
          <t>—</t>
        </is>
      </c>
      <c r="AD32" s="2491" t="inlineStr">
        <is>
          <t>2026-03-09</t>
        </is>
      </c>
      <c r="AE32" s="2491" t="inlineStr">
        <is>
          <t>$58</t>
        </is>
      </c>
      <c r="AF32" s="2491" t="inlineStr">
        <is>
          <t>—</t>
        </is>
      </c>
      <c r="AG32" s="2492">
        <f>IFERROR((58-I32)/I32,0)</f>
        <v/>
      </c>
    </row>
    <row r="33" ht="15.75" customHeight="1" s="1666">
      <c r="B33" s="2539" t="inlineStr">
        <is>
          <t>ZRE.TO</t>
        </is>
      </c>
      <c r="C33" s="2440" t="inlineStr">
        <is>
          <t>BMO REITs</t>
        </is>
      </c>
      <c r="D33" s="2540" t="inlineStr">
        <is>
          <t>ETF</t>
        </is>
      </c>
      <c r="E33" s="2541" t="inlineStr">
        <is>
          <t>T4</t>
        </is>
      </c>
      <c r="F33" s="2540" t="n">
        <v>19</v>
      </c>
      <c r="G33" s="2542" t="n">
        <v>20.83</v>
      </c>
      <c r="H33" s="2543" t="n">
        <v>20.83</v>
      </c>
      <c r="I33" s="2543">
        <f>IFERROR(VLOOKUP(B33,CONFIG!$F$6:$G$35,2,0),0)</f>
        <v/>
      </c>
      <c r="J33" s="2543">
        <f>IFERROR(I33/CONFIG!B3,0)</f>
        <v/>
      </c>
      <c r="K33" s="2543" t="inlineStr">
        <is>
          <t>CAD</t>
        </is>
      </c>
      <c r="L33" s="2544">
        <f>IF(G33&gt;0,G33*I33,0)</f>
        <v/>
      </c>
      <c r="M33" s="2545">
        <f>IF(H33&gt;0,(I33-H33)*G33,0)</f>
        <v/>
      </c>
      <c r="N33" s="2546">
        <f>IF(H33&gt;0,(I33-H33)/H33,0)</f>
        <v/>
      </c>
      <c r="O33" s="2547">
        <f>IF(L33&gt;0,L33/SUM(L8:L48),0)</f>
        <v/>
      </c>
      <c r="P33" s="2548" t="n">
        <v>0.045</v>
      </c>
      <c r="Q33" s="2544">
        <f>IF(G33&gt;0,G33*I33*P33,0)</f>
        <v/>
      </c>
      <c r="R33" s="2549" t="n">
        <v>0.8</v>
      </c>
      <c r="S33" s="2550" t="n">
        <v>0</v>
      </c>
      <c r="T33" s="2551" t="n">
        <v>0</v>
      </c>
      <c r="U33" s="2552" t="inlineStr">
        <is>
          <t>2025</t>
        </is>
      </c>
      <c r="V33" s="2553" t="inlineStr">
        <is>
          <t>🔄 Diluer — redondant SRU/REI</t>
        </is>
      </c>
      <c r="W33" s="2554" t="inlineStr">
        <is>
          <t>Satellite 🏢</t>
        </is>
      </c>
      <c r="X33" s="2555" t="inlineStr">
        <is>
          <t>REIT</t>
        </is>
      </c>
      <c r="Y33" s="2517" t="n">
        <v>0</v>
      </c>
      <c r="Z33" s="2536" t="n">
        <v>1</v>
      </c>
      <c r="AB33" s="2498" t="n">
        <v>0</v>
      </c>
    </row>
    <row r="34" ht="15.75" customHeight="1" s="1666">
      <c r="B34" s="2539" t="inlineStr">
        <is>
          <t>MFC.TO</t>
        </is>
      </c>
      <c r="C34" s="2440" t="inlineStr">
        <is>
          <t>Manulife</t>
        </is>
      </c>
      <c r="D34" s="2540" t="inlineStr">
        <is>
          <t>Action</t>
        </is>
      </c>
      <c r="E34" s="2541" t="inlineStr">
        <is>
          <t>T4</t>
        </is>
      </c>
      <c r="F34" s="2540" t="n">
        <v>8</v>
      </c>
      <c r="G34" s="2542" t="n">
        <v>51.7</v>
      </c>
      <c r="H34" s="2543" t="n">
        <v>51.7</v>
      </c>
      <c r="I34" s="2543">
        <f>IFERROR(VLOOKUP(B34,CONFIG!$F$6:$G$35,2,0),0)</f>
        <v/>
      </c>
      <c r="J34" s="2543">
        <f>IFERROR(I34/CONFIG!B3,0)</f>
        <v/>
      </c>
      <c r="K34" s="2543" t="inlineStr">
        <is>
          <t>CAD</t>
        </is>
      </c>
      <c r="L34" s="2544">
        <f>IF(G34&gt;0,G34*I34,0)</f>
        <v/>
      </c>
      <c r="M34" s="2545">
        <f>IF(H34&gt;0,(I34-H34)*G34,0)</f>
        <v/>
      </c>
      <c r="N34" s="2546">
        <f>IF(H34&gt;0,(I34-H34)/H34,0)</f>
        <v/>
      </c>
      <c r="O34" s="2547">
        <f>IF(L34&gt;0,L34/SUM(L8:L48),0)</f>
        <v/>
      </c>
      <c r="P34" s="2548" t="n">
        <v>0.052</v>
      </c>
      <c r="Q34" s="2544">
        <f>IF(G34&gt;0,G34*I34*P34,0)</f>
        <v/>
      </c>
      <c r="R34" s="2549" t="n">
        <v>1.1</v>
      </c>
      <c r="S34" s="2550" t="n">
        <v>0.05</v>
      </c>
      <c r="T34" s="2551" t="n">
        <v>0</v>
      </c>
      <c r="U34" s="2552" t="inlineStr">
        <is>
          <t>2025</t>
        </is>
      </c>
      <c r="V34" s="2553" t="inlineStr">
        <is>
          <t>🔄 Diluer — perte -13.5%, ne pas vendre</t>
        </is>
      </c>
      <c r="W34" s="2556" t="inlineStr">
        <is>
          <t>Satellite 🇨🇦</t>
        </is>
      </c>
      <c r="X34" s="2555" t="inlineStr">
        <is>
          <t>CAN_SAT</t>
        </is>
      </c>
      <c r="Y34" s="2517" t="n">
        <v>0</v>
      </c>
      <c r="Z34" s="2536" t="n">
        <v>1</v>
      </c>
      <c r="AB34" s="2498" t="n">
        <v>0.05</v>
      </c>
    </row>
    <row r="35" ht="15.75" customHeight="1" s="1666">
      <c r="B35" s="2539" t="inlineStr">
        <is>
          <t>VDU.TO</t>
        </is>
      </c>
      <c r="C35" s="2440" t="inlineStr">
        <is>
          <t>Vanguard Dev</t>
        </is>
      </c>
      <c r="D35" s="2540" t="inlineStr">
        <is>
          <t>ETF</t>
        </is>
      </c>
      <c r="E35" s="2541" t="inlineStr">
        <is>
          <t>T4</t>
        </is>
      </c>
      <c r="F35" s="2540" t="n">
        <v>6</v>
      </c>
      <c r="G35" s="2542" t="n">
        <v>43.75</v>
      </c>
      <c r="H35" s="2543" t="n">
        <v>43.75</v>
      </c>
      <c r="I35" s="2543">
        <f>IFERROR(VLOOKUP(B35,CONFIG!$F$6:$G$35,2,0),0)</f>
        <v/>
      </c>
      <c r="J35" s="2543">
        <f>IFERROR(I35/CONFIG!B3,0)</f>
        <v/>
      </c>
      <c r="K35" s="2543" t="inlineStr">
        <is>
          <t>CAD</t>
        </is>
      </c>
      <c r="L35" s="2544">
        <f>IF(G35&gt;0,G35*I35,0)</f>
        <v/>
      </c>
      <c r="M35" s="2545">
        <f>IF(H35&gt;0,(I35-H35)*G35,0)</f>
        <v/>
      </c>
      <c r="N35" s="2546">
        <f>IF(H35&gt;0,(I35-H35)/H35,0)</f>
        <v/>
      </c>
      <c r="O35" s="2547">
        <f>IF(L35&gt;0,L35/SUM(L8:L48),0)</f>
        <v/>
      </c>
      <c r="P35" s="2548" t="n">
        <v>0.031</v>
      </c>
      <c r="Q35" s="2544">
        <f>IF(G35&gt;0,G35*I35*P35,0)</f>
        <v/>
      </c>
      <c r="R35" s="2549" t="n">
        <v>0.9</v>
      </c>
      <c r="S35" s="2550" t="n">
        <v>0.15</v>
      </c>
      <c r="T35" s="2551" t="n">
        <v>0</v>
      </c>
      <c r="U35" s="2552" t="inlineStr">
        <is>
          <t>2025</t>
        </is>
      </c>
      <c r="V35" s="2553" t="inlineStr">
        <is>
          <t>🔄 Diluer — international, petite position</t>
        </is>
      </c>
      <c r="W35" s="2557" t="inlineStr">
        <is>
          <t>Satellite 🌍</t>
        </is>
      </c>
      <c r="X35" s="2555" t="inlineStr">
        <is>
          <t>ETF_SAT</t>
        </is>
      </c>
      <c r="Y35" s="2517" t="n">
        <v>0</v>
      </c>
      <c r="Z35" s="2489" t="n">
        <v>0</v>
      </c>
      <c r="AB35" s="2498" t="n">
        <v>0.1</v>
      </c>
    </row>
    <row r="36" ht="15.75" customHeight="1" s="1666">
      <c r="B36" s="2493" t="inlineStr">
        <is>
          <t>VFV.TO</t>
        </is>
      </c>
      <c r="C36" s="2404" t="inlineStr">
        <is>
          <t>Vanguard S&amp;P 500</t>
        </is>
      </c>
      <c r="D36" s="2472" t="inlineStr">
        <is>
          <t>ETF</t>
        </is>
      </c>
      <c r="E36" s="2473" t="inlineStr">
        <is>
          <t>T1</t>
        </is>
      </c>
      <c r="F36" s="2472" t="n">
        <v>16</v>
      </c>
      <c r="G36" s="2474" t="n">
        <v>157.3812</v>
      </c>
      <c r="H36" s="2475" t="n">
        <v>157.3812</v>
      </c>
      <c r="I36" s="2475">
        <f>IFERROR(VLOOKUP(B36,CONFIG!$F$6:$G$35,2,0),0)</f>
        <v/>
      </c>
      <c r="J36" s="2475">
        <f>IFERROR(I36/CONFIG!B3,0)</f>
        <v/>
      </c>
      <c r="K36" s="2475" t="inlineStr">
        <is>
          <t>CAD</t>
        </is>
      </c>
      <c r="L36" s="2476">
        <f>IF(G36&gt;0,G36*I36,0)</f>
        <v/>
      </c>
      <c r="M36" s="2477">
        <f>IF(H36&gt;0,(I36-H36)*G36,0)</f>
        <v/>
      </c>
      <c r="N36" s="2478">
        <f>IF(H36&gt;0,(I36-H36)/H36,0)</f>
        <v/>
      </c>
      <c r="O36" s="2479">
        <f>IF(L36&gt;0,L36/SUM(L8:L48),0)</f>
        <v/>
      </c>
      <c r="P36" s="2480" t="n">
        <v>0.0092</v>
      </c>
      <c r="Q36" s="2476">
        <f>IF(G36&gt;0,G36*I36*P36,0)</f>
        <v/>
      </c>
      <c r="R36" s="2481" t="n">
        <v>1</v>
      </c>
      <c r="S36" s="2482" t="n">
        <v>0.3</v>
      </c>
      <c r="T36" s="2483" t="n">
        <v>20000</v>
      </c>
      <c r="U36" s="2484" t="inlineStr">
        <is>
          <t>2026-03-09</t>
        </is>
      </c>
      <c r="V36" s="2485" t="inlineStr">
        <is>
          <t>✅ Auto $2,500/mois — FHSA maison 2028</t>
        </is>
      </c>
      <c r="W36" s="2486" t="inlineStr">
        <is>
          <t>Core 🌍</t>
        </is>
      </c>
      <c r="X36" s="2487" t="inlineStr">
        <is>
          <t>ETF</t>
        </is>
      </c>
      <c r="Y36" s="2488" t="n">
        <v>1</v>
      </c>
      <c r="Z36" s="2489" t="n">
        <v>0</v>
      </c>
      <c r="AB36" s="2490" t="n">
        <v>0.35</v>
      </c>
      <c r="AC36" s="2491" t="inlineStr">
        <is>
          <t>22.5</t>
        </is>
      </c>
      <c r="AD36" s="2491" t="inlineStr">
        <is>
          <t>2026-03-09</t>
        </is>
      </c>
      <c r="AE36" s="2491" t="inlineStr">
        <is>
          <t>$185</t>
        </is>
      </c>
      <c r="AF36" s="2491" t="inlineStr">
        <is>
          <t>—</t>
        </is>
      </c>
      <c r="AG36" s="2492">
        <f>IFERROR((185-I36)/I36,0)</f>
        <v/>
      </c>
    </row>
    <row r="37" ht="15.75" customHeight="1" s="1666">
      <c r="B37" s="2493" t="inlineStr">
        <is>
          <t>AMZN</t>
        </is>
      </c>
      <c r="C37" s="2404" t="inlineStr">
        <is>
          <t>Amazon</t>
        </is>
      </c>
      <c r="D37" s="2472" t="inlineStr">
        <is>
          <t>Action</t>
        </is>
      </c>
      <c r="E37" s="2473" t="inlineStr">
        <is>
          <t>T1</t>
        </is>
      </c>
      <c r="F37" s="2472" t="n">
        <v>7</v>
      </c>
      <c r="G37" s="2474" t="n">
        <v>154.9418</v>
      </c>
      <c r="H37" s="2475" t="n">
        <v>154.9418</v>
      </c>
      <c r="I37" s="2475">
        <f>IFERROR(J37*CONFIG!B3,0)</f>
        <v/>
      </c>
      <c r="J37" s="2475">
        <f>IFERROR(VLOOKUP(B37,CONFIG!$F$6:$G$35,2,0),0)</f>
        <v/>
      </c>
      <c r="K37" s="2475" t="inlineStr">
        <is>
          <t>USD</t>
        </is>
      </c>
      <c r="L37" s="2476">
        <f>IF(G37&gt;0,G37*I37,0)</f>
        <v/>
      </c>
      <c r="M37" s="2477">
        <f>IF(H37&gt;0,(I37-H37)*G37,0)</f>
        <v/>
      </c>
      <c r="N37" s="2478">
        <f>IF(H37&gt;0,(I37-H37)/H37,0)</f>
        <v/>
      </c>
      <c r="O37" s="2479">
        <f>IF(L37&gt;0,L37/SUM(L8:L48),0)</f>
        <v/>
      </c>
      <c r="P37" s="2480" t="n">
        <v>0.001</v>
      </c>
      <c r="Q37" s="2476">
        <f>IF(G37&gt;0,G37*I37*P37,0)</f>
        <v/>
      </c>
      <c r="R37" s="2481" t="n">
        <v>1.22</v>
      </c>
      <c r="S37" s="2482" t="n">
        <v>0.7</v>
      </c>
      <c r="T37" s="2483" t="n">
        <v>4000</v>
      </c>
      <c r="U37" s="2484" t="inlineStr">
        <is>
          <t>2025</t>
        </is>
      </c>
      <c r="V37" s="2485" t="inlineStr">
        <is>
          <t>✅ Garder — FHSA</t>
        </is>
      </c>
      <c r="W37" s="2494" t="inlineStr">
        <is>
          <t>Core 🚀</t>
        </is>
      </c>
      <c r="X37" s="2487" t="inlineStr">
        <is>
          <t>GROWTH</t>
        </is>
      </c>
      <c r="Y37" s="2488" t="n">
        <v>1</v>
      </c>
      <c r="Z37" s="2489" t="n">
        <v>0</v>
      </c>
      <c r="AB37" s="2495" t="n">
        <v>0.7</v>
      </c>
      <c r="AC37" s="2491" t="inlineStr">
        <is>
          <t>40.0</t>
        </is>
      </c>
      <c r="AD37" s="2491" t="inlineStr">
        <is>
          <t>2025</t>
        </is>
      </c>
      <c r="AE37" s="2491" t="inlineStr">
        <is>
          <t>$280</t>
        </is>
      </c>
      <c r="AF37" s="2491" t="inlineStr">
        <is>
          <t>May 2026</t>
        </is>
      </c>
      <c r="AG37" s="2496">
        <f>IFERROR((280-I37)/I37,0)</f>
        <v/>
      </c>
    </row>
    <row r="38" ht="15.75" customHeight="1" s="1666">
      <c r="B38" s="2500" t="inlineStr">
        <is>
          <t>QQQM</t>
        </is>
      </c>
      <c r="C38" s="2416" t="inlineStr">
        <is>
          <t>Nasdaq 100</t>
        </is>
      </c>
      <c r="D38" s="2501" t="inlineStr">
        <is>
          <t>ETF</t>
        </is>
      </c>
      <c r="E38" s="1858" t="inlineStr">
        <is>
          <t>T2</t>
        </is>
      </c>
      <c r="F38" s="2501" t="n">
        <v>5.311</v>
      </c>
      <c r="G38" s="2502" t="n">
        <v>247.4064</v>
      </c>
      <c r="H38" s="2503" t="n">
        <v>247.4064</v>
      </c>
      <c r="I38" s="2503">
        <f>IFERROR(J38*CONFIG!B3,0)</f>
        <v/>
      </c>
      <c r="J38" s="2503">
        <f>IFERROR(VLOOKUP(B38,CONFIG!$F$6:$G$35,2,0),0)</f>
        <v/>
      </c>
      <c r="K38" s="2503" t="inlineStr">
        <is>
          <t>USD</t>
        </is>
      </c>
      <c r="L38" s="2504">
        <f>IF(G38&gt;0,G38*I38,0)</f>
        <v/>
      </c>
      <c r="M38" s="2505">
        <f>IF(H38&gt;0,(I38-H38)*G38,0)</f>
        <v/>
      </c>
      <c r="N38" s="2506">
        <f>IF(H38&gt;0,(I38-H38)/H38,0)</f>
        <v/>
      </c>
      <c r="O38" s="2507">
        <f>IF(L38&gt;0,L38/SUM(L8:L48),0)</f>
        <v/>
      </c>
      <c r="P38" s="2508" t="n">
        <v>0.0065</v>
      </c>
      <c r="Q38" s="2504">
        <f>IF(G38&gt;0,G38*I38*P38,0)</f>
        <v/>
      </c>
      <c r="R38" s="2509" t="n">
        <v>1.15</v>
      </c>
      <c r="S38" s="2510" t="n">
        <v>0.6</v>
      </c>
      <c r="T38" s="2511" t="n">
        <v>3000</v>
      </c>
      <c r="U38" s="2512" t="inlineStr">
        <is>
          <t>2026-03-09</t>
        </is>
      </c>
      <c r="V38" s="2513" t="inlineStr">
        <is>
          <t>✅ Garder — FHSA</t>
        </is>
      </c>
      <c r="W38" s="2518" t="inlineStr">
        <is>
          <t>Core 🌍</t>
        </is>
      </c>
      <c r="X38" s="2515" t="inlineStr">
        <is>
          <t>ETF</t>
        </is>
      </c>
      <c r="Y38" s="2488" t="n">
        <v>1</v>
      </c>
      <c r="Z38" s="2489" t="n">
        <v>0</v>
      </c>
      <c r="AB38" s="2490" t="n">
        <v>0.6</v>
      </c>
      <c r="AC38" s="2491" t="inlineStr">
        <is>
          <t>30.0</t>
        </is>
      </c>
      <c r="AD38" s="2491" t="inlineStr">
        <is>
          <t>2026-03-09</t>
        </is>
      </c>
      <c r="AE38" s="2491" t="inlineStr">
        <is>
          <t>$280</t>
        </is>
      </c>
      <c r="AF38" s="2491" t="inlineStr">
        <is>
          <t>—</t>
        </is>
      </c>
      <c r="AG38" s="2492">
        <f>IFERROR((280-I38)/I38,0)</f>
        <v/>
      </c>
    </row>
    <row r="39" ht="15.75" customHeight="1" s="1666">
      <c r="B39" s="2500" t="inlineStr">
        <is>
          <t>XEQT.TO</t>
        </is>
      </c>
      <c r="C39" s="2416" t="inlineStr">
        <is>
          <t>iShares Core Eq</t>
        </is>
      </c>
      <c r="D39" s="2501" t="inlineStr">
        <is>
          <t>ETF</t>
        </is>
      </c>
      <c r="E39" s="1858" t="inlineStr">
        <is>
          <t>T2</t>
        </is>
      </c>
      <c r="F39" s="2501" t="n">
        <v>15</v>
      </c>
      <c r="G39" s="2502" t="n">
        <v>40.06</v>
      </c>
      <c r="H39" s="2503" t="n">
        <v>40.06</v>
      </c>
      <c r="I39" s="2503">
        <f>IFERROR(VLOOKUP(B39,CONFIG!$F$6:$G$35,2,0),0)</f>
        <v/>
      </c>
      <c r="J39" s="2503">
        <f>IFERROR(I39/CONFIG!B3,0)</f>
        <v/>
      </c>
      <c r="K39" s="2503" t="inlineStr">
        <is>
          <t>CAD</t>
        </is>
      </c>
      <c r="L39" s="2504">
        <f>IF(G39&gt;0,G39*I39,0)</f>
        <v/>
      </c>
      <c r="M39" s="2505">
        <f>IF(H39&gt;0,(I39-H39)*G39,0)</f>
        <v/>
      </c>
      <c r="N39" s="2506">
        <f>IF(H39&gt;0,(I39-H39)/H39,0)</f>
        <v/>
      </c>
      <c r="O39" s="2507">
        <f>IF(L39&gt;0,L39/SUM(L8:L48),0)</f>
        <v/>
      </c>
      <c r="P39" s="2508" t="n">
        <v>0.021</v>
      </c>
      <c r="Q39" s="2504">
        <f>IF(G39&gt;0,G39*I39*P39,0)</f>
        <v/>
      </c>
      <c r="R39" s="2509" t="n">
        <v>0.95</v>
      </c>
      <c r="S39" s="2510" t="n">
        <v>0.2</v>
      </c>
      <c r="T39" s="2511" t="n">
        <v>2000</v>
      </c>
      <c r="U39" s="2512" t="inlineStr">
        <is>
          <t>2026-03-09</t>
        </is>
      </c>
      <c r="V39" s="2513" t="inlineStr">
        <is>
          <t>✅ Garder — FHSA</t>
        </is>
      </c>
      <c r="W39" s="2518" t="inlineStr">
        <is>
          <t>Core 🌍</t>
        </is>
      </c>
      <c r="X39" s="2515" t="inlineStr">
        <is>
          <t>ETF</t>
        </is>
      </c>
      <c r="Y39" s="2488" t="n">
        <v>1</v>
      </c>
      <c r="Z39" s="2489" t="n">
        <v>0</v>
      </c>
      <c r="AB39" s="2490" t="n">
        <v>0.3</v>
      </c>
      <c r="AC39" s="2491" t="inlineStr">
        <is>
          <t>18.0</t>
        </is>
      </c>
      <c r="AD39" s="2491" t="inlineStr">
        <is>
          <t>2026-03-09</t>
        </is>
      </c>
      <c r="AE39" s="2491" t="inlineStr">
        <is>
          <t>$45</t>
        </is>
      </c>
      <c r="AF39" s="2491" t="inlineStr">
        <is>
          <t>—</t>
        </is>
      </c>
      <c r="AG39" s="2496">
        <f>IFERROR((45-I39)/I39,0)</f>
        <v/>
      </c>
    </row>
    <row r="40" ht="15.75" customHeight="1" s="1666">
      <c r="B40" s="2519" t="inlineStr">
        <is>
          <t>TD.TO</t>
        </is>
      </c>
      <c r="C40" s="2428" t="inlineStr">
        <is>
          <t>TD Bank</t>
        </is>
      </c>
      <c r="D40" s="2520" t="inlineStr">
        <is>
          <t>Action</t>
        </is>
      </c>
      <c r="E40" s="2521" t="inlineStr">
        <is>
          <t>T3</t>
        </is>
      </c>
      <c r="F40" s="2520" t="n">
        <v>15</v>
      </c>
      <c r="G40" s="2522" t="n">
        <v>82.29000000000001</v>
      </c>
      <c r="H40" s="2523" t="n">
        <v>82.29000000000001</v>
      </c>
      <c r="I40" s="2523">
        <f>IFERROR(VLOOKUP(B40,CONFIG!$F$6:$G$35,2,0),0)</f>
        <v/>
      </c>
      <c r="J40" s="2523">
        <f>IFERROR(I40/CONFIG!B3,0)</f>
        <v/>
      </c>
      <c r="K40" s="2523" t="inlineStr">
        <is>
          <t>CAD</t>
        </is>
      </c>
      <c r="L40" s="2524">
        <f>IF(G40&gt;0,G40*I40,0)</f>
        <v/>
      </c>
      <c r="M40" s="2525">
        <f>IF(H40&gt;0,(I40-H40)*G40,0)</f>
        <v/>
      </c>
      <c r="N40" s="2526">
        <f>IF(H40&gt;0,(I40-H40)/H40,0)</f>
        <v/>
      </c>
      <c r="O40" s="2527">
        <f>IF(L40&gt;0,L40/SUM(L8:L48),0)</f>
        <v/>
      </c>
      <c r="P40" s="2528" t="n">
        <v>0.048</v>
      </c>
      <c r="Q40" s="2524">
        <f>IF(G40&gt;0,G40*I40*P40,0)</f>
        <v/>
      </c>
      <c r="R40" s="2529" t="n">
        <v>0.85</v>
      </c>
      <c r="S40" s="2530" t="n">
        <v>0.05</v>
      </c>
      <c r="T40" s="2531" t="n">
        <v>0</v>
      </c>
      <c r="U40" s="2532" t="inlineStr">
        <is>
          <t>2025</t>
        </is>
      </c>
      <c r="V40" s="2533" t="inlineStr">
        <is>
          <t>🔵 Ne plus acheter — FHSA</t>
        </is>
      </c>
      <c r="W40" s="2534" t="inlineStr">
        <is>
          <t>Satellite 🇨🇦</t>
        </is>
      </c>
      <c r="X40" s="2535" t="inlineStr">
        <is>
          <t>CAN_SAT</t>
        </is>
      </c>
      <c r="Y40" s="2517" t="n">
        <v>0</v>
      </c>
      <c r="Z40" s="2536" t="n">
        <v>1</v>
      </c>
      <c r="AB40" s="2498" t="n">
        <v>0.05</v>
      </c>
      <c r="AC40" s="2491" t="inlineStr">
        <is>
          <t>12.0</t>
        </is>
      </c>
      <c r="AD40" s="2491" t="inlineStr">
        <is>
          <t>2025</t>
        </is>
      </c>
      <c r="AE40" s="2491" t="inlineStr">
        <is>
          <t>$85</t>
        </is>
      </c>
      <c r="AF40" s="2491" t="inlineStr">
        <is>
          <t>May 2026</t>
        </is>
      </c>
      <c r="AG40" s="2492">
        <f>IFERROR((85-I40)/I40,0)</f>
        <v/>
      </c>
    </row>
    <row r="41" ht="15.75" customHeight="1" s="1666">
      <c r="B41" s="2519" t="inlineStr">
        <is>
          <t>H.TO</t>
        </is>
      </c>
      <c r="C41" s="2428" t="inlineStr">
        <is>
          <t>Hydro One</t>
        </is>
      </c>
      <c r="D41" s="2520" t="inlineStr">
        <is>
          <t>Action</t>
        </is>
      </c>
      <c r="E41" s="2521" t="inlineStr">
        <is>
          <t>T3</t>
        </is>
      </c>
      <c r="F41" s="2520" t="n">
        <v>10</v>
      </c>
      <c r="G41" s="2522" t="n">
        <v>51.78</v>
      </c>
      <c r="H41" s="2523" t="n">
        <v>51.78</v>
      </c>
      <c r="I41" s="2523">
        <f>IFERROR(VLOOKUP(B41,CONFIG!$F$6:$G$35,2,0),0)</f>
        <v/>
      </c>
      <c r="J41" s="2523">
        <f>IFERROR(I41/CONFIG!B3,0)</f>
        <v/>
      </c>
      <c r="K41" s="2523" t="inlineStr">
        <is>
          <t>CAD</t>
        </is>
      </c>
      <c r="L41" s="2524">
        <f>IF(G41&gt;0,G41*I41,0)</f>
        <v/>
      </c>
      <c r="M41" s="2525">
        <f>IF(H41&gt;0,(I41-H41)*G41,0)</f>
        <v/>
      </c>
      <c r="N41" s="2526">
        <f>IF(H41&gt;0,(I41-H41)/H41,0)</f>
        <v/>
      </c>
      <c r="O41" s="2527">
        <f>IF(L41&gt;0,L41/SUM(L8:L48),0)</f>
        <v/>
      </c>
      <c r="P41" s="2528" t="n">
        <v>0.032</v>
      </c>
      <c r="Q41" s="2524">
        <f>IF(G41&gt;0,G41*I41*P41,0)</f>
        <v/>
      </c>
      <c r="R41" s="2529" t="n">
        <v>0.35</v>
      </c>
      <c r="S41" s="2530" t="n">
        <v>0</v>
      </c>
      <c r="T41" s="2531" t="n">
        <v>2000</v>
      </c>
      <c r="U41" s="2532" t="inlineStr">
        <is>
          <t>2025</t>
        </is>
      </c>
      <c r="V41" s="2533" t="inlineStr">
        <is>
          <t>🔵 Garder — FHSA</t>
        </is>
      </c>
      <c r="W41" s="2534" t="inlineStr">
        <is>
          <t>Satellite 🇨🇦</t>
        </is>
      </c>
      <c r="X41" s="2535" t="inlineStr">
        <is>
          <t>CAN_SAT</t>
        </is>
      </c>
      <c r="Y41" s="2517" t="n">
        <v>0</v>
      </c>
      <c r="Z41" s="2536" t="n">
        <v>1</v>
      </c>
      <c r="AB41" s="2498" t="n">
        <v>0.05</v>
      </c>
      <c r="AC41" s="2491" t="inlineStr">
        <is>
          <t>22.0</t>
        </is>
      </c>
      <c r="AD41" s="2491" t="inlineStr">
        <is>
          <t>2025</t>
        </is>
      </c>
      <c r="AE41" s="2491" t="inlineStr">
        <is>
          <t>$65</t>
        </is>
      </c>
      <c r="AF41" s="2491" t="inlineStr">
        <is>
          <t>May 2026</t>
        </is>
      </c>
      <c r="AG41" s="2496">
        <f>IFERROR((65-I41)/I41,0)</f>
        <v/>
      </c>
    </row>
    <row r="42" ht="15.75" customHeight="1" s="1666">
      <c r="B42" s="2519" t="inlineStr">
        <is>
          <t>ZLB.TO</t>
        </is>
      </c>
      <c r="C42" s="2428" t="inlineStr">
        <is>
          <t>BMO Low Vol</t>
        </is>
      </c>
      <c r="D42" s="2520" t="inlineStr">
        <is>
          <t>ETF</t>
        </is>
      </c>
      <c r="E42" s="2521" t="inlineStr">
        <is>
          <t>T3</t>
        </is>
      </c>
      <c r="F42" s="2520" t="n">
        <v>3</v>
      </c>
      <c r="G42" s="2522" t="n">
        <v>59.0666</v>
      </c>
      <c r="H42" s="2523" t="n">
        <v>59.0666</v>
      </c>
      <c r="I42" s="2523">
        <f>IFERROR(VLOOKUP(B42,CONFIG!$F$6:$G$35,2,0),0)</f>
        <v/>
      </c>
      <c r="J42" s="2523">
        <f>IFERROR(I42/CONFIG!B3,0)</f>
        <v/>
      </c>
      <c r="K42" s="2523" t="inlineStr">
        <is>
          <t>CAD</t>
        </is>
      </c>
      <c r="L42" s="2524">
        <f>IF(G42&gt;0,G42*I42,0)</f>
        <v/>
      </c>
      <c r="M42" s="2525">
        <f>IF(H42&gt;0,(I42-H42)*G42,0)</f>
        <v/>
      </c>
      <c r="N42" s="2526">
        <f>IF(H42&gt;0,(I42-H42)/H42,0)</f>
        <v/>
      </c>
      <c r="O42" s="2527">
        <f>IF(L42&gt;0,L42/SUM(L8:L48),0)</f>
        <v/>
      </c>
      <c r="P42" s="2528" t="n">
        <v>0.025</v>
      </c>
      <c r="Q42" s="2524">
        <f>IF(G42&gt;0,G42*I42*P42,0)</f>
        <v/>
      </c>
      <c r="R42" s="2529" t="n">
        <v>0.6</v>
      </c>
      <c r="S42" s="2530" t="n">
        <v>0.05</v>
      </c>
      <c r="T42" s="2531" t="n">
        <v>2500</v>
      </c>
      <c r="U42" s="2532" t="inlineStr">
        <is>
          <t>2025</t>
        </is>
      </c>
      <c r="V42" s="2533" t="inlineStr">
        <is>
          <t>🔵 Garder — FHSA</t>
        </is>
      </c>
      <c r="W42" s="2534" t="inlineStr">
        <is>
          <t>Satellite 🇨🇦</t>
        </is>
      </c>
      <c r="X42" s="2535" t="inlineStr">
        <is>
          <t>CAN_SAT</t>
        </is>
      </c>
      <c r="Y42" s="2517" t="n">
        <v>0</v>
      </c>
      <c r="Z42" s="2536" t="n">
        <v>1</v>
      </c>
      <c r="AB42" s="2498" t="n">
        <v>0.05</v>
      </c>
      <c r="AC42" s="2491" t="inlineStr">
        <is>
          <t>16.0</t>
        </is>
      </c>
      <c r="AD42" s="2491" t="inlineStr">
        <is>
          <t>2025</t>
        </is>
      </c>
      <c r="AE42" s="2491" t="inlineStr">
        <is>
          <t>$62</t>
        </is>
      </c>
      <c r="AF42" s="2491" t="inlineStr">
        <is>
          <t>—</t>
        </is>
      </c>
      <c r="AG42" s="2492">
        <f>IFERROR((62-I42)/I42,0)</f>
        <v/>
      </c>
    </row>
    <row r="43" ht="15.75" customHeight="1" s="1666">
      <c r="B43" s="2539" t="inlineStr">
        <is>
          <t>SRU.UN.TO</t>
        </is>
      </c>
      <c r="C43" s="2440" t="inlineStr">
        <is>
          <t>SmartCentres</t>
        </is>
      </c>
      <c r="D43" s="2540" t="inlineStr">
        <is>
          <t>REIT</t>
        </is>
      </c>
      <c r="E43" s="2541" t="inlineStr">
        <is>
          <t>T4</t>
        </is>
      </c>
      <c r="F43" s="2540" t="n">
        <v>63</v>
      </c>
      <c r="G43" s="2542" t="n">
        <v>23.61</v>
      </c>
      <c r="H43" s="2543" t="n">
        <v>23.61</v>
      </c>
      <c r="I43" s="2543">
        <f>IFERROR(VLOOKUP(B43,CONFIG!$F$6:$G$35,2,0),0)</f>
        <v/>
      </c>
      <c r="J43" s="2543">
        <f>IFERROR(I43/CONFIG!B3,0)</f>
        <v/>
      </c>
      <c r="K43" s="2543" t="inlineStr">
        <is>
          <t>CAD</t>
        </is>
      </c>
      <c r="L43" s="2544">
        <f>IF(G43&gt;0,G43*I43,0)</f>
        <v/>
      </c>
      <c r="M43" s="2545">
        <f>IF(H43&gt;0,(I43-H43)*G43,0)</f>
        <v/>
      </c>
      <c r="N43" s="2546">
        <f>IF(H43&gt;0,(I43-H43)/H43,0)</f>
        <v/>
      </c>
      <c r="O43" s="2547">
        <f>IF(L43&gt;0,L43/SUM(L8:L48),0)</f>
        <v/>
      </c>
      <c r="P43" s="2548" t="n">
        <v>0.0718</v>
      </c>
      <c r="Q43" s="2544">
        <f>IF(G43&gt;0,G43*I43*P43,0)</f>
        <v/>
      </c>
      <c r="R43" s="2549" t="n">
        <v>0.9</v>
      </c>
      <c r="S43" s="2550" t="n">
        <v>0</v>
      </c>
      <c r="T43" s="2551" t="n">
        <v>3000</v>
      </c>
      <c r="U43" s="2552" t="inlineStr">
        <is>
          <t>2025</t>
        </is>
      </c>
      <c r="V43" s="2553" t="inlineStr">
        <is>
          <t>🔄 Diluer — FHSA</t>
        </is>
      </c>
      <c r="W43" s="2554" t="inlineStr">
        <is>
          <t>Satellite 🏢</t>
        </is>
      </c>
      <c r="X43" s="2555" t="inlineStr">
        <is>
          <t>REIT</t>
        </is>
      </c>
      <c r="Y43" s="2517" t="n">
        <v>0</v>
      </c>
      <c r="Z43" s="2536" t="n">
        <v>1</v>
      </c>
      <c r="AB43" s="2498" t="n">
        <v>0</v>
      </c>
      <c r="AC43" s="2491" t="inlineStr">
        <is>
          <t>—</t>
        </is>
      </c>
      <c r="AD43" s="2491" t="inlineStr">
        <is>
          <t>2025</t>
        </is>
      </c>
      <c r="AE43" s="2491" t="inlineStr">
        <is>
          <t>$30</t>
        </is>
      </c>
      <c r="AF43" s="2491" t="inlineStr">
        <is>
          <t>—</t>
        </is>
      </c>
      <c r="AG43" s="2496">
        <f>IFERROR((30-I43)/I43,0)</f>
        <v/>
      </c>
    </row>
    <row r="44" ht="15.75" customHeight="1" s="1666">
      <c r="B44" s="2539" t="inlineStr">
        <is>
          <t>REI.UN.TO</t>
        </is>
      </c>
      <c r="C44" s="2440" t="inlineStr">
        <is>
          <t>RioCan REIT</t>
        </is>
      </c>
      <c r="D44" s="2540" t="inlineStr">
        <is>
          <t>REIT</t>
        </is>
      </c>
      <c r="E44" s="2541" t="inlineStr">
        <is>
          <t>T4</t>
        </is>
      </c>
      <c r="F44" s="2540" t="n">
        <v>80</v>
      </c>
      <c r="G44" s="2542" t="n">
        <v>18.73</v>
      </c>
      <c r="H44" s="2543" t="n">
        <v>18.73</v>
      </c>
      <c r="I44" s="2543">
        <f>IFERROR(VLOOKUP(B44,CONFIG!$F$6:$G$35,2,0),0)</f>
        <v/>
      </c>
      <c r="J44" s="2543">
        <f>IFERROR(I44/CONFIG!B3,0)</f>
        <v/>
      </c>
      <c r="K44" s="2543" t="inlineStr">
        <is>
          <t>CAD</t>
        </is>
      </c>
      <c r="L44" s="2544">
        <f>IF(G44&gt;0,G44*I44,0)</f>
        <v/>
      </c>
      <c r="M44" s="2545">
        <f>IF(H44&gt;0,(I44-H44)*G44,0)</f>
        <v/>
      </c>
      <c r="N44" s="2546">
        <f>IF(H44&gt;0,(I44-H44)/H44,0)</f>
        <v/>
      </c>
      <c r="O44" s="2547">
        <f>IF(L44&gt;0,L44/SUM(L8:L48),0)</f>
        <v/>
      </c>
      <c r="P44" s="2548" t="n">
        <v>0.0587</v>
      </c>
      <c r="Q44" s="2544">
        <f>IF(G44&gt;0,G44*I44*P44,0)</f>
        <v/>
      </c>
      <c r="R44" s="2549" t="n">
        <v>0.85</v>
      </c>
      <c r="S44" s="2550" t="n">
        <v>0</v>
      </c>
      <c r="T44" s="2551" t="n">
        <v>7000</v>
      </c>
      <c r="U44" s="2552" t="inlineStr">
        <is>
          <t>2025</t>
        </is>
      </c>
      <c r="V44" s="2553" t="inlineStr">
        <is>
          <t>🔄 Diluer — FHSA</t>
        </is>
      </c>
      <c r="W44" s="2554" t="inlineStr">
        <is>
          <t>Satellite 🏢</t>
        </is>
      </c>
      <c r="X44" s="2555" t="inlineStr">
        <is>
          <t>REIT</t>
        </is>
      </c>
      <c r="Y44" s="2517" t="n">
        <v>0</v>
      </c>
      <c r="Z44" s="2536" t="n">
        <v>1</v>
      </c>
      <c r="AB44" s="2498" t="n">
        <v>0</v>
      </c>
      <c r="AC44" s="2491" t="inlineStr">
        <is>
          <t>—</t>
        </is>
      </c>
      <c r="AD44" s="2491" t="inlineStr">
        <is>
          <t>2025</t>
        </is>
      </c>
      <c r="AE44" s="2491" t="inlineStr">
        <is>
          <t>$22</t>
        </is>
      </c>
      <c r="AF44" s="2491" t="inlineStr">
        <is>
          <t>—</t>
        </is>
      </c>
      <c r="AG44" s="2492">
        <f>IFERROR((22-I44)/I44,0)</f>
        <v/>
      </c>
    </row>
    <row r="45" ht="15.75" customHeight="1" s="1666">
      <c r="B45" s="2539" t="inlineStr">
        <is>
          <t>XIC.TO</t>
        </is>
      </c>
      <c r="C45" s="2440" t="inlineStr">
        <is>
          <t>iShares TSX</t>
        </is>
      </c>
      <c r="D45" s="2540" t="inlineStr">
        <is>
          <t>ETF</t>
        </is>
      </c>
      <c r="E45" s="2541" t="inlineStr">
        <is>
          <t>T4</t>
        </is>
      </c>
      <c r="F45" s="2540" t="n">
        <v>19</v>
      </c>
      <c r="G45" s="2542" t="n">
        <v>48.3705</v>
      </c>
      <c r="H45" s="2543" t="n">
        <v>48.3705</v>
      </c>
      <c r="I45" s="2543">
        <f>IFERROR(VLOOKUP(B45,CONFIG!$F$6:$G$35,2,0),0)</f>
        <v/>
      </c>
      <c r="J45" s="2543">
        <f>IFERROR(I45/CONFIG!B3,0)</f>
        <v/>
      </c>
      <c r="K45" s="2543" t="inlineStr">
        <is>
          <t>CAD</t>
        </is>
      </c>
      <c r="L45" s="2544">
        <f>IF(G45&gt;0,G45*I45,0)</f>
        <v/>
      </c>
      <c r="M45" s="2545">
        <f>IF(H45&gt;0,(I45-H45)*G45,0)</f>
        <v/>
      </c>
      <c r="N45" s="2546">
        <f>IF(H45&gt;0,(I45-H45)/H45,0)</f>
        <v/>
      </c>
      <c r="O45" s="2547">
        <f>IF(L45&gt;0,L45/SUM(L8:L48),0)</f>
        <v/>
      </c>
      <c r="P45" s="2548" t="n">
        <v>0.028</v>
      </c>
      <c r="Q45" s="2544">
        <f>IF(G45&gt;0,G45*I45*P45,0)</f>
        <v/>
      </c>
      <c r="R45" s="2549" t="n">
        <v>0.95</v>
      </c>
      <c r="S45" s="2550" t="n">
        <v>0.1</v>
      </c>
      <c r="T45" s="2551" t="n">
        <v>0</v>
      </c>
      <c r="U45" s="2552" t="inlineStr">
        <is>
          <t>2025</t>
        </is>
      </c>
      <c r="V45" s="2553" t="inlineStr">
        <is>
          <t>🔄 Diluer — FHSA</t>
        </is>
      </c>
      <c r="W45" s="2556" t="inlineStr">
        <is>
          <t>Satellite 🇨🇦</t>
        </is>
      </c>
      <c r="X45" s="2555" t="inlineStr">
        <is>
          <t>CAN_SAT</t>
        </is>
      </c>
      <c r="Y45" s="2517" t="n">
        <v>0</v>
      </c>
      <c r="Z45" s="2536" t="n">
        <v>1</v>
      </c>
      <c r="AB45" s="2498" t="n">
        <v>0.2</v>
      </c>
      <c r="AC45" s="2491" t="inlineStr">
        <is>
          <t>—</t>
        </is>
      </c>
      <c r="AD45" s="2491" t="inlineStr">
        <is>
          <t>2026-03-09</t>
        </is>
      </c>
      <c r="AE45" s="2491" t="inlineStr">
        <is>
          <t>$58</t>
        </is>
      </c>
      <c r="AF45" s="2491" t="inlineStr">
        <is>
          <t>—</t>
        </is>
      </c>
      <c r="AG45" s="2496">
        <f>IFERROR((58-I45)/I45,0)</f>
        <v/>
      </c>
    </row>
    <row r="46" ht="15.75" customHeight="1" s="1666">
      <c r="B46" s="2539" t="inlineStr">
        <is>
          <t>XEI.TO</t>
        </is>
      </c>
      <c r="C46" s="2440" t="inlineStr">
        <is>
          <t>iShares High Div</t>
        </is>
      </c>
      <c r="D46" s="2540" t="inlineStr">
        <is>
          <t>ETF</t>
        </is>
      </c>
      <c r="E46" s="2541" t="inlineStr">
        <is>
          <t>T4</t>
        </is>
      </c>
      <c r="F46" s="2540" t="n">
        <v>26</v>
      </c>
      <c r="G46" s="2542" t="n">
        <v>32.6111</v>
      </c>
      <c r="H46" s="2543" t="n">
        <v>32.6111</v>
      </c>
      <c r="I46" s="2543">
        <f>IFERROR(VLOOKUP(B46,CONFIG!$F$6:$G$35,2,0),0)</f>
        <v/>
      </c>
      <c r="J46" s="2543">
        <f>IFERROR(I46/CONFIG!B3,0)</f>
        <v/>
      </c>
      <c r="K46" s="2543" t="inlineStr">
        <is>
          <t>CAD</t>
        </is>
      </c>
      <c r="L46" s="2544">
        <f>IF(G46&gt;0,G46*I46,0)</f>
        <v/>
      </c>
      <c r="M46" s="2545">
        <f>IF(H46&gt;0,(I46-H46)*G46,0)</f>
        <v/>
      </c>
      <c r="N46" s="2546">
        <f>IF(H46&gt;0,(I46-H46)/H46,0)</f>
        <v/>
      </c>
      <c r="O46" s="2547">
        <f>IF(L46&gt;0,L46/SUM(L8:L48),0)</f>
        <v/>
      </c>
      <c r="P46" s="2548" t="n">
        <v>0.049</v>
      </c>
      <c r="Q46" s="2544">
        <f>IF(G46&gt;0,G46*I46*P46,0)</f>
        <v/>
      </c>
      <c r="R46" s="2549" t="n">
        <v>0.8</v>
      </c>
      <c r="S46" s="2550" t="n">
        <v>0</v>
      </c>
      <c r="T46" s="2551" t="n">
        <v>0</v>
      </c>
      <c r="U46" s="2552" t="inlineStr">
        <is>
          <t>2025</t>
        </is>
      </c>
      <c r="V46" s="2553" t="inlineStr">
        <is>
          <t>🔄 Diluer — FHSA</t>
        </is>
      </c>
      <c r="W46" s="2554" t="inlineStr">
        <is>
          <t>Satellite 🏢</t>
        </is>
      </c>
      <c r="X46" s="2555" t="inlineStr">
        <is>
          <t>REIT</t>
        </is>
      </c>
      <c r="Y46" s="2517" t="n">
        <v>0</v>
      </c>
      <c r="Z46" s="2536" t="n">
        <v>1</v>
      </c>
      <c r="AB46" s="2498" t="n">
        <v>0.05</v>
      </c>
      <c r="AC46" s="2491" t="inlineStr">
        <is>
          <t>—</t>
        </is>
      </c>
      <c r="AD46" s="2491" t="inlineStr">
        <is>
          <t>2026-03-09</t>
        </is>
      </c>
      <c r="AE46" s="2491" t="inlineStr">
        <is>
          <t>$38</t>
        </is>
      </c>
      <c r="AF46" s="2491" t="inlineStr">
        <is>
          <t>—</t>
        </is>
      </c>
      <c r="AG46" s="2492">
        <f>IFERROR((38-I46)/I46,0)</f>
        <v/>
      </c>
    </row>
    <row r="47" ht="15.75" customHeight="1" s="1666">
      <c r="B47" s="2493" t="inlineStr">
        <is>
          <t>SCHD</t>
        </is>
      </c>
      <c r="C47" s="2404" t="inlineStr">
        <is>
          <t>Schwab US Div</t>
        </is>
      </c>
      <c r="D47" s="2472" t="inlineStr">
        <is>
          <t>ETF</t>
        </is>
      </c>
      <c r="E47" s="2473" t="inlineStr">
        <is>
          <t>T1</t>
        </is>
      </c>
      <c r="F47" s="2472" t="n">
        <v>64.3053</v>
      </c>
      <c r="G47" s="2474" t="n">
        <v>25.5008</v>
      </c>
      <c r="H47" s="2475" t="n">
        <v>25.5008</v>
      </c>
      <c r="I47" s="2475">
        <f>IFERROR(J47*CONFIG!B3,0)</f>
        <v/>
      </c>
      <c r="J47" s="2475">
        <f>IFERROR(VLOOKUP(B47,CONFIG!$F$6:$G$35,2,0),0)</f>
        <v/>
      </c>
      <c r="K47" s="2475" t="inlineStr">
        <is>
          <t>USD</t>
        </is>
      </c>
      <c r="L47" s="2476">
        <f>IF(G47&gt;0,G47*I47,0)</f>
        <v/>
      </c>
      <c r="M47" s="2477">
        <f>IF(H47&gt;0,(I47-H47)*G47,0)</f>
        <v/>
      </c>
      <c r="N47" s="2478">
        <f>IF(H47&gt;0,(I47-H47)/H47,0)</f>
        <v/>
      </c>
      <c r="O47" s="2479">
        <f>IF(L47&gt;0,L47/SUM(L8:L48),0)</f>
        <v/>
      </c>
      <c r="P47" s="2480" t="n">
        <v>0.0352</v>
      </c>
      <c r="Q47" s="2476">
        <f>IF(G47&gt;0,G47*I47*P47,0)</f>
        <v/>
      </c>
      <c r="R47" s="2481" t="n">
        <v>0.75</v>
      </c>
      <c r="S47" s="2482" t="n">
        <v>0.1</v>
      </c>
      <c r="T47" s="2483" t="n">
        <v>15000</v>
      </c>
      <c r="U47" s="2484" t="inlineStr">
        <is>
          <t>2026-03-09</t>
        </is>
      </c>
      <c r="V47" s="2485" t="inlineStr">
        <is>
          <t>✅ Auto $2,000/mois — snowball fiscal</t>
        </is>
      </c>
      <c r="W47" s="2558" t="inlineStr">
        <is>
          <t>Core 💰</t>
        </is>
      </c>
      <c r="X47" s="2487" t="inlineStr">
        <is>
          <t>INCOME</t>
        </is>
      </c>
      <c r="Y47" s="2488" t="n">
        <v>1</v>
      </c>
      <c r="Z47" s="2489" t="n">
        <v>0</v>
      </c>
      <c r="AB47" s="2498" t="n">
        <v>0.15</v>
      </c>
    </row>
    <row r="48" ht="15.75" customHeight="1" s="1666">
      <c r="B48" s="2500" t="inlineStr">
        <is>
          <t>JEPI</t>
        </is>
      </c>
      <c r="C48" s="2416" t="inlineStr">
        <is>
          <t>JPMorgan Income</t>
        </is>
      </c>
      <c r="D48" s="2501" t="inlineStr">
        <is>
          <t>ETF</t>
        </is>
      </c>
      <c r="E48" s="1858" t="inlineStr">
        <is>
          <t>T2</t>
        </is>
      </c>
      <c r="F48" s="2501" t="n">
        <v>1</v>
      </c>
      <c r="G48" s="2502" t="n">
        <v>54.52</v>
      </c>
      <c r="H48" s="2503" t="n">
        <v>54.52</v>
      </c>
      <c r="I48" s="2503">
        <f>IFERROR(J48*CONFIG!B3,0)</f>
        <v/>
      </c>
      <c r="J48" s="2503">
        <f>IFERROR(VLOOKUP(B48,CONFIG!$F$6:$G$35,2,0),0)</f>
        <v/>
      </c>
      <c r="K48" s="2503" t="inlineStr">
        <is>
          <t>USD</t>
        </is>
      </c>
      <c r="L48" s="2504">
        <f>IF(G48&gt;0,G48*I48,0)</f>
        <v/>
      </c>
      <c r="M48" s="2505">
        <f>IF(H48&gt;0,(I48-H48)*G48,0)</f>
        <v/>
      </c>
      <c r="N48" s="2506">
        <f>IF(H48&gt;0,(I48-H48)/H48,0)</f>
        <v/>
      </c>
      <c r="O48" s="2507">
        <f>IF(L48&gt;0,L48/SUM(L8:L48),0)</f>
        <v/>
      </c>
      <c r="P48" s="2508" t="n">
        <v>0.08119999999999999</v>
      </c>
      <c r="Q48" s="2504">
        <f>IF(G48&gt;0,G48*I48*P48,0)</f>
        <v/>
      </c>
      <c r="R48" s="2509" t="n">
        <v>0.5</v>
      </c>
      <c r="S48" s="2510" t="n">
        <v>0.2</v>
      </c>
      <c r="T48" s="2511" t="n">
        <v>2000</v>
      </c>
      <c r="U48" s="2512" t="inlineStr">
        <is>
          <t>2025</t>
        </is>
      </c>
      <c r="V48" s="2513" t="inlineStr">
        <is>
          <t>✅ Garder — revenu mensuel REER</t>
        </is>
      </c>
      <c r="W48" s="2559" t="inlineStr">
        <is>
          <t>Core 💰</t>
        </is>
      </c>
      <c r="X48" s="2515" t="inlineStr">
        <is>
          <t>INCOME</t>
        </is>
      </c>
      <c r="Y48" s="2488" t="n">
        <v>1</v>
      </c>
      <c r="Z48" s="2489" t="n">
        <v>0</v>
      </c>
      <c r="AB48" s="2498" t="n">
        <v>0.1</v>
      </c>
    </row>
    <row r="49" ht="24" customHeight="1" s="1666">
      <c r="B49" s="2560" t="n"/>
      <c r="C49" s="2561" t="n"/>
      <c r="D49" s="2562" t="n"/>
      <c r="E49" s="2563" t="n"/>
      <c r="F49" s="2564" t="n"/>
      <c r="G49" s="2565" t="n"/>
      <c r="H49" s="2566" t="n"/>
      <c r="I49" s="2567" t="n"/>
      <c r="J49" s="2568" t="n"/>
      <c r="K49" s="2569" t="n"/>
      <c r="L49" s="2570" t="n"/>
      <c r="M49" s="2571" t="n"/>
      <c r="N49" s="2572" t="n"/>
      <c r="O49" s="2573" t="n"/>
      <c r="P49" s="2574" t="n"/>
      <c r="Q49" s="2575" t="n"/>
      <c r="R49" s="2576" t="n"/>
      <c r="S49" s="2577" t="n"/>
      <c r="T49" s="2361" t="n"/>
      <c r="U49" s="2361" t="n"/>
      <c r="V49" s="2361" t="n"/>
      <c r="W49" s="2578" t="n"/>
      <c r="X49" s="2361" t="n"/>
    </row>
    <row r="50" ht="19.5" customHeight="1" s="1666">
      <c r="A50" s="2579" t="n"/>
      <c r="B50" s="2580" t="inlineStr">
        <is>
          <t>◼  GRAND TOTAL — SUBTOTAL s'adapte aux filtres</t>
        </is>
      </c>
      <c r="C50" s="2580" t="n"/>
      <c r="D50" s="2581" t="n"/>
      <c r="E50" s="2581" t="n"/>
      <c r="F50" s="2581" t="n"/>
      <c r="G50" s="2581" t="n"/>
      <c r="H50" s="2582" t="n"/>
      <c r="I50" s="2582" t="n"/>
      <c r="J50" s="2582" t="n"/>
      <c r="K50" s="2581" t="n"/>
      <c r="L50" s="2583">
        <f>SUBTOTAL(9,L8:L48)</f>
        <v/>
      </c>
      <c r="M50" s="2584">
        <f>SUBTOTAL(9,M8:M48)</f>
        <v/>
      </c>
      <c r="N50" s="2585" t="n"/>
      <c r="O50" s="2586">
        <f>1</f>
        <v/>
      </c>
      <c r="P50" s="2587" t="n"/>
      <c r="Q50" s="2583">
        <f>SUBTOTAL(9,Q8:Q48)</f>
        <v/>
      </c>
      <c r="R50" s="2581" t="n"/>
      <c r="S50" s="2588" t="n"/>
      <c r="T50" s="2589" t="n"/>
      <c r="U50" s="2589" t="n"/>
      <c r="V50" s="2589" t="n"/>
      <c r="AB50" s="2498" t="n">
        <v>0</v>
      </c>
    </row>
    <row r="51" ht="7.5" customHeight="1" s="1666">
      <c r="B51" s="2590" t="n"/>
      <c r="C51" s="2591" t="n"/>
      <c r="D51" s="2591" t="n"/>
      <c r="E51" s="2591" t="n"/>
      <c r="F51" s="2591" t="n"/>
      <c r="G51" s="2591" t="n"/>
      <c r="H51" s="2592" t="n"/>
      <c r="I51" s="2591" t="n"/>
      <c r="J51" s="2591" t="n"/>
      <c r="K51" s="2591" t="n"/>
      <c r="L51" s="2593" t="n"/>
      <c r="M51" s="2593" t="n"/>
      <c r="N51" s="2593" t="n"/>
      <c r="O51" s="2594" t="n"/>
      <c r="P51" s="2595" t="n"/>
      <c r="Q51" s="2591" t="n"/>
      <c r="R51" s="2593" t="n"/>
      <c r="S51" s="2591" t="n"/>
      <c r="T51" s="2361" t="n"/>
      <c r="U51" s="2361" t="n"/>
      <c r="V51" s="2361" t="n"/>
    </row>
    <row r="52" ht="15.75" customHeight="1" s="1666">
      <c r="B52" s="2453" t="inlineStr">
        <is>
          <t>⚡  EXPOSITION IA PONDÉRÉE</t>
        </is>
      </c>
      <c r="C52" s="2596" t="n"/>
      <c r="D52" s="2454" t="n"/>
      <c r="E52" s="2454" t="n"/>
      <c r="F52" s="2454" t="n"/>
      <c r="G52" s="2454" t="n"/>
      <c r="H52" s="2597" t="n"/>
      <c r="I52" s="2597" t="n"/>
      <c r="J52" s="2597" t="n"/>
      <c r="K52" s="2454" t="n"/>
      <c r="L52" s="2455" t="n"/>
      <c r="M52" s="2598" t="n"/>
      <c r="N52" s="2599" t="n"/>
      <c r="O52" s="2600" t="n"/>
      <c r="P52" s="2601" t="n"/>
      <c r="Q52" s="2455" t="n"/>
      <c r="R52" s="2454" t="n"/>
      <c r="S52" s="2602">
        <f>IFERROR(SUMPRODUCT(L8:L48,S8:S48)/SUBTOTAL(9,L8:L48),0)</f>
        <v/>
      </c>
      <c r="T52" s="2363" t="n"/>
      <c r="U52" s="2363" t="n"/>
      <c r="V52" s="2363" t="n"/>
      <c r="AB52" s="2498" t="n">
        <v>0</v>
      </c>
    </row>
    <row r="53" ht="15.75" customHeight="1" s="1666">
      <c r="B53" s="2456" t="inlineStr">
        <is>
          <t>📊  BETA MOYEN PONDÉRÉ</t>
        </is>
      </c>
      <c r="C53" s="2603" t="n"/>
      <c r="D53" s="2457" t="n"/>
      <c r="E53" s="2457" t="n"/>
      <c r="F53" s="2457" t="n"/>
      <c r="G53" s="2457" t="n"/>
      <c r="H53" s="2604" t="n"/>
      <c r="I53" s="2604" t="n"/>
      <c r="J53" s="2604" t="n"/>
      <c r="K53" s="2457" t="n"/>
      <c r="L53" s="2458" t="n"/>
      <c r="M53" s="2605" t="n"/>
      <c r="N53" s="2606" t="n"/>
      <c r="O53" s="2607" t="n"/>
      <c r="P53" s="2608" t="n"/>
      <c r="Q53" s="2458" t="n"/>
      <c r="R53" s="2609">
        <f>IFERROR(SUMPRODUCT(L8:L48,R8:R48)/SUBTOTAL(9,L8:L48),0)</f>
        <v/>
      </c>
      <c r="S53" s="2610" t="n"/>
      <c r="T53" s="2364" t="n"/>
      <c r="U53" s="2364" t="n"/>
      <c r="V53" s="2364" t="n"/>
      <c r="AB53" s="2498" t="n">
        <v>0</v>
      </c>
    </row>
    <row r="54" ht="15.75" customHeight="1" s="1666">
      <c r="B54" s="2453" t="inlineStr">
        <is>
          <t>💰  DIVIDENDES ESTIMÉS /AN CAD</t>
        </is>
      </c>
      <c r="C54" s="2596" t="n"/>
      <c r="D54" s="2454" t="n"/>
      <c r="E54" s="2454" t="n"/>
      <c r="F54" s="2454" t="n"/>
      <c r="G54" s="2454" t="n"/>
      <c r="H54" s="2597" t="n"/>
      <c r="I54" s="2597" t="n"/>
      <c r="J54" s="2597" t="n"/>
      <c r="K54" s="2454" t="n"/>
      <c r="L54" s="2455" t="n"/>
      <c r="M54" s="2598" t="n"/>
      <c r="N54" s="2599" t="n"/>
      <c r="O54" s="2600" t="n"/>
      <c r="P54" s="2601" t="n"/>
      <c r="Q54" s="2455">
        <f>Q50</f>
        <v/>
      </c>
      <c r="R54" s="2454" t="n"/>
      <c r="S54" s="2602" t="n"/>
      <c r="T54" s="2405" t="n"/>
      <c r="U54" s="2405" t="n"/>
      <c r="V54" s="2405" t="n"/>
      <c r="AB54" s="2498" t="n">
        <v>0</v>
      </c>
    </row>
    <row r="55" ht="15.75" customHeight="1" s="1666">
      <c r="B55" s="2456" t="inlineStr">
        <is>
          <t>TIER</t>
        </is>
      </c>
      <c r="C55" s="2603" t="inlineStr">
        <is>
          <t>VALEUR CAD</t>
        </is>
      </c>
      <c r="D55" s="2457" t="inlineStr">
        <is>
          <t>VALEUR USD</t>
        </is>
      </c>
      <c r="E55" s="2457" t="inlineStr">
        <is>
          <t>% PORTFOLIO</t>
        </is>
      </c>
      <c r="F55" s="2457" t="inlineStr">
        <is>
          <t>NB POS.</t>
        </is>
      </c>
      <c r="G55" s="2457" t="inlineStr">
        <is>
          <t>REV.DIV/AN CAD</t>
        </is>
      </c>
      <c r="H55" s="2604" t="n"/>
      <c r="I55" s="2604" t="n"/>
      <c r="J55" s="2604" t="n"/>
      <c r="K55" s="2457" t="n"/>
      <c r="L55" s="2458" t="n"/>
      <c r="M55" s="2605" t="n"/>
      <c r="N55" s="2606" t="n"/>
      <c r="O55" s="2607" t="n"/>
      <c r="P55" s="2608" t="n"/>
      <c r="Q55" s="2458" t="n"/>
      <c r="R55" s="2457" t="n"/>
      <c r="S55" s="2610" t="n"/>
      <c r="AB55" s="2498" t="n">
        <v>0</v>
      </c>
    </row>
    <row r="56" ht="15.75" customHeight="1" s="1666">
      <c r="B56" s="2453" t="inlineStr">
        <is>
          <t>💡  COLONNES JAUNES = saisir  ·  BLEUES = calculées  ·  Yields/Beta à jour 9 mars 2026</t>
        </is>
      </c>
      <c r="C56" s="2596" t="n"/>
      <c r="D56" s="2454" t="n"/>
      <c r="E56" s="2454" t="n"/>
      <c r="F56" s="2454" t="n"/>
      <c r="G56" s="2454" t="n"/>
      <c r="H56" s="2597" t="n"/>
      <c r="I56" s="2597" t="n"/>
      <c r="J56" s="2597" t="n"/>
      <c r="K56" s="2454" t="n"/>
      <c r="L56" s="2455" t="n"/>
      <c r="M56" s="2598" t="n"/>
      <c r="N56" s="2599" t="n"/>
      <c r="O56" s="2600" t="n"/>
      <c r="P56" s="2601" t="n"/>
      <c r="Q56" s="2455" t="n"/>
      <c r="R56" s="2454" t="n"/>
      <c r="S56" s="2602" t="n"/>
      <c r="T56" s="2363" t="n"/>
      <c r="U56" s="2363" t="n"/>
      <c r="V56" s="2363" t="n"/>
      <c r="AB56" s="2498" t="n">
        <v>0</v>
      </c>
    </row>
    <row r="57" ht="15.75" customHeight="1" s="1666">
      <c r="B57" s="2456" t="inlineStr">
        <is>
          <t>T2</t>
        </is>
      </c>
      <c r="C57" s="2611">
        <f>'📈 PORTEFEUILLE'!L71</f>
        <v/>
      </c>
      <c r="D57" s="2458">
        <f>'📈 PORTEFEUILLE'!M71</f>
        <v/>
      </c>
      <c r="E57" s="2607">
        <f>IF('📈 PORTEFEUILLE'!L67&gt;0,'📈 PORTEFEUILLE'!L71/'📈 PORTEFEUILLE'!L67,0)</f>
        <v/>
      </c>
      <c r="F57" s="2612">
        <f>COUNTIFS('📈 PORTEFEUILLE'!E14:E64,"T2",'📈 PORTEFEUILLE'!G14:G64,"&gt;0")</f>
        <v/>
      </c>
      <c r="G57" s="2458">
        <f>SUMIF(E9:E50,"T2",R9:R50)</f>
        <v/>
      </c>
      <c r="H57" s="2604" t="n"/>
      <c r="I57" s="2604" t="n"/>
      <c r="J57" s="2604" t="n"/>
      <c r="K57" s="2457" t="n"/>
      <c r="L57" s="2458" t="n"/>
      <c r="M57" s="2605" t="n"/>
      <c r="N57" s="2606" t="n"/>
      <c r="O57" s="2607" t="n"/>
      <c r="P57" s="2608" t="n"/>
      <c r="Q57" s="2458" t="n"/>
      <c r="R57" s="2457" t="n"/>
      <c r="S57" s="2610" t="n"/>
      <c r="AB57" s="2498" t="n">
        <v>0</v>
      </c>
    </row>
    <row r="58" ht="15.75" customHeight="1" s="1666">
      <c r="B58" s="2453" t="inlineStr">
        <is>
          <t>T3</t>
        </is>
      </c>
      <c r="C58" s="2613">
        <f>'📈 PORTEFEUILLE'!L72</f>
        <v/>
      </c>
      <c r="D58" s="2455">
        <f>'📈 PORTEFEUILLE'!M72</f>
        <v/>
      </c>
      <c r="E58" s="2600">
        <f>IF('📈 PORTEFEUILLE'!L67&gt;0,'📈 PORTEFEUILLE'!L72/'📈 PORTEFEUILLE'!L67,0)</f>
        <v/>
      </c>
      <c r="F58" s="2614">
        <f>COUNTIFS('📈 PORTEFEUILLE'!E14:E64,"T3",'📈 PORTEFEUILLE'!G14:G64,"&gt;0")</f>
        <v/>
      </c>
      <c r="G58" s="2455">
        <f>SUMIF(E9:E50,"T3",R9:R50)</f>
        <v/>
      </c>
      <c r="H58" s="2597" t="n"/>
      <c r="I58" s="2597" t="n"/>
      <c r="J58" s="2597" t="n"/>
      <c r="K58" s="2454" t="n"/>
      <c r="L58" s="2455" t="n"/>
      <c r="M58" s="2598" t="n"/>
      <c r="N58" s="2599" t="n"/>
      <c r="O58" s="2600" t="n"/>
      <c r="P58" s="2601" t="n"/>
      <c r="Q58" s="2455" t="n"/>
      <c r="R58" s="2454" t="n"/>
      <c r="S58" s="2602" t="n"/>
      <c r="AB58" s="2498" t="n">
        <v>0</v>
      </c>
    </row>
    <row r="59" ht="15.75" customHeight="1" s="1666">
      <c r="B59" s="2456" t="inlineStr">
        <is>
          <t>T4</t>
        </is>
      </c>
      <c r="C59" s="2611">
        <f>'📈 PORTEFEUILLE'!L73</f>
        <v/>
      </c>
      <c r="D59" s="2458">
        <f>'📈 PORTEFEUILLE'!M73</f>
        <v/>
      </c>
      <c r="E59" s="2607">
        <f>IF('📈 PORTEFEUILLE'!L67&gt;0,'📈 PORTEFEUILLE'!L73/'📈 PORTEFEUILLE'!L67,0)</f>
        <v/>
      </c>
      <c r="F59" s="2612">
        <f>COUNTIFS('📈 PORTEFEUILLE'!E14:E64,"T4",'📈 PORTEFEUILLE'!G14:G64,"&gt;0")</f>
        <v/>
      </c>
      <c r="G59" s="2458">
        <f>SUMIF(E9:E50,"T4",R9:R50)</f>
        <v/>
      </c>
      <c r="H59" s="2604" t="n"/>
      <c r="I59" s="2604" t="n"/>
      <c r="J59" s="2604" t="n"/>
      <c r="K59" s="2457" t="n"/>
      <c r="L59" s="2458" t="n"/>
      <c r="M59" s="2605" t="n"/>
      <c r="N59" s="2606" t="n"/>
      <c r="O59" s="2607" t="n"/>
      <c r="P59" s="2608" t="n"/>
      <c r="Q59" s="2458" t="n"/>
      <c r="R59" s="2457" t="n"/>
      <c r="S59" s="2610" t="n"/>
      <c r="AB59" s="2498" t="n">
        <v>0</v>
      </c>
    </row>
    <row r="60" ht="15.75" customHeight="1" s="1666">
      <c r="B60" s="2453" t="inlineStr">
        <is>
          <t>T5</t>
        </is>
      </c>
      <c r="C60" s="2613">
        <f>'📈 PORTEFEUILLE'!L74</f>
        <v/>
      </c>
      <c r="D60" s="2455">
        <f>'📈 PORTEFEUILLE'!M74</f>
        <v/>
      </c>
      <c r="E60" s="2600">
        <f>IF('📈 PORTEFEUILLE'!L67&gt;0,'📈 PORTEFEUILLE'!L74/'📈 PORTEFEUILLE'!L67,0)</f>
        <v/>
      </c>
      <c r="F60" s="2614">
        <f>COUNTIFS('📈 PORTEFEUILLE'!E14:E64,"T5",'📈 PORTEFEUILLE'!G14:G64,"&gt;0")</f>
        <v/>
      </c>
      <c r="G60" s="2455">
        <f>SUMIF(E9:E50,"T5",R9:R50)</f>
        <v/>
      </c>
      <c r="H60" s="2597" t="n"/>
      <c r="I60" s="2597" t="n"/>
      <c r="J60" s="2597" t="n"/>
      <c r="K60" s="2454" t="n"/>
      <c r="L60" s="2455" t="n"/>
      <c r="M60" s="2598" t="n"/>
      <c r="N60" s="2599" t="n"/>
      <c r="O60" s="2600" t="n"/>
      <c r="P60" s="2601" t="n"/>
      <c r="Q60" s="2455" t="n"/>
      <c r="R60" s="2454" t="n"/>
      <c r="S60" s="2602" t="n"/>
      <c r="AB60" s="2498" t="n">
        <v>0</v>
      </c>
    </row>
    <row r="61" ht="15.75" customHeight="1" s="1666"/>
    <row r="62" ht="15.75" customHeight="1" s="1666"/>
    <row r="63" ht="15.75" customHeight="1" s="1666">
      <c r="B63" s="2456" t="inlineStr">
        <is>
          <t>💰 REVENUS PASSIFS DIVIDENDES</t>
        </is>
      </c>
      <c r="C63" s="2603" t="n"/>
      <c r="D63" s="2457" t="n"/>
      <c r="E63" s="2457" t="n"/>
      <c r="F63" s="2457" t="n"/>
      <c r="G63" s="2457" t="n"/>
      <c r="H63" s="2604" t="n"/>
      <c r="I63" s="2604" t="n"/>
      <c r="J63" s="2604" t="n"/>
      <c r="K63" s="2457" t="n"/>
      <c r="L63" s="2458" t="n"/>
      <c r="M63" s="2605" t="n"/>
      <c r="N63" s="2606" t="n"/>
      <c r="O63" s="2607" t="n"/>
      <c r="P63" s="2608" t="n"/>
      <c r="Q63" s="2458" t="n"/>
      <c r="R63" s="2457" t="n"/>
      <c r="S63" s="2610" t="n"/>
      <c r="AB63" s="2498" t="n">
        <v>0</v>
      </c>
    </row>
    <row r="64" ht="15.75" customHeight="1" s="1666">
      <c r="B64" s="2453" t="inlineStr">
        <is>
          <t>Revenu total /an (CAD)</t>
        </is>
      </c>
      <c r="C64" s="2613">
        <f>SUM(R9:R50)</f>
        <v/>
      </c>
      <c r="D64" s="2454" t="n"/>
      <c r="E64" s="2454" t="n"/>
      <c r="F64" s="2454" t="n"/>
      <c r="G64" s="2454" t="n"/>
      <c r="H64" s="2597" t="n"/>
      <c r="I64" s="2597" t="n"/>
      <c r="J64" s="2597" t="n"/>
      <c r="K64" s="2454" t="n"/>
      <c r="L64" s="2455" t="n"/>
      <c r="M64" s="2598" t="n"/>
      <c r="N64" s="2599" t="n"/>
      <c r="O64" s="2600" t="n"/>
      <c r="P64" s="2601" t="n"/>
      <c r="Q64" s="2455" t="n"/>
      <c r="R64" s="2454" t="n"/>
      <c r="S64" s="2602" t="n"/>
      <c r="AB64" s="2498" t="n">
        <v>0</v>
      </c>
    </row>
    <row r="65" ht="15.75" customHeight="1" s="1666">
      <c r="B65" s="2456" t="inlineStr">
        <is>
          <t>Revenu total /mois (CAD)</t>
        </is>
      </c>
      <c r="C65" s="2611">
        <f>IFERROR(C64/12,0)</f>
        <v/>
      </c>
      <c r="D65" s="2457" t="n"/>
      <c r="E65" s="2457" t="n"/>
      <c r="F65" s="2457" t="n"/>
      <c r="G65" s="2457" t="n"/>
      <c r="H65" s="2604" t="n"/>
      <c r="I65" s="2604" t="n"/>
      <c r="J65" s="2604" t="n"/>
      <c r="K65" s="2457" t="n"/>
      <c r="L65" s="2458" t="n"/>
      <c r="M65" s="2605" t="n"/>
      <c r="N65" s="2606" t="n"/>
      <c r="O65" s="2607" t="n"/>
      <c r="P65" s="2608" t="n"/>
      <c r="Q65" s="2458" t="n"/>
      <c r="R65" s="2457" t="n"/>
      <c r="S65" s="2610" t="n"/>
      <c r="AB65" s="2498" t="n">
        <v>0</v>
      </c>
    </row>
    <row r="66" ht="15.75" customHeight="1" s="1666">
      <c r="B66" s="2453" t="inlineStr">
        <is>
          <t>Yield moyen du portfolio</t>
        </is>
      </c>
      <c r="C66" s="2615">
        <f>IF('📈 PORTEFEUILLE'!L67&gt;0,C64/'📈 PORTEFEUILLE'!L67,0)</f>
        <v/>
      </c>
      <c r="D66" s="2454" t="n"/>
      <c r="E66" s="2454" t="n"/>
      <c r="F66" s="2454" t="n"/>
      <c r="G66" s="2454" t="n"/>
      <c r="H66" s="2597" t="n"/>
      <c r="I66" s="2597" t="n"/>
      <c r="J66" s="2597" t="n"/>
      <c r="K66" s="2454" t="n"/>
      <c r="L66" s="2455" t="n"/>
      <c r="M66" s="2598" t="n"/>
      <c r="N66" s="2599" t="n"/>
      <c r="O66" s="2600" t="n"/>
      <c r="P66" s="2601" t="n"/>
      <c r="Q66" s="2455" t="n"/>
      <c r="R66" s="2454" t="n"/>
      <c r="S66" s="2602" t="n"/>
      <c r="AB66" s="2498" t="n">
        <v>0</v>
      </c>
    </row>
    <row r="67" ht="15.75" customHeight="1" s="1666">
      <c r="B67" s="2456" t="inlineStr">
        <is>
          <t>Cible revenu /an (retraite $7K/mois)</t>
        </is>
      </c>
      <c r="C67" s="2611" t="n">
        <v>84000</v>
      </c>
      <c r="D67" s="2457" t="n"/>
      <c r="E67" s="2457" t="n"/>
      <c r="F67" s="2457" t="n"/>
      <c r="G67" s="2457" t="n"/>
      <c r="H67" s="2604" t="n"/>
      <c r="I67" s="2604" t="n"/>
      <c r="J67" s="2604" t="n"/>
      <c r="K67" s="2457" t="n"/>
      <c r="L67" s="2458" t="n"/>
      <c r="M67" s="2605" t="n"/>
      <c r="N67" s="2606" t="n"/>
      <c r="O67" s="2607" t="n"/>
      <c r="P67" s="2608" t="n"/>
      <c r="Q67" s="2458" t="n"/>
      <c r="R67" s="2457" t="n"/>
      <c r="S67" s="2610" t="n"/>
      <c r="AB67" s="2498" t="n">
        <v>0</v>
      </c>
    </row>
    <row r="68" ht="15.75" customHeight="1" s="1666">
      <c r="B68" s="2453" t="inlineStr">
        <is>
          <t>Manquant pour cible</t>
        </is>
      </c>
      <c r="C68" s="2613">
        <f>MAX(0,C67-C64)</f>
        <v/>
      </c>
      <c r="D68" s="2454" t="n"/>
      <c r="E68" s="2454" t="n"/>
      <c r="F68" s="2454" t="n"/>
      <c r="G68" s="2454" t="n"/>
      <c r="H68" s="2597" t="n"/>
      <c r="I68" s="2597" t="n"/>
      <c r="J68" s="2597" t="n"/>
      <c r="K68" s="2454" t="n"/>
      <c r="L68" s="2455" t="n"/>
      <c r="M68" s="2598" t="n"/>
      <c r="N68" s="2599" t="n"/>
      <c r="O68" s="2600" t="n"/>
      <c r="P68" s="2601" t="n"/>
      <c r="Q68" s="2455" t="n"/>
      <c r="R68" s="2454" t="n"/>
      <c r="S68" s="2602" t="n"/>
      <c r="AB68" s="2498" t="n">
        <v>0</v>
      </c>
    </row>
    <row r="69" ht="15.75" customHeight="1" s="1666"/>
    <row r="70" ht="15.75" customHeight="1" s="1666"/>
    <row r="71" ht="15.75" customHeight="1" s="1666">
      <c r="B71" s="2456" t="inlineStr">
        <is>
          <t>📖 GUIDE DE TRI ET FILTRAGE</t>
        </is>
      </c>
      <c r="C71" s="2603" t="n"/>
      <c r="D71" s="2457" t="n"/>
      <c r="E71" s="2457" t="n"/>
      <c r="F71" s="2457" t="n"/>
      <c r="G71" s="2457" t="n"/>
      <c r="H71" s="2604" t="n"/>
      <c r="I71" s="2604" t="n"/>
      <c r="J71" s="2604" t="n"/>
      <c r="K71" s="2457" t="n"/>
      <c r="L71" s="2458" t="n"/>
      <c r="M71" s="2605" t="n"/>
      <c r="N71" s="2606" t="n"/>
      <c r="O71" s="2607" t="n"/>
      <c r="P71" s="2608" t="n"/>
      <c r="Q71" s="2458" t="n"/>
      <c r="R71" s="2457" t="n"/>
      <c r="S71" s="2610" t="n"/>
      <c r="AB71" s="2498" t="n">
        <v>0</v>
      </c>
    </row>
    <row r="72" ht="15.75" customHeight="1" s="1666">
      <c r="B72" s="2453" t="inlineStr">
        <is>
          <t>Trier par valeur CAD ↑↓</t>
        </is>
      </c>
      <c r="C72" s="2596" t="inlineStr">
        <is>
          <t>Colonne L → ▼ → Tri décroissant → voir top positions par poids</t>
        </is>
      </c>
      <c r="D72" s="2454" t="n"/>
      <c r="E72" s="2454" t="n"/>
      <c r="F72" s="2454" t="n"/>
      <c r="G72" s="2454" t="n"/>
      <c r="H72" s="2597" t="n"/>
      <c r="I72" s="2597" t="n"/>
      <c r="J72" s="2597" t="n"/>
      <c r="K72" s="2454" t="n"/>
      <c r="L72" s="2455" t="n"/>
      <c r="M72" s="2598" t="n"/>
      <c r="N72" s="2599" t="n"/>
      <c r="O72" s="2600" t="n"/>
      <c r="P72" s="2601" t="n"/>
      <c r="Q72" s="2455" t="n"/>
      <c r="R72" s="2454" t="n"/>
      <c r="S72" s="2602" t="n"/>
      <c r="AB72" s="2498" t="n">
        <v>0</v>
      </c>
    </row>
    <row r="73" ht="15.75" customHeight="1" s="1666">
      <c r="B73" s="2456" t="inlineStr">
        <is>
          <t>Trier par gain % ↑↓</t>
        </is>
      </c>
      <c r="C73" s="2603" t="inlineStr">
        <is>
          <t>Colonne N → ▼ → Tri décroissant → meilleurs/pires performers</t>
        </is>
      </c>
      <c r="D73" s="2457" t="n"/>
      <c r="E73" s="2457" t="n"/>
      <c r="F73" s="2457" t="n"/>
      <c r="G73" s="2457" t="n"/>
      <c r="H73" s="2604" t="n"/>
      <c r="I73" s="2604" t="n"/>
      <c r="J73" s="2604" t="n"/>
      <c r="K73" s="2457" t="n"/>
      <c r="L73" s="2458" t="n"/>
      <c r="M73" s="2605" t="n"/>
      <c r="N73" s="2606" t="n"/>
      <c r="O73" s="2607" t="n"/>
      <c r="P73" s="2608" t="n"/>
      <c r="Q73" s="2458" t="n"/>
      <c r="R73" s="2457" t="n"/>
      <c r="S73" s="2610" t="n"/>
      <c r="AB73" s="2498" t="n">
        <v>0</v>
      </c>
    </row>
    <row r="74" ht="15.75" customHeight="1" s="1666">
      <c r="B74" s="2453" t="inlineStr">
        <is>
          <t>Trier par Tier A→Z</t>
        </is>
      </c>
      <c r="C74" s="2596" t="inlineStr">
        <is>
          <t>Colonne E → ▼ → Tri A→Z → regroupe T1/T2/T3/T4 automatiquement</t>
        </is>
      </c>
      <c r="D74" s="2454" t="n"/>
      <c r="E74" s="2454" t="n"/>
      <c r="F74" s="2454" t="n"/>
      <c r="G74" s="2454" t="n"/>
      <c r="H74" s="2597" t="n"/>
      <c r="I74" s="2597" t="n"/>
      <c r="J74" s="2597" t="n"/>
      <c r="K74" s="2454" t="n"/>
      <c r="L74" s="2455" t="n"/>
      <c r="M74" s="2598" t="n"/>
      <c r="N74" s="2599" t="n"/>
      <c r="O74" s="2600" t="n"/>
      <c r="P74" s="2601" t="n"/>
      <c r="Q74" s="2455" t="n"/>
      <c r="R74" s="2454" t="n"/>
      <c r="S74" s="2602" t="n"/>
      <c r="AB74" s="2498" t="n">
        <v>0</v>
      </c>
    </row>
    <row r="75" ht="15.75" customHeight="1" s="1666">
      <c r="B75" s="2456" t="inlineStr">
        <is>
          <t>Filtrer par compte</t>
        </is>
      </c>
      <c r="C75" s="2603" t="inlineStr">
        <is>
          <t>Colonne F → ▼ → Cocher seulement TFSA ou FHSA ou REER</t>
        </is>
      </c>
      <c r="D75" s="2457" t="n"/>
      <c r="E75" s="2457" t="n"/>
      <c r="F75" s="2457" t="n"/>
      <c r="G75" s="2457" t="n"/>
      <c r="H75" s="2604" t="n"/>
      <c r="I75" s="2604" t="n"/>
      <c r="J75" s="2604" t="n"/>
      <c r="K75" s="2457" t="n"/>
      <c r="L75" s="2458" t="n"/>
      <c r="M75" s="2605" t="n"/>
      <c r="N75" s="2606" t="n"/>
      <c r="O75" s="2607" t="n"/>
      <c r="P75" s="2608" t="n"/>
      <c r="Q75" s="2458" t="n"/>
      <c r="R75" s="2457" t="n"/>
      <c r="S75" s="2610" t="n"/>
      <c r="AB75" s="2498" t="n">
        <v>0</v>
      </c>
    </row>
    <row r="76" ht="15.75" customHeight="1" s="1666">
      <c r="B76" s="2453" t="inlineStr">
        <is>
          <t>Trier par dividende/an</t>
        </is>
      </c>
      <c r="C76" s="2596" t="inlineStr">
        <is>
          <t>Colonne R → ▼ → Tri décroissant → voir meilleurs payeurs de div.</t>
        </is>
      </c>
      <c r="D76" s="2454" t="n"/>
      <c r="E76" s="2454" t="n"/>
      <c r="F76" s="2454" t="n"/>
      <c r="G76" s="2454" t="n"/>
      <c r="H76" s="2597" t="n"/>
      <c r="I76" s="2597" t="n"/>
      <c r="J76" s="2597" t="n"/>
      <c r="K76" s="2454" t="n"/>
      <c r="L76" s="2455" t="n"/>
      <c r="M76" s="2598" t="n"/>
      <c r="N76" s="2599" t="n"/>
      <c r="O76" s="2600" t="n"/>
      <c r="P76" s="2601" t="n"/>
      <c r="Q76" s="2455" t="n"/>
      <c r="R76" s="2454" t="n"/>
      <c r="S76" s="2602" t="n"/>
      <c r="AB76" s="2498" t="n">
        <v>0</v>
      </c>
    </row>
    <row r="77" ht="15.75" customHeight="1" s="1666">
      <c r="B77" s="2456" t="inlineStr">
        <is>
          <t>Filtrer par action</t>
        </is>
      </c>
      <c r="C77" s="2603" t="inlineStr">
        <is>
          <t>Colonne S → ▼ → Cocher ACCUMULER pour voir uniquement vos convictions</t>
        </is>
      </c>
      <c r="D77" s="2457" t="n"/>
      <c r="E77" s="2457" t="n"/>
      <c r="F77" s="2457" t="n"/>
      <c r="G77" s="2457" t="n"/>
      <c r="H77" s="2604" t="n"/>
      <c r="I77" s="2604" t="n"/>
      <c r="J77" s="2604" t="n"/>
      <c r="K77" s="2457" t="n"/>
      <c r="L77" s="2458" t="n"/>
      <c r="M77" s="2605" t="n"/>
      <c r="N77" s="2606" t="n"/>
      <c r="O77" s="2607" t="n"/>
      <c r="P77" s="2608" t="n"/>
      <c r="Q77" s="2458" t="n"/>
      <c r="R77" s="2457" t="n"/>
      <c r="S77" s="2610" t="n"/>
      <c r="AB77" s="2498" t="n">
        <v>0</v>
      </c>
    </row>
    <row r="78" ht="15.75" customHeight="1" s="1666">
      <c r="B78" s="2453" t="inlineStr">
        <is>
          <t>⚠️ Note importante</t>
        </is>
      </c>
      <c r="C78" s="2596" t="inlineStr">
        <is>
          <t>Le tri/filtre ici ne modifie PAS l'onglet PORTEFEUILLE — données sources sécurisées</t>
        </is>
      </c>
      <c r="D78" s="2454" t="n"/>
      <c r="E78" s="2454" t="n"/>
      <c r="F78" s="2454" t="n"/>
      <c r="G78" s="2454" t="n"/>
      <c r="H78" s="2597" t="n"/>
      <c r="I78" s="2597" t="n"/>
      <c r="J78" s="2597" t="n"/>
      <c r="K78" s="2454" t="n"/>
      <c r="L78" s="2455" t="n"/>
      <c r="M78" s="2598" t="n"/>
      <c r="N78" s="2599" t="n"/>
      <c r="O78" s="2600" t="n"/>
      <c r="P78" s="2601" t="n"/>
      <c r="Q78" s="2455" t="n"/>
      <c r="R78" s="2454" t="n"/>
      <c r="S78" s="2602" t="n"/>
      <c r="AB78" s="2498" t="n">
        <v>0</v>
      </c>
    </row>
    <row r="79" ht="6" customHeight="1" s="1666"/>
    <row r="80" ht="15.75" customHeight="1" s="1666">
      <c r="B80" s="2453" t="inlineStr">
        <is>
          <t xml:space="preserve">  🏗️  ANALYSE TFSA — CORE vs SATELLITE  ·  Cible: Core ≥ 80% · Satellite ≤ 20% (T3+T4)</t>
        </is>
      </c>
      <c r="C80" s="2596" t="n"/>
      <c r="D80" s="2454" t="n"/>
      <c r="E80" s="2454" t="n"/>
      <c r="F80" s="2454" t="n"/>
      <c r="G80" s="2454" t="n"/>
      <c r="H80" s="2597" t="n"/>
      <c r="I80" s="2597" t="n"/>
      <c r="J80" s="2597" t="n"/>
      <c r="K80" s="2454" t="n"/>
      <c r="L80" s="2455" t="n"/>
      <c r="M80" s="2598" t="n"/>
      <c r="N80" s="2599" t="n"/>
      <c r="O80" s="2600" t="n"/>
      <c r="P80" s="2601" t="n"/>
      <c r="Q80" s="2455" t="n"/>
      <c r="R80" s="2454" t="n"/>
      <c r="S80" s="2602" t="n"/>
      <c r="AB80" s="2498" t="n">
        <v>0</v>
      </c>
    </row>
    <row r="81" ht="15.75" customHeight="1" s="1666">
      <c r="B81" s="2456" t="inlineStr">
        <is>
          <t>MÉTRIQUE</t>
        </is>
      </c>
      <c r="C81" s="2603" t="inlineStr">
        <is>
          <t>VALEUR CAD</t>
        </is>
      </c>
      <c r="D81" s="2457" t="inlineStr">
        <is>
          <t>% PORT TFSA</t>
        </is>
      </c>
      <c r="E81" s="2457" t="inlineStr">
        <is>
          <t>CIBLE</t>
        </is>
      </c>
      <c r="F81" s="2457" t="inlineStr">
        <is>
          <t>ÉCART</t>
        </is>
      </c>
      <c r="G81" s="2457" t="inlineStr">
        <is>
          <t>STATUT</t>
        </is>
      </c>
      <c r="H81" s="2604" t="n"/>
      <c r="I81" s="2604" t="n"/>
      <c r="J81" s="2604" t="n"/>
      <c r="K81" s="2457" t="n"/>
      <c r="L81" s="2458" t="n"/>
      <c r="M81" s="2605" t="n"/>
      <c r="N81" s="2606" t="n"/>
      <c r="O81" s="2607" t="n"/>
      <c r="P81" s="2608" t="n"/>
      <c r="Q81" s="2458" t="n"/>
      <c r="R81" s="2457" t="n"/>
      <c r="S81" s="2610" t="n"/>
      <c r="AB81" s="2498" t="n">
        <v>0</v>
      </c>
    </row>
    <row r="82" ht="15.75" customHeight="1" s="1666">
      <c r="B82" s="2453" t="inlineStr">
        <is>
          <t>TFSA Total (valeur CAD)</t>
        </is>
      </c>
      <c r="C82" s="2616">
        <f>SUMPRODUCT((F8:F48="TFSA")*L8:L48)</f>
        <v/>
      </c>
      <c r="D82" s="2454" t="inlineStr">
        <is>
          <t>—</t>
        </is>
      </c>
      <c r="E82" s="2454" t="inlineStr">
        <is>
          <t>—</t>
        </is>
      </c>
      <c r="F82" s="2600" t="inlineStr">
        <is>
          <t>—</t>
        </is>
      </c>
      <c r="G82" s="2454" t="inlineStr">
        <is>
          <t>📊 Référence</t>
        </is>
      </c>
      <c r="H82" s="2597" t="n"/>
      <c r="I82" s="2597" t="n"/>
      <c r="J82" s="2597" t="n"/>
      <c r="K82" s="2454" t="n"/>
      <c r="L82" s="2455" t="n"/>
      <c r="M82" s="2598" t="n"/>
      <c r="N82" s="2599" t="n"/>
      <c r="O82" s="2600" t="n"/>
      <c r="P82" s="2601" t="n"/>
      <c r="Q82" s="2455" t="n"/>
      <c r="R82" s="2454" t="n"/>
      <c r="S82" s="2602" t="n"/>
      <c r="AB82" s="2498" t="n">
        <v>0</v>
      </c>
    </row>
    <row r="83" ht="15.75" customHeight="1" s="1666">
      <c r="B83" s="2456" t="inlineStr">
        <is>
          <t>TFSA Core (T1+T2 non-REIT)</t>
        </is>
      </c>
      <c r="C83" s="2617">
        <f>SUMPRODUCT((F8:F48="TFSA")*Y8:Y48*L8:L48)</f>
        <v/>
      </c>
      <c r="D83" s="2607">
        <f>IF(SUMPRODUCT((F8:F48="TFSA")*L8:L48)&gt;0,SUMPRODUCT((F8:F48="TFSA")*Y8:Y48*L8:L48)/SUMPRODUCT((F8:F48="TFSA")*L8:L48),0)</f>
        <v/>
      </c>
      <c r="E83" s="2457" t="inlineStr">
        <is>
          <t>≥ 80%</t>
        </is>
      </c>
      <c r="F83" s="2607">
        <f>IF(SUMPRODUCT((F8:F48="TFSA")*L8:L48)&gt;0,SUMPRODUCT((F8:F48="TFSA")*Y8:Y48*L8:L48)/SUMPRODUCT((F8:F48="TFSA")*L8:L48)-0.8,"")</f>
        <v/>
      </c>
      <c r="G83" s="2457">
        <f>IF(SUMPRODUCT((F8:F48="TFSA")*L8:L48)&gt;0,IF(SUMPRODUCT((F8:F48="TFSA")*Y8:Y48*L8:L48)/SUMPRODUCT((F8:F48="TFSA")*L8:L48)&gt;=0.8,"OK","REVOIR"),"")</f>
        <v/>
      </c>
      <c r="H83" s="2604" t="n"/>
      <c r="I83" s="2604" t="n"/>
      <c r="J83" s="2604" t="n"/>
      <c r="K83" s="2457" t="n"/>
      <c r="L83" s="2458" t="n"/>
      <c r="M83" s="2605" t="n"/>
      <c r="N83" s="2606" t="n"/>
      <c r="O83" s="2607" t="n"/>
      <c r="P83" s="2608" t="n"/>
      <c r="Q83" s="2458" t="n"/>
      <c r="R83" s="2457" t="n"/>
      <c r="S83" s="2610" t="n"/>
      <c r="AB83" s="2498" t="n">
        <v>0</v>
      </c>
    </row>
    <row r="84" ht="15.75" customHeight="1" s="1666">
      <c r="B84" s="2453" t="inlineStr">
        <is>
          <t>TFSA Satellite (T3+T4)</t>
        </is>
      </c>
      <c r="C84" s="2616">
        <f>SUMPRODUCT((F8:F48="TFSA")*(1-Y8:Y48)*L8:L48)</f>
        <v/>
      </c>
      <c r="D84" s="2600">
        <f>IF(SUMPRODUCT((F8:F48="TFSA")*L8:L48)&gt;0,SUMPRODUCT((F8:F48="TFSA")*(1-Y8:Y48)*L8:L48)/SUMPRODUCT((F8:F48="TFSA")*L8:L48),0)</f>
        <v/>
      </c>
      <c r="E84" s="2454" t="inlineStr">
        <is>
          <t>≤ 20%</t>
        </is>
      </c>
      <c r="F84" s="2600">
        <f>IF(SUMPRODUCT((F8:F48="TFSA")*L8:L48)&gt;0,SUMPRODUCT((F8:F48="TFSA")*(1-Y8:Y48)*L8:L48)/SUMPRODUCT((F8:F48="TFSA")*L8:L48)-0.2,"")</f>
        <v/>
      </c>
      <c r="G84" s="2454">
        <f>IF(SUMPRODUCT((F8:F48="TFSA")*L8:L48)&gt;0,IF(SUMPRODUCT((F8:F48="TFSA")*(1-Y8:Y48)*L8:L48)/SUMPRODUCT((F8:F48="TFSA")*L8:L48)&lt;=0.2,"OK","TROP HAUT"),"")</f>
        <v/>
      </c>
      <c r="H84" s="2597" t="n"/>
      <c r="I84" s="2597" t="n"/>
      <c r="J84" s="2597" t="n"/>
      <c r="K84" s="2454" t="n"/>
      <c r="L84" s="2455" t="n"/>
      <c r="M84" s="2598" t="n"/>
      <c r="N84" s="2599" t="n"/>
      <c r="O84" s="2600" t="n"/>
      <c r="P84" s="2601" t="n"/>
      <c r="Q84" s="2455" t="n"/>
      <c r="R84" s="2454" t="n"/>
      <c r="S84" s="2602" t="n"/>
      <c r="AB84" s="2498" t="n">
        <v>0</v>
      </c>
    </row>
    <row r="85" ht="15.75" customHeight="1" s="1666">
      <c r="B85" s="2456" t="inlineStr">
        <is>
          <t>TFSA CAN financials + REITs</t>
        </is>
      </c>
      <c r="C85" s="2617">
        <f>SUMPRODUCT((F8:F48="TFSA")*Z8:Z48*L8:L48)</f>
        <v/>
      </c>
      <c r="D85" s="2607">
        <f>IF(SUMPRODUCT((F8:F48="TFSA")*L8:L48)&gt;0,SUMPRODUCT((F8:F48="TFSA")*Z8:Z48*L8:L48)/SUMPRODUCT((F8:F48="TFSA")*L8:L48),0)</f>
        <v/>
      </c>
      <c r="E85" s="2457" t="inlineStr">
        <is>
          <t>≤ 25%</t>
        </is>
      </c>
      <c r="F85" s="2607">
        <f>IF(SUMPRODUCT((F8:F48="TFSA")*L8:L48)&gt;0,SUMPRODUCT((F8:F48="TFSA")*Z8:Z48*L8:L48)/SUMPRODUCT((F8:F48="TFSA")*L8:L48)-0.25,"")</f>
        <v/>
      </c>
      <c r="G85" s="2457">
        <f>IF(SUMPRODUCT((F8:F48="TFSA")*L8:L48)&gt;0,IF(SUMPRODUCT((F8:F48="TFSA")*Z8:Z48*L8:L48)/SUMPRODUCT((F8:F48="TFSA")*L8:L48)&lt;=0.25,"OK","SURVEILLER"),"")</f>
        <v/>
      </c>
      <c r="H85" s="2604" t="n"/>
      <c r="I85" s="2604" t="n"/>
      <c r="J85" s="2604" t="n"/>
      <c r="K85" s="2457" t="n"/>
      <c r="L85" s="2458" t="n"/>
      <c r="M85" s="2605" t="n"/>
      <c r="N85" s="2606" t="n"/>
      <c r="O85" s="2607" t="n"/>
      <c r="P85" s="2608" t="n"/>
      <c r="Q85" s="2458" t="n"/>
      <c r="R85" s="2457" t="n"/>
      <c r="S85" s="2610" t="n"/>
      <c r="AB85" s="2498" t="n">
        <v>0</v>
      </c>
    </row>
    <row r="86" ht="6" customHeight="1" s="1666"/>
    <row r="87" ht="15.75" customHeight="1" s="1666">
      <c r="B87" s="2456" t="inlineStr">
        <is>
          <t xml:space="preserve">  🏠  ANALYSE FHSA — GLIDE PATH 2026→2028  ·  Point 3 — De-risking progressif avant RAP</t>
        </is>
      </c>
      <c r="C87" s="2603" t="n"/>
      <c r="D87" s="2457" t="n"/>
      <c r="E87" s="2457" t="n"/>
      <c r="F87" s="2457" t="n"/>
      <c r="G87" s="2457" t="n"/>
      <c r="H87" s="2604" t="n"/>
      <c r="I87" s="2604" t="n"/>
      <c r="J87" s="2604" t="n"/>
      <c r="K87" s="2457" t="n"/>
      <c r="L87" s="2458" t="n"/>
      <c r="M87" s="2605" t="n"/>
      <c r="N87" s="2606" t="n"/>
      <c r="O87" s="2607" t="n"/>
      <c r="P87" s="2608" t="n"/>
      <c r="Q87" s="2458" t="n"/>
      <c r="R87" s="2457" t="n"/>
      <c r="S87" s="2610" t="n"/>
      <c r="AB87" s="2498" t="n">
        <v>0</v>
      </c>
    </row>
    <row r="88" ht="15.75" customHeight="1" s="1666">
      <c r="B88" s="2453" t="inlineStr">
        <is>
          <t>MÉTRIQUE</t>
        </is>
      </c>
      <c r="C88" s="2596" t="inlineStr">
        <is>
          <t>VALEUR / %</t>
        </is>
      </c>
      <c r="D88" s="2454" t="inlineStr">
        <is>
          <t>CIBLE 2026</t>
        </is>
      </c>
      <c r="E88" s="2454" t="inlineStr">
        <is>
          <t>CIBLE 2027</t>
        </is>
      </c>
      <c r="F88" s="2454" t="inlineStr">
        <is>
          <t>CIBLE 2028</t>
        </is>
      </c>
      <c r="G88" s="2454" t="inlineStr">
        <is>
          <t>STATUT 2026</t>
        </is>
      </c>
      <c r="H88" s="2597" t="n"/>
      <c r="I88" s="2597" t="n"/>
      <c r="J88" s="2597" t="n"/>
      <c r="K88" s="2454" t="n"/>
      <c r="L88" s="2455" t="n"/>
      <c r="M88" s="2598" t="n"/>
      <c r="N88" s="2599" t="n"/>
      <c r="O88" s="2600" t="n"/>
      <c r="P88" s="2601" t="n"/>
      <c r="Q88" s="2455" t="n"/>
      <c r="R88" s="2454" t="n"/>
      <c r="S88" s="2602" t="n"/>
      <c r="AB88" s="2498" t="n">
        <v>0</v>
      </c>
    </row>
    <row r="89" ht="15.75" customHeight="1" s="1666">
      <c r="B89" s="2456" t="inlineStr">
        <is>
          <t>FHSA Total (CAD)</t>
        </is>
      </c>
      <c r="C89" s="2617">
        <f>SUMPRODUCT((F8:F48="FHSA")*L8:L48)</f>
        <v/>
      </c>
      <c r="D89" s="2457" t="inlineStr">
        <is>
          <t>—</t>
        </is>
      </c>
      <c r="E89" s="2457" t="inlineStr">
        <is>
          <t>—</t>
        </is>
      </c>
      <c r="F89" s="2457" t="inlineStr">
        <is>
          <t>—</t>
        </is>
      </c>
      <c r="G89" s="2457" t="inlineStr">
        <is>
          <t>—</t>
        </is>
      </c>
      <c r="H89" s="2604" t="n"/>
      <c r="I89" s="2604" t="n"/>
      <c r="J89" s="2604" t="n"/>
      <c r="K89" s="2457" t="n"/>
      <c r="L89" s="2458" t="n"/>
      <c r="M89" s="2605" t="n"/>
      <c r="N89" s="2606" t="n"/>
      <c r="O89" s="2607" t="n"/>
      <c r="P89" s="2608" t="n"/>
      <c r="Q89" s="2458" t="n"/>
      <c r="R89" s="2457" t="n"/>
      <c r="S89" s="2610" t="n"/>
      <c r="AB89" s="2498" t="n">
        <v>0</v>
      </c>
    </row>
    <row r="90" ht="15.75" customHeight="1" s="1666">
      <c r="B90" s="2453" t="inlineStr">
        <is>
          <t>FHSA Actions/ETF % (Core)</t>
        </is>
      </c>
      <c r="C90" s="2618">
        <f>IF(SUMPRODUCT((F8:F48="FHSA")*L8:L48)&gt;0,SUMPRODUCT((F8:F48="FHSA")*Y8:Y48*L8:L48)/SUMPRODUCT((F8:F48="FHSA")*L8:L48),0)</f>
        <v/>
      </c>
      <c r="D90" s="2454" t="inlineStr">
        <is>
          <t>≤ 70%</t>
        </is>
      </c>
      <c r="E90" s="2454" t="inlineStr">
        <is>
          <t>≤ 50%</t>
        </is>
      </c>
      <c r="F90" s="2454" t="inlineStr">
        <is>
          <t>≤ 30%</t>
        </is>
      </c>
      <c r="G90" s="2454">
        <f>IF(SUMPRODUCT((F8:F48="FHSA")*L8:L48)&gt;0,IF(SUMPRODUCT((F8:F48="FHSA")*Y8:Y48*L8:L48)/SUMPRODUCT((F8:F48="FHSA")*L8:L48)&lt;=0.7,"OK","TROP ELEVE"),"")</f>
        <v/>
      </c>
      <c r="H90" s="2597" t="n"/>
      <c r="I90" s="2597" t="n"/>
      <c r="J90" s="2597" t="n"/>
      <c r="K90" s="2454" t="n"/>
      <c r="L90" s="2455" t="n"/>
      <c r="M90" s="2598" t="n"/>
      <c r="N90" s="2599" t="n"/>
      <c r="O90" s="2600" t="n"/>
      <c r="P90" s="2601" t="n"/>
      <c r="Q90" s="2455" t="n"/>
      <c r="R90" s="2454" t="n"/>
      <c r="S90" s="2602" t="n"/>
      <c r="AB90" s="2498" t="n">
        <v>0</v>
      </c>
    </row>
    <row r="91" ht="15.75" customHeight="1" s="1666">
      <c r="B91" s="2456" t="inlineStr">
        <is>
          <t>FHSA REITs/Satellites %</t>
        </is>
      </c>
      <c r="C91" s="2619">
        <f>IF(SUMPRODUCT((F8:F48="FHSA")*L8:L48)&gt;0,SUMPRODUCT((F8:F48="FHSA")*(1-Y8:Y48)*L8:L48)/SUMPRODUCT((F8:F48="FHSA")*L8:L48),0)</f>
        <v/>
      </c>
      <c r="D91" s="2457" t="inlineStr">
        <is>
          <t>≤ 30%</t>
        </is>
      </c>
      <c r="E91" s="2457" t="inlineStr">
        <is>
          <t>≤ 50%</t>
        </is>
      </c>
      <c r="F91" s="2457" t="inlineStr">
        <is>
          <t>≤ 70%</t>
        </is>
      </c>
      <c r="G91" s="2457">
        <f>IF(SUMPRODUCT((F8:F48="FHSA")*L8:L48)&gt;0,IF(SUMPRODUCT((F8:F48="FHSA")*(1-Y8:Y48)*L8:L48)/SUMPRODUCT((F8:F48="FHSA")*L8:L48)&lt;=0.3,"OK","A DILUER"),"")</f>
        <v/>
      </c>
      <c r="H91" s="2604" t="n"/>
      <c r="I91" s="2604" t="n"/>
      <c r="J91" s="2604" t="n"/>
      <c r="K91" s="2457" t="n"/>
      <c r="L91" s="2458" t="n"/>
      <c r="M91" s="2605" t="n"/>
      <c r="N91" s="2606" t="n"/>
      <c r="O91" s="2607" t="n"/>
      <c r="P91" s="2608" t="n"/>
      <c r="Q91" s="2458" t="n"/>
      <c r="R91" s="2457" t="n"/>
      <c r="S91" s="2610" t="n"/>
      <c r="AB91" s="2498" t="n">
        <v>0</v>
      </c>
    </row>
    <row r="92" ht="15.75" customHeight="1" s="1666">
      <c r="B92" s="2453" t="inlineStr">
        <is>
          <t>→ Nvx $ FHSA: Core seulement</t>
        </is>
      </c>
      <c r="C92" s="2620" t="inlineStr">
        <is>
          <t>Tout → VFV.TO</t>
        </is>
      </c>
      <c r="D92" s="2454" t="inlineStr">
        <is>
          <t>VFV.TO</t>
        </is>
      </c>
      <c r="E92" s="2454" t="inlineStr">
        <is>
          <t>VFV + GIC</t>
        </is>
      </c>
      <c r="F92" s="2454" t="inlineStr">
        <is>
          <t>GIC + bonds</t>
        </is>
      </c>
      <c r="G92" s="2454" t="inlineStr">
        <is>
          <t>—</t>
        </is>
      </c>
      <c r="H92" s="2597" t="n"/>
      <c r="I92" s="2597" t="n"/>
      <c r="J92" s="2597" t="n"/>
      <c r="K92" s="2454" t="n"/>
      <c r="L92" s="2455" t="n"/>
      <c r="M92" s="2598" t="n"/>
      <c r="N92" s="2599" t="n"/>
      <c r="O92" s="2600" t="n"/>
      <c r="P92" s="2601" t="n"/>
      <c r="Q92" s="2455" t="n"/>
      <c r="R92" s="2454" t="n"/>
      <c r="S92" s="2602" t="n"/>
      <c r="AB92" s="2498" t="n">
        <v>0</v>
      </c>
    </row>
    <row r="93" ht="15.75" customHeight="1" s="1666">
      <c r="B93" s="2456" t="inlineStr">
        <is>
          <t xml:space="preserve">  🎯 RECOMMANDATION: FHSA → VFV.TO seul. Vendre SRU+REI+TD+ZLB+XEI → VFV.TO. RAP 2028 = $40K propre, zéro gestion, zéro risque de concentration.</t>
        </is>
      </c>
      <c r="C93" s="2603" t="n"/>
      <c r="D93" s="2457" t="n"/>
      <c r="E93" s="2457" t="n"/>
      <c r="F93" s="2457" t="n"/>
      <c r="G93" s="2457" t="n"/>
      <c r="H93" s="2604" t="n"/>
      <c r="I93" s="2604" t="n"/>
      <c r="J93" s="2604" t="n"/>
      <c r="K93" s="2457" t="n"/>
      <c r="L93" s="2458" t="n"/>
      <c r="M93" s="2605" t="n"/>
      <c r="N93" s="2606" t="n"/>
      <c r="O93" s="2607" t="n"/>
      <c r="P93" s="2608" t="n"/>
      <c r="Q93" s="2458" t="n"/>
      <c r="R93" s="2457" t="n"/>
      <c r="S93" s="2610" t="n"/>
      <c r="AB93" s="2498" t="n">
        <v>0</v>
      </c>
    </row>
    <row r="94" ht="6" customHeight="1" s="1666"/>
    <row r="95" ht="15.75" customHeight="1" s="1666">
      <c r="B95" s="2456" t="inlineStr">
        <is>
          <t xml:space="preserve">  💼  ANALYSE REER — RAP vs RETRAITE  ·  Point 5 — Split intentionnel</t>
        </is>
      </c>
      <c r="C95" s="2603" t="n"/>
      <c r="D95" s="2457" t="n"/>
      <c r="E95" s="2457" t="n"/>
      <c r="F95" s="2457" t="n"/>
      <c r="G95" s="2457" t="n"/>
      <c r="H95" s="2604" t="n"/>
      <c r="I95" s="2604" t="n"/>
      <c r="J95" s="2604" t="n"/>
      <c r="K95" s="2457" t="n"/>
      <c r="L95" s="2458" t="n"/>
      <c r="M95" s="2605" t="n"/>
      <c r="N95" s="2606" t="n"/>
      <c r="O95" s="2607" t="n"/>
      <c r="P95" s="2608" t="n"/>
      <c r="Q95" s="2458" t="n"/>
      <c r="R95" s="2457" t="n"/>
      <c r="S95" s="2610" t="n"/>
      <c r="AB95" s="2498" t="n">
        <v>0</v>
      </c>
    </row>
    <row r="96" ht="15.75" customHeight="1" s="1666">
      <c r="B96" s="2453" t="inlineStr">
        <is>
          <t>COMPOSANTE</t>
        </is>
      </c>
      <c r="C96" s="2596" t="inlineStr">
        <is>
          <t>VALEUR ACT. CAD</t>
        </is>
      </c>
      <c r="D96" s="2454" t="inlineStr">
        <is>
          <t>OBJECTIF CAD</t>
        </is>
      </c>
      <c r="E96" s="2454" t="inlineStr">
        <is>
          <t>MANQUANT</t>
        </is>
      </c>
      <c r="F96" s="2454" t="inlineStr">
        <is>
          <t>% ATTEINT</t>
        </is>
      </c>
      <c r="G96" s="2454" t="inlineStr">
        <is>
          <t>STRATÉGIE</t>
        </is>
      </c>
      <c r="H96" s="2597" t="n"/>
      <c r="I96" s="2597" t="n"/>
      <c r="J96" s="2597" t="n"/>
      <c r="K96" s="2454" t="n"/>
      <c r="L96" s="2455" t="n"/>
      <c r="M96" s="2598" t="n"/>
      <c r="N96" s="2599" t="n"/>
      <c r="O96" s="2600" t="n"/>
      <c r="P96" s="2601" t="n"/>
      <c r="Q96" s="2455" t="n"/>
      <c r="R96" s="2454" t="n"/>
      <c r="S96" s="2602" t="n"/>
      <c r="AB96" s="2498" t="n">
        <v>0</v>
      </c>
    </row>
    <row r="97" ht="15.75" customHeight="1" s="1666">
      <c r="B97" s="2456" t="inlineStr">
        <is>
          <t>REER Total (CAD)</t>
        </is>
      </c>
      <c r="C97" s="2617">
        <f>SUMPRODUCT((F8:F48="REER")*L8:L48)</f>
        <v/>
      </c>
      <c r="D97" s="2457" t="n"/>
      <c r="E97" s="2457" t="n"/>
      <c r="F97" s="2457" t="n"/>
      <c r="G97" s="2457" t="inlineStr">
        <is>
          <t>SCHD $3K/mois + TDVG + VYM à ajouter</t>
        </is>
      </c>
      <c r="H97" s="2604" t="n"/>
      <c r="I97" s="2604" t="n"/>
      <c r="J97" s="2604" t="n"/>
      <c r="K97" s="2457" t="n"/>
      <c r="L97" s="2458" t="n"/>
      <c r="M97" s="2605" t="n"/>
      <c r="N97" s="2606" t="n"/>
      <c r="O97" s="2607" t="n"/>
      <c r="P97" s="2608" t="n"/>
      <c r="Q97" s="2458" t="n"/>
      <c r="R97" s="2457" t="n"/>
      <c r="S97" s="2610" t="n"/>
      <c r="AB97" s="2498" t="n">
        <v>0</v>
      </c>
    </row>
    <row r="98" ht="15.75" customHeight="1" s="1666">
      <c r="B98" s="2453" t="inlineStr">
        <is>
          <t>Part RAP (maison)</t>
        </is>
      </c>
      <c r="C98" s="2616">
        <f>MIN(SUMPRODUCT((F8:F48="REER")*L8:L48),60000)</f>
        <v/>
      </c>
      <c r="D98" s="2621" t="n">
        <v>60000</v>
      </c>
      <c r="E98" s="2621">
        <f>MAX(0,D98-C98)</f>
        <v/>
      </c>
      <c r="F98" s="2600">
        <f>IF(D98&gt;0,C98/D98,0)</f>
        <v/>
      </c>
      <c r="G98" s="2454" t="inlineStr">
        <is>
          <t>Objectif 2028 · De-risquer progressivement</t>
        </is>
      </c>
      <c r="H98" s="2597" t="n"/>
      <c r="I98" s="2597" t="n"/>
      <c r="J98" s="2597" t="n"/>
      <c r="K98" s="2454" t="n"/>
      <c r="L98" s="2455" t="n"/>
      <c r="M98" s="2598" t="n"/>
      <c r="N98" s="2599" t="n"/>
      <c r="O98" s="2600" t="n"/>
      <c r="P98" s="2601" t="n"/>
      <c r="Q98" s="2455" t="n"/>
      <c r="R98" s="2454" t="n"/>
      <c r="S98" s="2602" t="n"/>
      <c r="AB98" s="2498" t="n">
        <v>0</v>
      </c>
    </row>
    <row r="99" ht="15.75" customHeight="1" s="1666">
      <c r="B99" s="2456" t="inlineStr">
        <is>
          <t>Part retraite long terme</t>
        </is>
      </c>
      <c r="C99" s="2617">
        <f>MAX(0,SUMPRODUCT((F8:F48="REER")*L8:L48)-60000)</f>
        <v/>
      </c>
      <c r="D99" s="2457" t="inlineStr">
        <is>
          <t>∞</t>
        </is>
      </c>
      <c r="E99" s="2457" t="inlineStr">
        <is>
          <t>—</t>
        </is>
      </c>
      <c r="F99" s="2457" t="inlineStr">
        <is>
          <t>—</t>
        </is>
      </c>
      <c r="G99" s="2457" t="inlineStr">
        <is>
          <t>SCHD+TDVG+VYM · Actions 100% jusquʼà 2040</t>
        </is>
      </c>
      <c r="H99" s="2604" t="n"/>
      <c r="I99" s="2604" t="n"/>
      <c r="J99" s="2604" t="n"/>
      <c r="K99" s="2457" t="n"/>
      <c r="L99" s="2458" t="n"/>
      <c r="M99" s="2605" t="n"/>
      <c r="N99" s="2606" t="n"/>
      <c r="O99" s="2607" t="n"/>
      <c r="P99" s="2608" t="n"/>
      <c r="Q99" s="2458" t="n"/>
      <c r="R99" s="2457" t="n"/>
      <c r="S99" s="2610" t="n"/>
      <c r="AB99" s="2498" t="n">
        <v>0</v>
      </c>
    </row>
    <row r="100" ht="15.75" customHeight="1" s="1666">
      <c r="B100" s="2453" t="inlineStr">
        <is>
          <t>Glide path RAP 2028</t>
        </is>
      </c>
      <c r="C100" s="2616" t="inlineStr">
        <is>
          <t>—</t>
        </is>
      </c>
      <c r="D100" s="2454" t="inlineStr">
        <is>
          <t>—</t>
        </is>
      </c>
      <c r="E100" s="2454" t="inlineStr">
        <is>
          <t>—</t>
        </is>
      </c>
      <c r="F100" s="2454" t="inlineStr">
        <is>
          <t>—</t>
        </is>
      </c>
      <c r="G100" s="2454" t="inlineStr">
        <is>
          <t>2026: 100% SCHD · 2027: 80% SCHD+20% GIC · 2028: 50/50</t>
        </is>
      </c>
      <c r="H100" s="2597" t="n"/>
      <c r="I100" s="2597" t="n"/>
      <c r="J100" s="2597" t="n"/>
      <c r="K100" s="2454" t="n"/>
      <c r="L100" s="2455" t="n"/>
      <c r="M100" s="2598" t="n"/>
      <c r="N100" s="2599" t="n"/>
      <c r="O100" s="2600" t="n"/>
      <c r="P100" s="2601" t="n"/>
      <c r="Q100" s="2455" t="n"/>
      <c r="R100" s="2454" t="n"/>
      <c r="S100" s="2602" t="n"/>
      <c r="AB100" s="2498" t="n">
        <v>0</v>
      </c>
    </row>
    <row r="101" ht="6" customHeight="1" s="1666"/>
    <row r="102" ht="15.75" customHeight="1" s="1666">
      <c r="B102" s="2453" t="inlineStr">
        <is>
          <t xml:space="preserve">  💊  SCORE DE SANTÉ 4 DIMENSIONS  ·  Point 6 — Mise à jour trimestrielle</t>
        </is>
      </c>
      <c r="C102" s="2596" t="n"/>
      <c r="D102" s="2454" t="n"/>
      <c r="E102" s="2454" t="n"/>
      <c r="F102" s="2454" t="n"/>
      <c r="G102" s="2454" t="n"/>
      <c r="H102" s="2597" t="n"/>
      <c r="I102" s="2597" t="n"/>
      <c r="J102" s="2597" t="n"/>
      <c r="K102" s="2454" t="n"/>
      <c r="L102" s="2455" t="n"/>
      <c r="M102" s="2598" t="n"/>
      <c r="N102" s="2599" t="n"/>
      <c r="O102" s="2600" t="n"/>
      <c r="P102" s="2601" t="n"/>
      <c r="Q102" s="2455" t="n"/>
      <c r="R102" s="2454" t="n"/>
      <c r="S102" s="2602" t="n"/>
      <c r="AB102" s="2498" t="n">
        <v>0</v>
      </c>
    </row>
    <row r="103" ht="15.75" customHeight="1" s="1666">
      <c r="B103" s="2456" t="inlineStr">
        <is>
          <t>DIMENSION</t>
        </is>
      </c>
      <c r="C103" s="2603" t="inlineStr">
        <is>
          <t>SCORE /MAX</t>
        </is>
      </c>
      <c r="D103" s="2457" t="inlineStr">
        <is>
          <t>% DIM.</t>
        </is>
      </c>
      <c r="E103" s="2457" t="inlineStr">
        <is>
          <t>FORMULE AUTO</t>
        </is>
      </c>
      <c r="F103" s="2457" t="inlineStr">
        <is>
          <t>RÈGLE</t>
        </is>
      </c>
      <c r="G103" s="2457" t="inlineStr">
        <is>
          <t>Q1 2026</t>
        </is>
      </c>
      <c r="H103" s="2604" t="inlineStr">
        <is>
          <t>Q2 2026</t>
        </is>
      </c>
      <c r="I103" s="2604" t="inlineStr">
        <is>
          <t>Q3 2026</t>
        </is>
      </c>
      <c r="J103" s="2604" t="inlineStr">
        <is>
          <t>Q4 2026</t>
        </is>
      </c>
      <c r="K103" s="2457" t="inlineStr">
        <is>
          <t>TENDANCE</t>
        </is>
      </c>
      <c r="L103" s="2458" t="n"/>
      <c r="M103" s="2605" t="n"/>
      <c r="N103" s="2606" t="n"/>
      <c r="O103" s="2607" t="n"/>
      <c r="P103" s="2608" t="n"/>
      <c r="Q103" s="2458" t="n"/>
      <c r="R103" s="2457" t="n"/>
      <c r="S103" s="2610" t="n"/>
      <c r="AB103" s="2498" t="n">
        <v>0</v>
      </c>
    </row>
    <row r="104" ht="15.75" customHeight="1" s="1666">
      <c r="B104" s="2453" t="inlineStr">
        <is>
          <t>🏠 Objectifs (maison+retraite)</t>
        </is>
      </c>
      <c r="C104" s="2596" t="inlineStr">
        <is>
          <t>/30</t>
        </is>
      </c>
      <c r="D104" s="2602">
        <f>IFERROR(E104/30,0)</f>
        <v/>
      </c>
      <c r="E104" s="2614">
        <f>IF('🏠 DASHBOARD'!C24&lt;=25000,25,IF('🏠 DASHBOARD'!C24&lt;=50000,18,10))</f>
        <v/>
      </c>
      <c r="F104" s="2454" t="inlineStr">
        <is>
          <t>FHSA+REER ≥ $50K = 18pt | Cotisation OK = +7pt</t>
        </is>
      </c>
      <c r="G104" s="2454" t="inlineStr">
        <is>
          <t>—</t>
        </is>
      </c>
      <c r="H104" s="2597" t="inlineStr">
        <is>
          <t>—</t>
        </is>
      </c>
      <c r="I104" s="2597" t="inlineStr">
        <is>
          <t>—</t>
        </is>
      </c>
      <c r="J104" s="2597" t="inlineStr">
        <is>
          <t>—</t>
        </is>
      </c>
      <c r="K104" s="2454">
        <f>IF(H104&gt;G104,"UP","STABLE")</f>
        <v/>
      </c>
      <c r="L104" s="2455" t="n"/>
      <c r="M104" s="2598" t="n"/>
      <c r="N104" s="2599" t="n"/>
      <c r="O104" s="2600" t="n"/>
      <c r="P104" s="2601" t="n"/>
      <c r="Q104" s="2455" t="n"/>
      <c r="R104" s="2454" t="n"/>
      <c r="S104" s="2602" t="n"/>
      <c r="AB104" s="2498" t="n">
        <v>0</v>
      </c>
    </row>
    <row r="105" ht="15.75" customHeight="1" s="1666">
      <c r="B105" s="2456" t="inlineStr">
        <is>
          <t>⚖️ Risque vs horizon (par cte)</t>
        </is>
      </c>
      <c r="C105" s="2603" t="inlineStr">
        <is>
          <t>/25</t>
        </is>
      </c>
      <c r="D105" s="2610">
        <f>IFERROR(E105/25,0)</f>
        <v/>
      </c>
      <c r="E105" s="2612">
        <f>MAX(15,25-IF(SUMPRODUCT((F8:F48="FHSA")*Y8:Y48*L8:L48)/MAX(1,SUMPRODUCT((F8:F48="FHSA")*L8:L48))&gt;0.7,10,0))</f>
        <v/>
      </c>
      <c r="F105" s="2457" t="inlineStr">
        <is>
          <t>FHSA equity ≤70% = OK · TFSA satellite ≤20% = OK</t>
        </is>
      </c>
      <c r="G105" s="2457" t="inlineStr">
        <is>
          <t>—</t>
        </is>
      </c>
      <c r="H105" s="2604" t="inlineStr">
        <is>
          <t>—</t>
        </is>
      </c>
      <c r="I105" s="2604" t="inlineStr">
        <is>
          <t>—</t>
        </is>
      </c>
      <c r="J105" s="2604" t="inlineStr">
        <is>
          <t>—</t>
        </is>
      </c>
      <c r="K105" s="2457">
        <f>IF(H105&gt;G105,"UP","STABLE")</f>
        <v/>
      </c>
      <c r="L105" s="2458" t="n"/>
      <c r="M105" s="2605" t="n"/>
      <c r="N105" s="2606" t="n"/>
      <c r="O105" s="2607" t="n"/>
      <c r="P105" s="2608" t="n"/>
      <c r="Q105" s="2458" t="n"/>
      <c r="R105" s="2457" t="n"/>
      <c r="S105" s="2610" t="n"/>
      <c r="AB105" s="2498" t="n">
        <v>0</v>
      </c>
    </row>
    <row r="106" ht="15.75" customHeight="1" s="1666">
      <c r="B106" s="2453" t="inlineStr">
        <is>
          <t>🌍 Diversification (pays/sect.)</t>
        </is>
      </c>
      <c r="C106" s="2596" t="inlineStr">
        <is>
          <t>/25</t>
        </is>
      </c>
      <c r="D106" s="2602">
        <f>IFERROR(E106/25,0)</f>
        <v/>
      </c>
      <c r="E106" s="2614">
        <f>MAX(12,25-IF(SUMPRODUCT((F8:F48="TFSA")*Z8:Z48*L8:L48)/MAX(1,SUMPRODUCT((F8:F48="TFSA")*L8:L48))&gt;0.25,8,0)-IF(SUMPRODUCT(T8:T48*L8:L48)/MAX(1,SUMPRODUCT(L8:L48))&gt;0.45,5,0))</f>
        <v/>
      </c>
      <c r="F106" s="2454" t="inlineStr">
        <is>
          <t>IA &lt; 45% = OK · CAN+REIT TFSA &lt; 25% = OK</t>
        </is>
      </c>
      <c r="G106" s="2454" t="inlineStr">
        <is>
          <t>—</t>
        </is>
      </c>
      <c r="H106" s="2597" t="inlineStr">
        <is>
          <t>—</t>
        </is>
      </c>
      <c r="I106" s="2597" t="inlineStr">
        <is>
          <t>—</t>
        </is>
      </c>
      <c r="J106" s="2597" t="inlineStr">
        <is>
          <t>—</t>
        </is>
      </c>
      <c r="K106" s="2454">
        <f>IF(H106&gt;G106,"UP","STABLE")</f>
        <v/>
      </c>
      <c r="L106" s="2455" t="n"/>
      <c r="M106" s="2598" t="n"/>
      <c r="N106" s="2599" t="n"/>
      <c r="O106" s="2600" t="n"/>
      <c r="P106" s="2601" t="n"/>
      <c r="Q106" s="2455" t="n"/>
      <c r="R106" s="2454" t="n"/>
      <c r="S106" s="2602" t="n"/>
      <c r="AB106" s="2498" t="n">
        <v>0</v>
      </c>
    </row>
    <row r="107" ht="15.75" customHeight="1" s="1666">
      <c r="B107" s="2456" t="inlineStr">
        <is>
          <t>⚙️ Implémentation (cotisations)</t>
        </is>
      </c>
      <c r="C107" s="2603" t="inlineStr">
        <is>
          <t>/20</t>
        </is>
      </c>
      <c r="D107" s="2610">
        <f>IFERROR(E107/20,0)</f>
        <v/>
      </c>
      <c r="E107" s="2612">
        <f>IF('🏠 DASHBOARD'!J29="OK",20,IF('🏠 DASHBOARD'!J29="EXCES",8,14))</f>
        <v/>
      </c>
      <c r="F107" s="2457" t="inlineStr">
        <is>
          <t>FHSA ≤ plafond + REER cotisé + pas satellite TFSA en surplus</t>
        </is>
      </c>
      <c r="G107" s="2457" t="inlineStr">
        <is>
          <t>—</t>
        </is>
      </c>
      <c r="H107" s="2604" t="inlineStr">
        <is>
          <t>—</t>
        </is>
      </c>
      <c r="I107" s="2604" t="inlineStr">
        <is>
          <t>—</t>
        </is>
      </c>
      <c r="J107" s="2604" t="inlineStr">
        <is>
          <t>—</t>
        </is>
      </c>
      <c r="K107" s="2457">
        <f>IF(H107&gt;G107,"UP","STABLE")</f>
        <v/>
      </c>
      <c r="L107" s="2458" t="n"/>
      <c r="M107" s="2605" t="n"/>
      <c r="N107" s="2606" t="n"/>
      <c r="O107" s="2607" t="n"/>
      <c r="P107" s="2608" t="n"/>
      <c r="Q107" s="2458" t="n"/>
      <c r="R107" s="2457" t="n"/>
      <c r="S107" s="2610" t="n"/>
      <c r="AB107" s="2498" t="n">
        <v>0</v>
      </c>
    </row>
    <row r="108" ht="15.75" customHeight="1" s="1666">
      <c r="B108" s="2453" t="inlineStr">
        <is>
          <t xml:space="preserve">  🏆 SCORE TOTAL AUTO</t>
        </is>
      </c>
      <c r="C108" s="2596" t="inlineStr">
        <is>
          <t>—</t>
        </is>
      </c>
      <c r="D108" s="2454" t="n"/>
      <c r="E108" s="2614">
        <f>E104+E105+E106+E107</f>
        <v/>
      </c>
      <c r="F108" s="2454" t="inlineStr">
        <is>
          <t>/100</t>
        </is>
      </c>
      <c r="G108" s="2454">
        <f>IF(E108&gt;=80,"EXCELLENT",IF(E108&gt;=65,"BON",IF(E108&gt;=50,"EN PROGRES","ACTION REQUISE")))</f>
        <v/>
      </c>
      <c r="H108" s="2622" t="inlineStr">
        <is>
          <t>Mis à jour auto ·
Mise à jour trim. = col G-J</t>
        </is>
      </c>
      <c r="I108" s="2597" t="n"/>
      <c r="J108" s="2597" t="n"/>
      <c r="K108" s="2454" t="n"/>
      <c r="L108" s="2455" t="n"/>
      <c r="M108" s="2598" t="n"/>
      <c r="N108" s="2599" t="n"/>
      <c r="O108" s="2600" t="n"/>
      <c r="P108" s="2601" t="n"/>
      <c r="Q108" s="2455" t="n"/>
      <c r="R108" s="2454" t="n"/>
      <c r="S108" s="2602" t="n"/>
      <c r="AB108" s="2498" t="n">
        <v>0</v>
      </c>
    </row>
    <row r="109" ht="15.75" customHeight="1" s="1666"/>
    <row r="110" ht="15.75" customHeight="1" s="1666"/>
    <row r="111" ht="15.75" customHeight="1" s="1666"/>
    <row r="112" ht="15.75" customHeight="1" s="1666"/>
    <row r="113" ht="15.75" customHeight="1" s="1666"/>
    <row r="114" ht="15.75" customHeight="1" s="1666"/>
    <row r="115" ht="15.75" customHeight="1" s="1666"/>
    <row r="116" ht="15.75" customHeight="1" s="1666"/>
    <row r="117" ht="15.75" customHeight="1" s="1666"/>
    <row r="118" ht="15.75" customHeight="1" s="1666"/>
    <row r="119" ht="15.75" customHeight="1" s="1666"/>
    <row r="120" ht="15.75" customHeight="1" s="1666"/>
    <row r="121" ht="15.75" customHeight="1" s="1666"/>
    <row r="122" ht="15.75" customHeight="1" s="1666"/>
    <row r="123" ht="15.75" customHeight="1" s="1666"/>
    <row r="124" ht="15.75" customHeight="1" s="1666"/>
    <row r="125" ht="15.75" customHeight="1" s="1666"/>
    <row r="126" ht="15.75" customHeight="1" s="1666"/>
    <row r="127" ht="15.75" customHeight="1" s="1666"/>
    <row r="128" ht="15.75" customHeight="1" s="1666"/>
    <row r="129" ht="15.75" customHeight="1" s="1666"/>
    <row r="130" ht="15.75" customHeight="1" s="1666"/>
    <row r="131" ht="15.75" customHeight="1" s="1666"/>
    <row r="132" ht="15.75" customHeight="1" s="1666"/>
    <row r="133" ht="15.75" customHeight="1" s="1666"/>
    <row r="134" ht="15.75" customHeight="1" s="1666"/>
    <row r="135" ht="15.75" customHeight="1" s="1666"/>
    <row r="136" ht="15.75" customHeight="1" s="1666"/>
    <row r="137" ht="15.75" customHeight="1" s="1666"/>
    <row r="138" ht="15.75" customHeight="1" s="1666"/>
    <row r="139" ht="15.75" customHeight="1" s="1666"/>
    <row r="140" ht="15.75" customHeight="1" s="1666"/>
    <row r="141" ht="15.75" customHeight="1" s="1666"/>
    <row r="142" ht="15.75" customHeight="1" s="1666"/>
    <row r="143" ht="15.75" customHeight="1" s="1666"/>
    <row r="144" ht="15.75" customHeight="1" s="1666"/>
    <row r="145" ht="15.75" customHeight="1" s="1666"/>
    <row r="146" ht="15.75" customHeight="1" s="1666"/>
    <row r="147" ht="15.75" customHeight="1" s="1666"/>
    <row r="148" ht="15.75" customHeight="1" s="1666"/>
    <row r="149" ht="15.75" customHeight="1" s="1666"/>
    <row r="150" ht="15.75" customHeight="1" s="1666"/>
    <row r="151" ht="15.75" customHeight="1" s="1666"/>
    <row r="152" ht="15.75" customHeight="1" s="1666"/>
    <row r="153" ht="15.75" customHeight="1" s="1666"/>
    <row r="154" ht="15.75" customHeight="1" s="1666"/>
    <row r="155" ht="15.75" customHeight="1" s="1666"/>
    <row r="156" ht="15.75" customHeight="1" s="1666"/>
    <row r="157" ht="15.75" customHeight="1" s="1666"/>
    <row r="158" ht="15.75" customHeight="1" s="1666"/>
    <row r="159" ht="15.75" customHeight="1" s="1666"/>
    <row r="160" ht="15.75" customHeight="1" s="1666"/>
    <row r="161" ht="15.75" customHeight="1" s="1666"/>
    <row r="162" ht="15.75" customHeight="1" s="1666"/>
    <row r="163" ht="15.75" customHeight="1" s="1666"/>
    <row r="164" ht="15.75" customHeight="1" s="1666"/>
    <row r="165" ht="15.75" customHeight="1" s="1666"/>
    <row r="166" ht="15.75" customHeight="1" s="1666"/>
    <row r="167" ht="15.75" customHeight="1" s="1666"/>
    <row r="168" ht="15.75" customHeight="1" s="1666"/>
    <row r="169" ht="15.75" customHeight="1" s="1666"/>
    <row r="170" ht="15.75" customHeight="1" s="1666"/>
    <row r="171" ht="15.75" customHeight="1" s="1666"/>
    <row r="172" ht="15.75" customHeight="1" s="1666"/>
    <row r="173" ht="15.75" customHeight="1" s="1666"/>
    <row r="174" ht="15.75" customHeight="1" s="1666"/>
    <row r="175" ht="15.75" customHeight="1" s="1666"/>
    <row r="176" ht="15.75" customHeight="1" s="1666"/>
    <row r="177" ht="15.75" customHeight="1" s="1666"/>
    <row r="178" ht="15.75" customHeight="1" s="1666"/>
    <row r="179" ht="15.75" customHeight="1" s="1666"/>
    <row r="180" ht="15.75" customHeight="1" s="1666"/>
    <row r="181" ht="15.75" customHeight="1" s="1666"/>
    <row r="182" ht="15.75" customHeight="1" s="1666"/>
    <row r="183" ht="15.75" customHeight="1" s="1666"/>
    <row r="184" ht="15.75" customHeight="1" s="1666"/>
    <row r="185" ht="15.75" customHeight="1" s="1666"/>
    <row r="186" ht="15.75" customHeight="1" s="1666"/>
    <row r="187" ht="15.75" customHeight="1" s="1666"/>
    <row r="188" ht="15.75" customHeight="1" s="1666"/>
    <row r="189" ht="15.75" customHeight="1" s="1666"/>
    <row r="190" ht="15.75" customHeight="1" s="1666"/>
    <row r="191" ht="15.75" customHeight="1" s="1666"/>
    <row r="192" ht="15.75" customHeight="1" s="1666"/>
    <row r="193" ht="15.75" customHeight="1" s="1666"/>
    <row r="194" ht="15.75" customHeight="1" s="1666"/>
    <row r="195" ht="15.75" customHeight="1" s="1666"/>
    <row r="196" ht="15.75" customHeight="1" s="1666"/>
    <row r="197" ht="15.75" customHeight="1" s="1666"/>
    <row r="198" ht="15.75" customHeight="1" s="1666"/>
    <row r="199" ht="15.75" customHeight="1" s="1666"/>
    <row r="200" ht="15.75" customHeight="1" s="1666"/>
    <row r="201" ht="15.75" customHeight="1" s="1666"/>
    <row r="202" ht="15.75" customHeight="1" s="1666"/>
    <row r="203" ht="15.75" customHeight="1" s="1666"/>
    <row r="204" ht="15.75" customHeight="1" s="1666"/>
    <row r="205" ht="15.75" customHeight="1" s="1666"/>
    <row r="206" ht="15.75" customHeight="1" s="1666"/>
    <row r="207" ht="15.75" customHeight="1" s="1666"/>
    <row r="208" ht="15.75" customHeight="1" s="1666"/>
    <row r="209" ht="15.75" customHeight="1" s="1666"/>
    <row r="210" ht="15.75" customHeight="1" s="1666"/>
    <row r="211" ht="15.75" customHeight="1" s="1666"/>
    <row r="212" ht="15.75" customHeight="1" s="1666"/>
    <row r="213" ht="15.75" customHeight="1" s="1666"/>
    <row r="214" ht="15.75" customHeight="1" s="1666"/>
    <row r="215" ht="15.75" customHeight="1" s="1666"/>
    <row r="216" ht="15.75" customHeight="1" s="1666"/>
    <row r="217" ht="15.75" customHeight="1" s="1666"/>
    <row r="218" ht="15.75" customHeight="1" s="1666"/>
    <row r="219" ht="15.75" customHeight="1" s="1666"/>
    <row r="220" ht="15.75" customHeight="1" s="1666"/>
    <row r="221" ht="15.75" customHeight="1" s="1666"/>
    <row r="222" ht="15.75" customHeight="1" s="1666"/>
    <row r="223" ht="15.75" customHeight="1" s="1666"/>
    <row r="224" ht="15.75" customHeight="1" s="1666"/>
    <row r="225" ht="15.75" customHeight="1" s="1666"/>
    <row r="226" ht="15.75" customHeight="1" s="1666"/>
    <row r="227" ht="15.75" customHeight="1" s="1666"/>
    <row r="228" ht="15.75" customHeight="1" s="1666"/>
    <row r="229" ht="15.75" customHeight="1" s="1666"/>
    <row r="230" ht="15.75" customHeight="1" s="1666"/>
    <row r="231" ht="15.75" customHeight="1" s="1666"/>
    <row r="232" ht="15.75" customHeight="1" s="1666"/>
    <row r="233" ht="15.75" customHeight="1" s="1666"/>
    <row r="234" ht="15.75" customHeight="1" s="1666"/>
    <row r="235" ht="15.75" customHeight="1" s="1666"/>
    <row r="236" ht="15.75" customHeight="1" s="1666"/>
    <row r="237" ht="15.75" customHeight="1" s="1666"/>
    <row r="238" ht="15.75" customHeight="1" s="1666"/>
    <row r="239" ht="15.75" customHeight="1" s="1666"/>
    <row r="240" ht="15.75" customHeight="1" s="1666"/>
    <row r="241" ht="15.75" customHeight="1" s="1666"/>
    <row r="242" ht="15.75" customHeight="1" s="1666"/>
    <row r="243" ht="15.75" customHeight="1" s="1666"/>
    <row r="244" ht="15.75" customHeight="1" s="1666"/>
    <row r="245" ht="15.75" customHeight="1" s="1666"/>
    <row r="246" ht="15.75" customHeight="1" s="1666"/>
    <row r="247" ht="15.75" customHeight="1" s="1666"/>
    <row r="248" ht="15.75" customHeight="1" s="1666"/>
    <row r="249" ht="15.75" customHeight="1" s="1666"/>
    <row r="250" ht="15.75" customHeight="1" s="1666"/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autoFilter ref="A7:Y50"/>
  <mergeCells count="1">
    <mergeCell ref="B1:A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Z2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0" customWidth="1" style="1665" min="1" max="1"/>
    <col width="20" customWidth="1" style="1665" min="2" max="2"/>
    <col width="5" customWidth="1" style="1665" min="3" max="4"/>
    <col width="12" customWidth="1" style="1665" min="5" max="11"/>
    <col width="14" customWidth="1" style="1665" min="12" max="12"/>
    <col width="30" customWidth="1" style="1665" min="13" max="13"/>
  </cols>
  <sheetData>
    <row r="1" ht="27.75" customHeight="1" s="1666">
      <c r="A1" s="2623" t="inlineStr">
        <is>
          <t>📊  ANALYSE TITRES  ·  Scorecard /10 par titre  ·  Grille 8 critères  ·  Sources documentées  ·  Verdicts traçables</t>
        </is>
      </c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5.75" customHeight="1" s="1666">
      <c r="A2" s="2624" t="inlineStr">
        <is>
          <t>Chaque analyse = web search systématique · 8 critères objectifs · Score /10 auto · Verdict daté · Revu à chaque session</t>
        </is>
      </c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21.75" customHeight="1" s="1666">
      <c r="A4" s="2038" t="inlineStr">
        <is>
          <t>🎯  CRITÈRES OBJECTIFS DE CLASSIFICATION PAR TIER  ·  Gravés S16  ·  Immuables sauf révision formelle</t>
        </is>
      </c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9.5" customHeight="1" s="1666">
      <c r="A5" s="2625" t="inlineStr">
        <is>
          <t>CRITÈRE</t>
        </is>
      </c>
      <c r="C5" s="2626" t="inlineStr">
        <is>
          <t>T1 — CONVICTION MAX</t>
        </is>
      </c>
      <c r="E5" s="2626" t="inlineStr">
        <is>
          <t>T2 — ACCUMULER SÉLECTIF</t>
        </is>
      </c>
      <c r="G5" s="2627" t="inlineStr">
        <is>
          <t>T3 — HOLD SANS ACHAT</t>
        </is>
      </c>
      <c r="J5" s="2627" t="inlineStr">
        <is>
          <t>T4 — DILUER NATURELLEMENT</t>
        </is>
      </c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8" customHeight="1" s="1666">
      <c r="A6" s="2044" t="inlineStr">
        <is>
          <t>Croissance revenus/an</t>
        </is>
      </c>
      <c r="C6" s="2628" t="inlineStr">
        <is>
          <t>&gt;15%/an</t>
        </is>
      </c>
      <c r="E6" s="2629" t="inlineStr">
        <is>
          <t>5-15%/an</t>
        </is>
      </c>
      <c r="G6" s="2630" t="inlineStr">
        <is>
          <t>0-5%/an</t>
        </is>
      </c>
      <c r="J6" s="2631" t="inlineStr">
        <is>
          <t>&lt;0% ou N/A</t>
        </is>
      </c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8" customHeight="1" s="1666">
      <c r="A7" s="2051" t="inlineStr">
        <is>
          <t>Avantage compétitif</t>
        </is>
      </c>
      <c r="C7" s="2628" t="inlineStr">
        <is>
          <t>Fort + durable (moat)</t>
        </is>
      </c>
      <c r="E7" s="2629" t="inlineStr">
        <is>
          <t>Modéré ou en construction</t>
        </is>
      </c>
      <c r="G7" s="2630" t="inlineStr">
        <is>
          <t>Faible ou cyclique</t>
        </is>
      </c>
      <c r="J7" s="2631" t="inlineStr">
        <is>
          <t>Aucun ou déclinant</t>
        </is>
      </c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8" customHeight="1" s="1666">
      <c r="A8" s="2044" t="inlineStr">
        <is>
          <t>Potentiel 10 ans</t>
        </is>
      </c>
      <c r="C8" s="2628" t="inlineStr">
        <is>
          <t>×5 à ×20 possible</t>
        </is>
      </c>
      <c r="E8" s="2629" t="inlineStr">
        <is>
          <t>×2 à ×5 réaliste</t>
        </is>
      </c>
      <c r="G8" s="2630" t="inlineStr">
        <is>
          <t>×1 à ×2 stable</t>
        </is>
      </c>
      <c r="J8" s="2631" t="inlineStr">
        <is>
          <t>&lt;×1 ou incertain</t>
        </is>
      </c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8" customHeight="1" s="1666">
      <c r="A9" s="2051" t="inlineStr">
        <is>
          <t>Qualité du bilan</t>
        </is>
      </c>
      <c r="C9" s="2628" t="inlineStr">
        <is>
          <t>Excellent · Faible dette</t>
        </is>
      </c>
      <c r="E9" s="2629" t="inlineStr">
        <is>
          <t>Bon · Dette maîtrisée</t>
        </is>
      </c>
      <c r="G9" s="2630" t="inlineStr">
        <is>
          <t>Correct · Dette notable</t>
        </is>
      </c>
      <c r="J9" s="2631" t="inlineStr">
        <is>
          <t>Faible · Dette élevée</t>
        </is>
      </c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8" customHeight="1" s="1666">
      <c r="A10" s="2044" t="inlineStr">
        <is>
          <t>Conviction personnelle</t>
        </is>
      </c>
      <c r="C10" s="2628" t="inlineStr">
        <is>
          <t>Maximum · Acheter les dips</t>
        </is>
      </c>
      <c r="E10" s="2629" t="inlineStr">
        <is>
          <t>Haute · DCA régulier</t>
        </is>
      </c>
      <c r="G10" s="2630" t="inlineStr">
        <is>
          <t>Moyenne · Garder seulement</t>
        </is>
      </c>
      <c r="J10" s="2631" t="inlineStr">
        <is>
          <t>Basse · Ne plus acheter</t>
        </is>
      </c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8" customHeight="1" s="1666">
      <c r="A11" s="2051" t="inlineStr">
        <is>
          <t>Rôle dans portfolio</t>
        </is>
      </c>
      <c r="C11" s="2628" t="inlineStr">
        <is>
          <t>Moteur FI principal</t>
        </is>
      </c>
      <c r="E11" s="2629" t="inlineStr">
        <is>
          <t>Support + diversification</t>
        </is>
      </c>
      <c r="G11" s="2630" t="inlineStr">
        <is>
          <t>Défense / stabilité</t>
        </is>
      </c>
      <c r="J11" s="2631" t="inlineStr">
        <is>
          <t>Erreur passée · diluer</t>
        </is>
      </c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8" customHeight="1" s="1666">
      <c r="A12" s="2044" t="inlineStr">
        <is>
          <t>Dividende rôle</t>
        </is>
      </c>
      <c r="C12" s="2628" t="inlineStr">
        <is>
          <t>Croissance dividende T1</t>
        </is>
      </c>
      <c r="E12" s="2629" t="inlineStr">
        <is>
          <t>Dividende croissant utile</t>
        </is>
      </c>
      <c r="G12" s="2630" t="inlineStr">
        <is>
          <t>Dividende stable ok</t>
        </is>
      </c>
      <c r="J12" s="2631" t="inlineStr">
        <is>
          <t>Dividende piège possible</t>
        </is>
      </c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8" customHeight="1" s="1666">
      <c r="A13" s="2051" t="inlineStr">
        <is>
          <t>Exemple portefeuille</t>
        </is>
      </c>
      <c r="C13" s="2628" t="inlineStr">
        <is>
          <t>AVGO VFV GOOG AMZN META</t>
        </is>
      </c>
      <c r="E13" s="2629" t="inlineStr">
        <is>
          <t>MSFT NVDA QQQM SCHD SPGI</t>
        </is>
      </c>
      <c r="G13" s="2630" t="inlineStr">
        <is>
          <t>H.TO ZLB.TO HURA.TO TD.TO</t>
        </is>
      </c>
      <c r="J13" s="2631" t="inlineStr">
        <is>
          <t>XIC XEI ZRE MFC VDU REITs</t>
        </is>
      </c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5" customHeight="1" s="1666"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21.75" customHeight="1" s="1666">
      <c r="A15" s="2038" t="inlineStr">
        <is>
          <t>📋  GRILLE SCORECARD /10  ·  8 CRITÈRES PONDÉRÉS  ·  Score auto  ·  Tier suggéré automatique</t>
        </is>
      </c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8" customHeight="1" s="1666">
      <c r="A16" s="2042" t="inlineStr">
        <is>
          <t>CRITÈRE</t>
        </is>
      </c>
      <c r="B16" s="2632" t="inlineStr">
        <is>
          <t>DESCRIPTION</t>
        </is>
      </c>
      <c r="D16" s="2042" t="inlineStr">
        <is>
          <t>POIDS</t>
        </is>
      </c>
      <c r="E16" s="2042" t="inlineStr">
        <is>
          <t>SCORE /5</t>
        </is>
      </c>
      <c r="F16" s="2042" t="inlineStr">
        <is>
          <t>PONDÉRÉ</t>
        </is>
      </c>
      <c r="G16" s="2632" t="inlineStr">
        <is>
          <t>GUIDE SCORING</t>
        </is>
      </c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A17" s="2633" t="inlineStr">
        <is>
          <t>C1</t>
        </is>
      </c>
      <c r="B17" s="2044" t="inlineStr">
        <is>
          <t>Valorisation</t>
        </is>
      </c>
      <c r="C17" s="2045" t="inlineStr">
        <is>
          <t>P/E vs secteur · P/S · EV/EBITDA · pas trop cher</t>
        </is>
      </c>
      <c r="D17" s="2634" t="n">
        <v>0.15</v>
      </c>
      <c r="E17" s="2635" t="inlineStr">
        <is>
          <t>⬜ /5</t>
        </is>
      </c>
      <c r="F17" s="2636">
        <f>IF(ISNUMBER(E17),E17*D17,0)</f>
        <v/>
      </c>
      <c r="G17" s="2045" t="inlineStr">
        <is>
          <t>Score 1=très cher · 3=juste prix · 5=sous-évalué vs croissance</t>
        </is>
      </c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A18" s="2637" t="inlineStr">
        <is>
          <t>C2</t>
        </is>
      </c>
      <c r="B18" s="2051" t="inlineStr">
        <is>
          <t>Momentum</t>
        </is>
      </c>
      <c r="C18" s="2052" t="inlineStr">
        <is>
          <t>Perf 1M · 3M · 1AN · 5ANS · tendance vs indice</t>
        </is>
      </c>
      <c r="D18" s="2634" t="n">
        <v>0.1</v>
      </c>
      <c r="E18" s="2635" t="inlineStr">
        <is>
          <t>⬜ /5</t>
        </is>
      </c>
      <c r="F18" s="2636">
        <f>IF(ISNUMBER(E18),E18*D18,0)</f>
        <v/>
      </c>
      <c r="G18" s="2052" t="inlineStr">
        <is>
          <t>Score 1=baisse forte · 3=neutre · 5=surperformance constante</t>
        </is>
      </c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9.5" customHeight="1" s="1666">
      <c r="A19" s="2633" t="inlineStr">
        <is>
          <t>C3</t>
        </is>
      </c>
      <c r="B19" s="2044" t="inlineStr">
        <is>
          <t>Fondamentaux</t>
        </is>
      </c>
      <c r="C19" s="2045" t="inlineStr">
        <is>
          <t>Revenus · Marges · FCF · Dette/EBITDA · ROE</t>
        </is>
      </c>
      <c r="D19" s="2634" t="n">
        <v>0.2</v>
      </c>
      <c r="E19" s="2635" t="inlineStr">
        <is>
          <t>⬜ /5</t>
        </is>
      </c>
      <c r="F19" s="2636">
        <f>IF(ISNUMBER(E19),E19*D19,0)</f>
        <v/>
      </c>
      <c r="G19" s="2045" t="inlineStr">
        <is>
          <t>Score 1=faible · 3=correct · 5=excellent bilan + croissance</t>
        </is>
      </c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9.5" customHeight="1" s="1666">
      <c r="A20" s="2637" t="inlineStr">
        <is>
          <t>C4</t>
        </is>
      </c>
      <c r="B20" s="2051" t="inlineStr">
        <is>
          <t>Dividende</t>
        </is>
      </c>
      <c r="C20" s="2052" t="inlineStr">
        <is>
          <t>Yield · Croissance 5 ans · Payout ratio · Durabilité</t>
        </is>
      </c>
      <c r="D20" s="2634" t="n">
        <v>0.1</v>
      </c>
      <c r="E20" s="2635" t="inlineStr">
        <is>
          <t>⬜ /5</t>
        </is>
      </c>
      <c r="F20" s="2636">
        <f>IF(ISNUMBER(E20),E20*D20,0)</f>
        <v/>
      </c>
      <c r="G20" s="2052" t="inlineStr">
        <is>
          <t>Score 1=insoutenable · 3=stable · 5=croissance forte + couverte</t>
        </is>
      </c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9.5" customHeight="1" s="1666">
      <c r="A21" s="2633" t="inlineStr">
        <is>
          <t>C5</t>
        </is>
      </c>
      <c r="B21" s="2044" t="inlineStr">
        <is>
          <t>Moat / Avantage</t>
        </is>
      </c>
      <c r="C21" s="2045" t="inlineStr">
        <is>
          <t>Barrières entrée · Pricing power · Part de marché</t>
        </is>
      </c>
      <c r="D21" s="2634" t="n">
        <v>0.2</v>
      </c>
      <c r="E21" s="2635" t="inlineStr">
        <is>
          <t>⬜ /5</t>
        </is>
      </c>
      <c r="F21" s="2636">
        <f>IF(ISNUMBER(E21),E21*D21,0)</f>
        <v/>
      </c>
      <c r="G21" s="2045" t="inlineStr">
        <is>
          <t>Score 1=aucun · 3=modéré · 5=dominant + durable + irrempla</t>
        </is>
      </c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9.5" customHeight="1" s="1666">
      <c r="A22" s="2637" t="inlineStr">
        <is>
          <t>C6</t>
        </is>
      </c>
      <c r="B22" s="2051" t="inlineStr">
        <is>
          <t>Catalyseurs</t>
        </is>
      </c>
      <c r="C22" s="2052" t="inlineStr">
        <is>
          <t>Earnings prochains · Annonces · Expansion · IA/Tech</t>
        </is>
      </c>
      <c r="D22" s="2634" t="n">
        <v>0.1</v>
      </c>
      <c r="E22" s="2635" t="inlineStr">
        <is>
          <t>⬜ /5</t>
        </is>
      </c>
      <c r="F22" s="2636">
        <f>IF(ISNUMBER(E22),E22*D22,0)</f>
        <v/>
      </c>
      <c r="G22" s="2052" t="inlineStr">
        <is>
          <t>Score 1=risques seuls · 3=neutre · 5=fort pipeline 12-24 mois</t>
        </is>
      </c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9.5" customHeight="1" s="1666">
      <c r="A23" s="2633" t="inlineStr">
        <is>
          <t>C7</t>
        </is>
      </c>
      <c r="B23" s="2044" t="inlineStr">
        <is>
          <t>Risques</t>
        </is>
      </c>
      <c r="C23" s="2045" t="inlineStr">
        <is>
          <t>Régulation · Concurrence · Concentration · Macro</t>
        </is>
      </c>
      <c r="D23" s="2634" t="n">
        <v>0.1</v>
      </c>
      <c r="E23" s="2635" t="inlineStr">
        <is>
          <t>⬜ /5</t>
        </is>
      </c>
      <c r="F23" s="2636">
        <f>IF(ISNUMBER(E23),E23*D23,0)</f>
        <v/>
      </c>
      <c r="G23" s="2045" t="inlineStr">
        <is>
          <t>Score 1=risques majeurs · 3=gérables · 5=bien protégé</t>
        </is>
      </c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9.5" customHeight="1" s="1666">
      <c r="A24" s="2637" t="inlineStr">
        <is>
          <t>C8</t>
        </is>
      </c>
      <c r="B24" s="2051" t="inlineStr">
        <is>
          <t>Fit Portfolio FI</t>
        </is>
      </c>
      <c r="C24" s="2052" t="inlineStr">
        <is>
          <t>Tier approprié · Expo USD/IA · Conviction · Horizon</t>
        </is>
      </c>
      <c r="D24" s="2634" t="n">
        <v>0.05</v>
      </c>
      <c r="E24" s="2635" t="inlineStr">
        <is>
          <t>⬜ /5</t>
        </is>
      </c>
      <c r="F24" s="2636">
        <f>IF(ISNUMBER(E24),E24*D24,0)</f>
        <v/>
      </c>
      <c r="G24" s="2052" t="inlineStr">
        <is>
          <t>Score 1=mauvais fit · 3=acceptable · 5=parfait pour ton FI</t>
        </is>
      </c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21.75" customHeight="1" s="1666">
      <c r="A25" s="2638" t="inlineStr">
        <is>
          <t>SCORE TOTAL</t>
        </is>
      </c>
      <c r="D25" s="2639" t="inlineStr">
        <is>
          <t>100%</t>
        </is>
      </c>
      <c r="E25" s="2640">
        <f>SUM(F17:F24)</f>
        <v/>
      </c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21.75" customHeight="1" s="1666">
      <c r="A26" s="2641" t="inlineStr">
        <is>
          <t>TIER SUGGÉRÉ</t>
        </is>
      </c>
      <c r="D26" s="2642">
        <f>IF(F25&gt;=4,"🟢 T1 — Conviction max · Accumuler agressivement",IF(F25&gt;=3,"🟡 T2 — Accumuler sélectivement",IF(F25&gt;=2,"🟠 T3 — Hold sans accumulation","🔴 T4 — Diluer naturellement")))</f>
        <v/>
      </c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.75" customHeight="1" s="1666"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5.75" customHeight="1" s="1666"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21.75" customHeight="1" s="1666">
      <c r="A29" s="2038" t="inlineStr">
        <is>
          <t>📈  ANALYSES COMPLÈTES PAR TITRE  ·  Scorecard rempli à chaque analyse  ·  Sources + Date + Verdict</t>
        </is>
      </c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8" customHeight="1" s="1666">
      <c r="A30" s="2077" t="inlineStr">
        <is>
          <t>TICKER</t>
        </is>
      </c>
      <c r="B30" s="2077" t="inlineStr">
        <is>
          <t>NOM</t>
        </is>
      </c>
      <c r="C30" s="2077" t="inlineStr">
        <is>
          <t>TIER</t>
        </is>
      </c>
      <c r="D30" s="2077" t="inlineStr">
        <is>
          <t>DATE</t>
        </is>
      </c>
      <c r="E30" s="2077" t="inlineStr">
        <is>
          <t>C1-VAL</t>
        </is>
      </c>
      <c r="F30" s="2077" t="inlineStr">
        <is>
          <t>SC</t>
        </is>
      </c>
      <c r="G30" s="2077" t="inlineStr">
        <is>
          <t>C3-FUND</t>
        </is>
      </c>
      <c r="H30" s="2077" t="inlineStr">
        <is>
          <t>SC</t>
        </is>
      </c>
      <c r="I30" s="2077" t="inlineStr">
        <is>
          <t>C5-MOAT</t>
        </is>
      </c>
      <c r="J30" s="2077" t="inlineStr">
        <is>
          <t>SC</t>
        </is>
      </c>
      <c r="K30" s="2077" t="inlineStr">
        <is>
          <t>SCORE /5</t>
        </is>
      </c>
      <c r="L30" s="2077" t="inlineStr">
        <is>
          <t>TIER SUG.</t>
        </is>
      </c>
      <c r="M30" s="2077" t="inlineStr">
        <is>
          <t>VERDICT</t>
        </is>
      </c>
      <c r="N30" s="2089" t="n"/>
      <c r="O30" s="2090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45" customHeight="1" s="1666">
      <c r="A31" s="2065" t="inlineStr">
        <is>
          <t>VFV.TO</t>
        </is>
      </c>
      <c r="B31" s="2056" t="inlineStr">
        <is>
          <t>Vanguard S&amp;P 500</t>
        </is>
      </c>
      <c r="C31" s="2643" t="inlineStr">
        <is>
          <t>T1</t>
        </is>
      </c>
      <c r="D31" s="2053" t="inlineStr">
        <is>
          <t>Mar 2026</t>
        </is>
      </c>
      <c r="E31" s="2644" t="inlineStr">
        <is>
          <t>P/E S&amp;P ~21x — historique</t>
        </is>
      </c>
      <c r="F31" s="1745" t="n">
        <v>4</v>
      </c>
      <c r="G31" s="2644" t="inlineStr">
        <is>
          <t>500 cies · croissance bénéfices ~10%/an</t>
        </is>
      </c>
      <c r="H31" s="1745" t="n">
        <v>4.5</v>
      </c>
      <c r="I31" s="2644" t="inlineStr">
        <is>
          <t>Indice = moat ultime · 500 entreprises</t>
        </is>
      </c>
      <c r="J31" s="1745" t="n">
        <v>5</v>
      </c>
      <c r="K31" s="2645" t="n">
        <v>4.2</v>
      </c>
      <c r="L31" s="2643" t="inlineStr">
        <is>
          <t>T1</t>
        </is>
      </c>
      <c r="M31" s="2646" t="inlineStr">
        <is>
          <t>✅ ACCUMULER — DCA mensuel FHSA+TFSA. Pilier de la stratégie FI.</t>
        </is>
      </c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45" customHeight="1" s="1666">
      <c r="A32" s="2071" t="inlineStr">
        <is>
          <t>AVGO</t>
        </is>
      </c>
      <c r="B32" s="2062" t="inlineStr">
        <is>
          <t>Broadcom Inc.</t>
        </is>
      </c>
      <c r="C32" s="2647" t="inlineStr">
        <is>
          <t>T1</t>
        </is>
      </c>
      <c r="D32" s="2059" t="inlineStr">
        <is>
          <t>Mar 2026</t>
        </is>
      </c>
      <c r="E32" s="2648" t="inlineStr">
        <is>
          <t>P/E ~35x — premium justifié IA</t>
        </is>
      </c>
      <c r="F32" s="1748" t="n">
        <v>4</v>
      </c>
      <c r="G32" s="2648" t="inlineStr">
        <is>
          <t>Revenus +51% · marges EBITDA 62%</t>
        </is>
      </c>
      <c r="H32" s="1748" t="n">
        <v>5</v>
      </c>
      <c r="I32" s="2648" t="inlineStr">
        <is>
          <t>Switch semis IA quasi-monopole</t>
        </is>
      </c>
      <c r="J32" s="1748" t="n">
        <v>5</v>
      </c>
      <c r="K32" s="2649" t="n">
        <v>4.2</v>
      </c>
      <c r="L32" s="2647" t="inlineStr">
        <is>
          <t>T1</t>
        </is>
      </c>
      <c r="M32" s="2650" t="inlineStr">
        <is>
          <t>✅ ACCUMULER AGRESSIVEMENT — Dip &gt;5% = achat immédiat. No-buy 28 mai→4 juin.</t>
        </is>
      </c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45" customHeight="1" s="1666">
      <c r="A33" s="2065" t="inlineStr">
        <is>
          <t>SMH</t>
        </is>
      </c>
      <c r="B33" s="2056" t="inlineStr">
        <is>
          <t>VanEck Semis ETF</t>
        </is>
      </c>
      <c r="C33" s="2643" t="inlineStr">
        <is>
          <t>T1</t>
        </is>
      </c>
      <c r="D33" s="2053" t="inlineStr">
        <is>
          <t>Mar 2026</t>
        </is>
      </c>
      <c r="E33" s="2644" t="inlineStr">
        <is>
          <t>P/E ~28x · prime semis justifiée</t>
        </is>
      </c>
      <c r="F33" s="2651" t="n">
        <v>3.5</v>
      </c>
      <c r="G33" s="2644" t="inlineStr">
        <is>
          <t>Top holdings NVDA AVGO TSM ASML</t>
        </is>
      </c>
      <c r="H33" s="1745" t="n">
        <v>4.5</v>
      </c>
      <c r="I33" s="2644" t="inlineStr">
        <is>
          <t>Semis = infrastructure IA incontournable</t>
        </is>
      </c>
      <c r="J33" s="1745" t="n">
        <v>5</v>
      </c>
      <c r="K33" s="2652" t="n">
        <v>3.8</v>
      </c>
      <c r="L33" s="2643" t="inlineStr">
        <is>
          <t>T1</t>
        </is>
      </c>
      <c r="M33" s="2646" t="inlineStr">
        <is>
          <t>✅ ACCUMULER — Proche seuil 15%. Prochain achat si dip &gt;5% seulement.</t>
        </is>
      </c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45" customHeight="1" s="1666">
      <c r="A34" s="2071" t="inlineStr">
        <is>
          <t>GOOG</t>
        </is>
      </c>
      <c r="B34" s="2062" t="inlineStr">
        <is>
          <t>Alphabet Inc.</t>
        </is>
      </c>
      <c r="C34" s="2647" t="inlineStr">
        <is>
          <t>T1</t>
        </is>
      </c>
      <c r="D34" s="2059" t="inlineStr">
        <is>
          <t>Mar 2026</t>
        </is>
      </c>
      <c r="E34" s="2648" t="inlineStr">
        <is>
          <t>P/E ~21x — sous-évalué vs pairs IA</t>
        </is>
      </c>
      <c r="F34" s="1748" t="n">
        <v>4.5</v>
      </c>
      <c r="G34" s="2648" t="inlineStr">
        <is>
          <t>Revenus +12% · marges 32% · FCF $70B</t>
        </is>
      </c>
      <c r="H34" s="1748" t="n">
        <v>4.5</v>
      </c>
      <c r="I34" s="2648" t="inlineStr">
        <is>
          <t>Search 92% + Cloud #3 + YouTube #1</t>
        </is>
      </c>
      <c r="J34" s="1748" t="n">
        <v>5</v>
      </c>
      <c r="K34" s="2653" t="n">
        <v>3.8</v>
      </c>
      <c r="L34" s="2647" t="inlineStr">
        <is>
          <t>T1</t>
        </is>
      </c>
      <c r="M34" s="2650" t="inlineStr">
        <is>
          <t>✅ ACCUMULER — Sous-valorisé vs Meta/MSFT. Position trop petite. Dip &gt;8% = achat.</t>
        </is>
      </c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45" customHeight="1" s="1666">
      <c r="A35" s="2065" t="inlineStr">
        <is>
          <t>AMZN</t>
        </is>
      </c>
      <c r="B35" s="2056" t="inlineStr">
        <is>
          <t>Amazon.com</t>
        </is>
      </c>
      <c r="C35" s="2643" t="inlineStr">
        <is>
          <t>T1</t>
        </is>
      </c>
      <c r="D35" s="2053" t="inlineStr">
        <is>
          <t>Mar 2026</t>
        </is>
      </c>
      <c r="E35" s="2644" t="inlineStr">
        <is>
          <t>P/E ~35x · AWS premium</t>
        </is>
      </c>
      <c r="F35" s="1745" t="n">
        <v>4</v>
      </c>
      <c r="G35" s="2644" t="inlineStr">
        <is>
          <t>AWS 70% profits · e-commerce rentable</t>
        </is>
      </c>
      <c r="H35" s="1745" t="n">
        <v>4.5</v>
      </c>
      <c r="I35" s="2644" t="inlineStr">
        <is>
          <t>AWS #1 cloud · Prime moat conso</t>
        </is>
      </c>
      <c r="J35" s="1745" t="n">
        <v>5</v>
      </c>
      <c r="K35" s="2652" t="n">
        <v>3.8</v>
      </c>
      <c r="L35" s="2643" t="inlineStr">
        <is>
          <t>T1</t>
        </is>
      </c>
      <c r="M35" s="2646" t="inlineStr">
        <is>
          <t>✅ ACCUMULER — AWS = infrastructure IA incontournable. Accumulation progressive.</t>
        </is>
      </c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45" customHeight="1" s="1666">
      <c r="A36" s="2071" t="inlineStr">
        <is>
          <t>META</t>
        </is>
      </c>
      <c r="B36" s="2062" t="inlineStr">
        <is>
          <t>Meta Platforms</t>
        </is>
      </c>
      <c r="C36" s="2647" t="inlineStr">
        <is>
          <t>T1</t>
        </is>
      </c>
      <c r="D36" s="2059" t="inlineStr">
        <is>
          <t>Mar 2026</t>
        </is>
      </c>
      <c r="E36" s="2648" t="inlineStr">
        <is>
          <t>P/E ~27x — raisonnable</t>
        </is>
      </c>
      <c r="F36" s="1748" t="n">
        <v>4</v>
      </c>
      <c r="G36" s="2648" t="inlineStr">
        <is>
          <t>Revenus +21% · marges 41% · FCF $50B</t>
        </is>
      </c>
      <c r="H36" s="1748" t="n">
        <v>5</v>
      </c>
      <c r="I36" s="2648" t="inlineStr">
        <is>
          <t>Réseaux sociaux 3.3B users · moat pub</t>
        </is>
      </c>
      <c r="J36" s="1748" t="n">
        <v>5</v>
      </c>
      <c r="K36" s="2653" t="n">
        <v>3.9</v>
      </c>
      <c r="L36" s="2647" t="inlineStr">
        <is>
          <t>T1</t>
        </is>
      </c>
      <c r="M36" s="2650" t="inlineStr">
        <is>
          <t>✅ ACCUMULER — Après earnings Q1 (fin avril). No-buy 21→28 avr.</t>
        </is>
      </c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45" customHeight="1" s="1666">
      <c r="A37" s="2065" t="inlineStr">
        <is>
          <t>GEV</t>
        </is>
      </c>
      <c r="B37" s="2056" t="inlineStr">
        <is>
          <t>GE Vernova</t>
        </is>
      </c>
      <c r="C37" s="2643" t="inlineStr">
        <is>
          <t>T1</t>
        </is>
      </c>
      <c r="D37" s="2053" t="inlineStr">
        <is>
          <t>Mar 2026</t>
        </is>
      </c>
      <c r="E37" s="2644" t="inlineStr">
        <is>
          <t>P/E ~55x — growth premium élevé</t>
        </is>
      </c>
      <c r="F37" s="2651" t="n">
        <v>3</v>
      </c>
      <c r="G37" s="2644" t="inlineStr">
        <is>
          <t>Revenus +14% · marge en amélioration</t>
        </is>
      </c>
      <c r="H37" s="1745" t="n">
        <v>4</v>
      </c>
      <c r="I37" s="2644" t="inlineStr">
        <is>
          <t>Turbines gaz + éolien + grid = moat infra</t>
        </is>
      </c>
      <c r="J37" s="1745" t="n">
        <v>4.5</v>
      </c>
      <c r="K37" s="2652" t="n">
        <v>3.7</v>
      </c>
      <c r="L37" s="2643" t="inlineStr">
        <is>
          <t>T1</t>
        </is>
      </c>
      <c r="M37" s="2646" t="inlineStr">
        <is>
          <t>✅ ACCUMULER — Infrastructure IA indispensable. Dip &gt;10% = achat fort.</t>
        </is>
      </c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45" customHeight="1" s="1666">
      <c r="A38" s="2071" t="inlineStr">
        <is>
          <t>ENB.TO</t>
        </is>
      </c>
      <c r="B38" s="2062" t="inlineStr">
        <is>
          <t>Enbridge Inc.</t>
        </is>
      </c>
      <c r="C38" s="2647" t="inlineStr">
        <is>
          <t>T1</t>
        </is>
      </c>
      <c r="D38" s="2059" t="inlineStr">
        <is>
          <t>Mar 2026</t>
        </is>
      </c>
      <c r="E38" s="2648" t="inlineStr">
        <is>
          <t>P/E ~18x · yield play</t>
        </is>
      </c>
      <c r="F38" s="1748" t="n">
        <v>4</v>
      </c>
      <c r="G38" s="2648" t="inlineStr">
        <is>
          <t>Revenus stables · FCF $5B · régulé</t>
        </is>
      </c>
      <c r="H38" s="1748" t="n">
        <v>4</v>
      </c>
      <c r="I38" s="2648" t="inlineStr">
        <is>
          <t>Pipelines = infrastructure réglementée</t>
        </is>
      </c>
      <c r="J38" s="1748" t="n">
        <v>4.5</v>
      </c>
      <c r="K38" s="2653" t="n">
        <v>3.8</v>
      </c>
      <c r="L38" s="2647" t="inlineStr">
        <is>
          <t>T1</t>
        </is>
      </c>
      <c r="M38" s="2650" t="inlineStr">
        <is>
          <t>✅ GARDER + ACCUMULER pour dividende. Pilier revenus passifs $39/an.</t>
        </is>
      </c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45" customHeight="1" s="1666">
      <c r="A39" s="2065" t="inlineStr">
        <is>
          <t>SCHD</t>
        </is>
      </c>
      <c r="B39" s="2056" t="inlineStr">
        <is>
          <t>Schwab US Div ETF</t>
        </is>
      </c>
      <c r="C39" s="2643" t="inlineStr">
        <is>
          <t>T1</t>
        </is>
      </c>
      <c r="D39" s="2053" t="inlineStr">
        <is>
          <t>Mar 2026</t>
        </is>
      </c>
      <c r="E39" s="2644" t="inlineStr">
        <is>
          <t>P/E ~17x — value screen</t>
        </is>
      </c>
      <c r="F39" s="1745" t="n">
        <v>4.5</v>
      </c>
      <c r="G39" s="2644" t="inlineStr">
        <is>
          <t>Quality screen · profitabilité filtrée</t>
        </is>
      </c>
      <c r="H39" s="1745" t="n">
        <v>4.5</v>
      </c>
      <c r="I39" s="2644" t="inlineStr">
        <is>
          <t>100 titres quality dividend — moat sélection</t>
        </is>
      </c>
      <c r="J39" s="1745" t="n">
        <v>4.5</v>
      </c>
      <c r="K39" s="2645" t="n">
        <v>4.4</v>
      </c>
      <c r="L39" s="2643" t="inlineStr">
        <is>
          <t>T1</t>
        </is>
      </c>
      <c r="M39" s="2646" t="inlineStr">
        <is>
          <t>✅ ACCUMULER REER $2K/mois — Meilleur véhicule snowball fiscal. Priorité #1 REER.</t>
        </is>
      </c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8" customHeight="1" s="1666">
      <c r="A40" s="2654" t="inlineStr">
        <is>
          <t>MSFT</t>
        </is>
      </c>
      <c r="B40" s="2629" t="inlineStr">
        <is>
          <t>Microsoft Corp.</t>
        </is>
      </c>
      <c r="C40" s="2655" t="inlineStr">
        <is>
          <t>T2</t>
        </is>
      </c>
      <c r="D40" s="2656" t="inlineStr">
        <is>
          <t>⬜ À analyser</t>
        </is>
      </c>
      <c r="E40" s="2657" t="n"/>
      <c r="F40" s="2657" t="n"/>
      <c r="G40" s="2657" t="n"/>
      <c r="H40" s="2657" t="n"/>
      <c r="I40" s="2657" t="n"/>
      <c r="J40" s="2657" t="n"/>
      <c r="K40" s="2657" t="n"/>
      <c r="L40" s="2657" t="n"/>
      <c r="M40" s="2658">
        <f>IF(ISNUMBER(E40),SUM(E40:L40)/8*5,"⬜")</f>
        <v/>
      </c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8" customHeight="1" s="1666">
      <c r="A41" s="2654" t="inlineStr">
        <is>
          <t>NVDA</t>
        </is>
      </c>
      <c r="B41" s="2629" t="inlineStr">
        <is>
          <t>NVIDIA Corp.</t>
        </is>
      </c>
      <c r="C41" s="2655" t="inlineStr">
        <is>
          <t>T2</t>
        </is>
      </c>
      <c r="D41" s="2656" t="inlineStr">
        <is>
          <t>⬜ À analyser</t>
        </is>
      </c>
      <c r="E41" s="2657" t="n"/>
      <c r="F41" s="2657" t="n"/>
      <c r="G41" s="2657" t="n"/>
      <c r="H41" s="2657" t="n"/>
      <c r="I41" s="2657" t="n"/>
      <c r="J41" s="2657" t="n"/>
      <c r="K41" s="2657" t="n"/>
      <c r="L41" s="2657" t="n"/>
      <c r="M41" s="2658">
        <f>IF(ISNUMBER(E41),SUM(E41:L41)/8*5,"⬜")</f>
        <v/>
      </c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A42" s="2654" t="inlineStr">
        <is>
          <t>QQQM</t>
        </is>
      </c>
      <c r="B42" s="2629" t="inlineStr">
        <is>
          <t>Invesco Nasdaq ETF</t>
        </is>
      </c>
      <c r="C42" s="2655" t="inlineStr">
        <is>
          <t>T2</t>
        </is>
      </c>
      <c r="D42" s="2656" t="inlineStr">
        <is>
          <t>⬜ À analyser</t>
        </is>
      </c>
      <c r="E42" s="2657" t="n"/>
      <c r="F42" s="2657" t="n"/>
      <c r="G42" s="2657" t="n"/>
      <c r="H42" s="2657" t="n"/>
      <c r="I42" s="2657" t="n"/>
      <c r="J42" s="2657" t="n"/>
      <c r="K42" s="2657" t="n"/>
      <c r="L42" s="2657" t="n"/>
      <c r="M42" s="2658">
        <f>IF(ISNUMBER(E42),SUM(E42:L42)/8*5,"⬜")</f>
        <v/>
      </c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8" customHeight="1" s="1666">
      <c r="A43" s="2654" t="inlineStr">
        <is>
          <t>SPGI</t>
        </is>
      </c>
      <c r="B43" s="2629" t="inlineStr">
        <is>
          <t>S&amp;P Global Inc.</t>
        </is>
      </c>
      <c r="C43" s="2655" t="inlineStr">
        <is>
          <t>T2</t>
        </is>
      </c>
      <c r="D43" s="2656" t="inlineStr">
        <is>
          <t>⬜ À analyser</t>
        </is>
      </c>
      <c r="E43" s="2657" t="n"/>
      <c r="F43" s="2657" t="n"/>
      <c r="G43" s="2657" t="n"/>
      <c r="H43" s="2657" t="n"/>
      <c r="I43" s="2657" t="n"/>
      <c r="J43" s="2657" t="n"/>
      <c r="K43" s="2657" t="n"/>
      <c r="L43" s="2657" t="n"/>
      <c r="M43" s="2658">
        <f>IF(ISNUMBER(E43),SUM(E43:L43)/8*5,"⬜")</f>
        <v/>
      </c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8" customHeight="1" s="1666">
      <c r="A44" s="2654" t="inlineStr">
        <is>
          <t>JEPI</t>
        </is>
      </c>
      <c r="B44" s="2629" t="inlineStr">
        <is>
          <t>JPMorgan Equity Premium</t>
        </is>
      </c>
      <c r="C44" s="2655" t="inlineStr">
        <is>
          <t>T2</t>
        </is>
      </c>
      <c r="D44" s="2656" t="inlineStr">
        <is>
          <t>⬜ À analyser</t>
        </is>
      </c>
      <c r="E44" s="2657" t="n"/>
      <c r="F44" s="2657" t="n"/>
      <c r="G44" s="2657" t="n"/>
      <c r="H44" s="2657" t="n"/>
      <c r="I44" s="2657" t="n"/>
      <c r="J44" s="2657" t="n"/>
      <c r="K44" s="2657" t="n"/>
      <c r="L44" s="2657" t="n"/>
      <c r="M44" s="2658">
        <f>IF(ISNUMBER(E44),SUM(E44:L44)/8*5,"⬜")</f>
        <v/>
      </c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8" customHeight="1" s="1666">
      <c r="A45" s="2654" t="inlineStr">
        <is>
          <t>TSLA</t>
        </is>
      </c>
      <c r="B45" s="2629" t="inlineStr">
        <is>
          <t>Tesla Inc.</t>
        </is>
      </c>
      <c r="C45" s="2655" t="inlineStr">
        <is>
          <t>T2</t>
        </is>
      </c>
      <c r="D45" s="2656" t="inlineStr">
        <is>
          <t>⬜ À analyser</t>
        </is>
      </c>
      <c r="E45" s="2657" t="n"/>
      <c r="F45" s="2657" t="n"/>
      <c r="G45" s="2657" t="n"/>
      <c r="H45" s="2657" t="n"/>
      <c r="I45" s="2657" t="n"/>
      <c r="J45" s="2657" t="n"/>
      <c r="K45" s="2657" t="n"/>
      <c r="L45" s="2657" t="n"/>
      <c r="M45" s="2658">
        <f>IF(ISNUMBER(E45),SUM(E45:L45)/8*5,"⬜")</f>
        <v/>
      </c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8" customHeight="1" s="1666">
      <c r="A46" s="2654" t="inlineStr">
        <is>
          <t>XEQT.TO</t>
        </is>
      </c>
      <c r="B46" s="2629" t="inlineStr">
        <is>
          <t>iShares All-Equity ETF</t>
        </is>
      </c>
      <c r="C46" s="2655" t="inlineStr">
        <is>
          <t>T2</t>
        </is>
      </c>
      <c r="D46" s="2656" t="inlineStr">
        <is>
          <t>⬜ À analyser</t>
        </is>
      </c>
      <c r="E46" s="2657" t="n"/>
      <c r="F46" s="2657" t="n"/>
      <c r="G46" s="2657" t="n"/>
      <c r="H46" s="2657" t="n"/>
      <c r="I46" s="2657" t="n"/>
      <c r="J46" s="2657" t="n"/>
      <c r="K46" s="2657" t="n"/>
      <c r="L46" s="2657" t="n"/>
      <c r="M46" s="2658">
        <f>IF(ISNUMBER(E46),SUM(E46:L46)/8*5,"⬜")</f>
        <v/>
      </c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8" customHeight="1" s="1666">
      <c r="A47" s="2659" t="inlineStr">
        <is>
          <t>TD.TO</t>
        </is>
      </c>
      <c r="B47" s="2630" t="inlineStr">
        <is>
          <t>TD Bank</t>
        </is>
      </c>
      <c r="C47" s="2660" t="inlineStr">
        <is>
          <t>T3</t>
        </is>
      </c>
      <c r="D47" s="2656" t="inlineStr">
        <is>
          <t>⬜ À analyser</t>
        </is>
      </c>
      <c r="E47" s="2657" t="n"/>
      <c r="F47" s="2657" t="n"/>
      <c r="G47" s="2657" t="n"/>
      <c r="H47" s="2657" t="n"/>
      <c r="I47" s="2657" t="n"/>
      <c r="J47" s="2657" t="n"/>
      <c r="K47" s="2657" t="n"/>
      <c r="L47" s="2657" t="n"/>
      <c r="M47" s="2658">
        <f>IF(ISNUMBER(E47),SUM(E47:L47)/8*5,"⬜")</f>
        <v/>
      </c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8" customHeight="1" s="1666">
      <c r="A48" s="2659" t="inlineStr">
        <is>
          <t>H.TO</t>
        </is>
      </c>
      <c r="B48" s="2630" t="inlineStr">
        <is>
          <t>Hydro One</t>
        </is>
      </c>
      <c r="C48" s="2660" t="inlineStr">
        <is>
          <t>T3</t>
        </is>
      </c>
      <c r="D48" s="2656" t="inlineStr">
        <is>
          <t>⬜ À analyser</t>
        </is>
      </c>
      <c r="E48" s="2657" t="n"/>
      <c r="F48" s="2657" t="n"/>
      <c r="G48" s="2657" t="n"/>
      <c r="H48" s="2657" t="n"/>
      <c r="I48" s="2657" t="n"/>
      <c r="J48" s="2657" t="n"/>
      <c r="K48" s="2657" t="n"/>
      <c r="L48" s="2657" t="n"/>
      <c r="M48" s="2658">
        <f>IF(ISNUMBER(E48),SUM(E48:L48)/8*5,"⬜")</f>
        <v/>
      </c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8" customHeight="1" s="1666">
      <c r="A49" s="2659" t="inlineStr">
        <is>
          <t>T.TO</t>
        </is>
      </c>
      <c r="B49" s="2630" t="inlineStr">
        <is>
          <t>TELUS Corp.</t>
        </is>
      </c>
      <c r="C49" s="2660" t="inlineStr">
        <is>
          <t>T3</t>
        </is>
      </c>
      <c r="D49" s="2656" t="inlineStr">
        <is>
          <t>⬜ À analyser</t>
        </is>
      </c>
      <c r="E49" s="2657" t="n"/>
      <c r="F49" s="2657" t="n"/>
      <c r="G49" s="2657" t="n"/>
      <c r="H49" s="2657" t="n"/>
      <c r="I49" s="2657" t="n"/>
      <c r="J49" s="2657" t="n"/>
      <c r="K49" s="2657" t="n"/>
      <c r="L49" s="2657" t="n"/>
      <c r="M49" s="2658">
        <f>IF(ISNUMBER(E49),SUM(E49:L49)/8*5,"⬜")</f>
        <v/>
      </c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8" customHeight="1" s="1666">
      <c r="A50" s="2659" t="inlineStr">
        <is>
          <t>ZLB.TO</t>
        </is>
      </c>
      <c r="B50" s="2630" t="inlineStr">
        <is>
          <t>BMO Low Volatility ETF</t>
        </is>
      </c>
      <c r="C50" s="2660" t="inlineStr">
        <is>
          <t>T3</t>
        </is>
      </c>
      <c r="D50" s="2656" t="inlineStr">
        <is>
          <t>⬜ À analyser</t>
        </is>
      </c>
      <c r="E50" s="2657" t="n"/>
      <c r="F50" s="2657" t="n"/>
      <c r="G50" s="2657" t="n"/>
      <c r="H50" s="2657" t="n"/>
      <c r="I50" s="2657" t="n"/>
      <c r="J50" s="2657" t="n"/>
      <c r="K50" s="2657" t="n"/>
      <c r="L50" s="2657" t="n"/>
      <c r="M50" s="2658">
        <f>IF(ISNUMBER(E50),SUM(E50:L50)/8*5,"⬜")</f>
        <v/>
      </c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8" customHeight="1" s="1666">
      <c r="A51" s="2659" t="inlineStr">
        <is>
          <t>HURA.TO</t>
        </is>
      </c>
      <c r="B51" s="2630" t="inlineStr">
        <is>
          <t>Horizons Uranium ETF</t>
        </is>
      </c>
      <c r="C51" s="2660" t="inlineStr">
        <is>
          <t>T3</t>
        </is>
      </c>
      <c r="D51" s="2656" t="inlineStr">
        <is>
          <t>⬜ À analyser</t>
        </is>
      </c>
      <c r="E51" s="2657" t="n"/>
      <c r="F51" s="2657" t="n"/>
      <c r="G51" s="2657" t="n"/>
      <c r="H51" s="2657" t="n"/>
      <c r="I51" s="2657" t="n"/>
      <c r="J51" s="2657" t="n"/>
      <c r="K51" s="2657" t="n"/>
      <c r="L51" s="2657" t="n"/>
      <c r="M51" s="2658">
        <f>IF(ISNUMBER(E51),SUM(E51:L51)/8*5,"⬜")</f>
        <v/>
      </c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8" customHeight="1" s="1666">
      <c r="A52" s="2659" t="inlineStr">
        <is>
          <t>QTUM</t>
        </is>
      </c>
      <c r="B52" s="2630" t="inlineStr">
        <is>
          <t>Defiance Quantum ETF</t>
        </is>
      </c>
      <c r="C52" s="2660" t="inlineStr">
        <is>
          <t>T3</t>
        </is>
      </c>
      <c r="D52" s="2656" t="inlineStr">
        <is>
          <t>⬜ À analyser</t>
        </is>
      </c>
      <c r="E52" s="2657" t="n"/>
      <c r="F52" s="2657" t="n"/>
      <c r="G52" s="2657" t="n"/>
      <c r="H52" s="2657" t="n"/>
      <c r="I52" s="2657" t="n"/>
      <c r="J52" s="2657" t="n"/>
      <c r="K52" s="2657" t="n"/>
      <c r="L52" s="2657" t="n"/>
      <c r="M52" s="2658">
        <f>IF(ISNUMBER(E52),SUM(E52:L52)/8*5,"⬜")</f>
        <v/>
      </c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8" customHeight="1" s="1666">
      <c r="A53" s="2661" t="inlineStr">
        <is>
          <t>XIC.TO</t>
        </is>
      </c>
      <c r="B53" s="2631" t="inlineStr">
        <is>
          <t>iShares TSX Capped ETF</t>
        </is>
      </c>
      <c r="C53" s="2662" t="inlineStr">
        <is>
          <t>T4</t>
        </is>
      </c>
      <c r="D53" s="2656" t="inlineStr">
        <is>
          <t>⬜ À analyser</t>
        </is>
      </c>
      <c r="E53" s="2657" t="n"/>
      <c r="F53" s="2657" t="n"/>
      <c r="G53" s="2657" t="n"/>
      <c r="H53" s="2657" t="n"/>
      <c r="I53" s="2657" t="n"/>
      <c r="J53" s="2657" t="n"/>
      <c r="K53" s="2657" t="n"/>
      <c r="L53" s="2657" t="n"/>
      <c r="M53" s="2658">
        <f>IF(ISNUMBER(E53),SUM(E53:L53)/8*5,"⬜")</f>
        <v/>
      </c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8" customHeight="1" s="1666">
      <c r="A54" s="2661" t="inlineStr">
        <is>
          <t>MFC.TO</t>
        </is>
      </c>
      <c r="B54" s="2631" t="inlineStr">
        <is>
          <t>Manulife Financial</t>
        </is>
      </c>
      <c r="C54" s="2662" t="inlineStr">
        <is>
          <t>T4</t>
        </is>
      </c>
      <c r="D54" s="2656" t="inlineStr">
        <is>
          <t>⬜ À analyser</t>
        </is>
      </c>
      <c r="E54" s="2657" t="n"/>
      <c r="F54" s="2657" t="n"/>
      <c r="G54" s="2657" t="n"/>
      <c r="H54" s="2657" t="n"/>
      <c r="I54" s="2657" t="n"/>
      <c r="J54" s="2657" t="n"/>
      <c r="K54" s="2657" t="n"/>
      <c r="L54" s="2657" t="n"/>
      <c r="M54" s="2658">
        <f>IF(ISNUMBER(E54),SUM(E54:L54)/8*5,"⬜")</f>
        <v/>
      </c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8" customHeight="1" s="1666">
      <c r="A55" s="2661" t="inlineStr">
        <is>
          <t>XEI.TO</t>
        </is>
      </c>
      <c r="B55" s="2631" t="inlineStr">
        <is>
          <t>iShares S&amp;P/TSX HiDiv</t>
        </is>
      </c>
      <c r="C55" s="2662" t="inlineStr">
        <is>
          <t>T4</t>
        </is>
      </c>
      <c r="D55" s="2656" t="inlineStr">
        <is>
          <t>⬜ À analyser</t>
        </is>
      </c>
      <c r="E55" s="2657" t="n"/>
      <c r="F55" s="2657" t="n"/>
      <c r="G55" s="2657" t="n"/>
      <c r="H55" s="2657" t="n"/>
      <c r="I55" s="2657" t="n"/>
      <c r="J55" s="2657" t="n"/>
      <c r="K55" s="2657" t="n"/>
      <c r="L55" s="2657" t="n"/>
      <c r="M55" s="2658">
        <f>IF(ISNUMBER(E55),SUM(E55:L55)/8*5,"⬜")</f>
        <v/>
      </c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8" customHeight="1" s="1666">
      <c r="A56" s="2661" t="inlineStr">
        <is>
          <t>ZRE.TO</t>
        </is>
      </c>
      <c r="B56" s="2631" t="inlineStr">
        <is>
          <t>BMO Equal Weight REITs</t>
        </is>
      </c>
      <c r="C56" s="2662" t="inlineStr">
        <is>
          <t>T4</t>
        </is>
      </c>
      <c r="D56" s="2656" t="inlineStr">
        <is>
          <t>⬜ À analyser</t>
        </is>
      </c>
      <c r="E56" s="2657" t="n"/>
      <c r="F56" s="2657" t="n"/>
      <c r="G56" s="2657" t="n"/>
      <c r="H56" s="2657" t="n"/>
      <c r="I56" s="2657" t="n"/>
      <c r="J56" s="2657" t="n"/>
      <c r="K56" s="2657" t="n"/>
      <c r="L56" s="2657" t="n"/>
      <c r="M56" s="2658">
        <f>IF(ISNUMBER(E56),SUM(E56:L56)/8*5,"⬜")</f>
        <v/>
      </c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8" customHeight="1" s="1666">
      <c r="A57" s="2661" t="inlineStr">
        <is>
          <t>VDU.TO</t>
        </is>
      </c>
      <c r="B57" s="2631" t="inlineStr">
        <is>
          <t>Vanguard FTSE Dev ex-NA</t>
        </is>
      </c>
      <c r="C57" s="2662" t="inlineStr">
        <is>
          <t>T4</t>
        </is>
      </c>
      <c r="D57" s="2656" t="inlineStr">
        <is>
          <t>⬜ À analyser</t>
        </is>
      </c>
      <c r="E57" s="2657" t="n"/>
      <c r="F57" s="2657" t="n"/>
      <c r="G57" s="2657" t="n"/>
      <c r="H57" s="2657" t="n"/>
      <c r="I57" s="2657" t="n"/>
      <c r="J57" s="2657" t="n"/>
      <c r="K57" s="2657" t="n"/>
      <c r="L57" s="2657" t="n"/>
      <c r="M57" s="2658">
        <f>IF(ISNUMBER(E57),SUM(E57:L57)/8*5,"⬜")</f>
        <v/>
      </c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8" customHeight="1" s="1666">
      <c r="A58" s="2661" t="inlineStr">
        <is>
          <t>SRU.UN.TO</t>
        </is>
      </c>
      <c r="B58" s="2631" t="inlineStr">
        <is>
          <t>SmartCentres REIT</t>
        </is>
      </c>
      <c r="C58" s="2662" t="inlineStr">
        <is>
          <t>T4</t>
        </is>
      </c>
      <c r="D58" s="2656" t="inlineStr">
        <is>
          <t>⬜ À analyser</t>
        </is>
      </c>
      <c r="E58" s="2657" t="n"/>
      <c r="F58" s="2657" t="n"/>
      <c r="G58" s="2657" t="n"/>
      <c r="H58" s="2657" t="n"/>
      <c r="I58" s="2657" t="n"/>
      <c r="J58" s="2657" t="n"/>
      <c r="K58" s="2657" t="n"/>
      <c r="L58" s="2657" t="n"/>
      <c r="M58" s="2658">
        <f>IF(ISNUMBER(E58),SUM(E58:L58)/8*5,"⬜")</f>
        <v/>
      </c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8" customHeight="1" s="1666">
      <c r="A59" s="2661" t="inlineStr">
        <is>
          <t>REI.UN.TO</t>
        </is>
      </c>
      <c r="B59" s="2631" t="inlineStr">
        <is>
          <t>RioCan REIT</t>
        </is>
      </c>
      <c r="C59" s="2662" t="inlineStr">
        <is>
          <t>VENDU ✅</t>
        </is>
      </c>
      <c r="D59" s="2656" t="inlineStr">
        <is>
          <t>✅ VENDU 11 mars 2026</t>
        </is>
      </c>
      <c r="E59" s="2657" t="n"/>
      <c r="F59" s="2657" t="n"/>
      <c r="G59" s="2657" t="n"/>
      <c r="H59" s="2657" t="n"/>
      <c r="I59" s="2657" t="n"/>
      <c r="J59" s="2657" t="n"/>
      <c r="K59" s="2657" t="n"/>
      <c r="L59" s="2657" t="n"/>
      <c r="M59" s="2658">
        <f>IF(ISNUMBER(E59),SUM(E59:L59)/8*5,"⬜")</f>
        <v/>
      </c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21.75" customHeight="1" s="1666">
      <c r="A61" s="2038" t="inlineStr">
        <is>
          <t>🔬  PROTOCOLE D'ANALYSE  ·  8 étapes · Exécuter dans l'ordre · Ne jamais sauter une étape</t>
        </is>
      </c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8" customHeight="1" s="1666">
      <c r="A62" s="2637" t="inlineStr">
        <is>
          <t>Étape 1</t>
        </is>
      </c>
      <c r="B62" s="2051" t="inlineStr">
        <is>
          <t>Web search prix live</t>
        </is>
      </c>
      <c r="E62" s="2050" t="inlineStr">
        <is>
          <t>StockAnalysis.com + Morningstar — prix actuel · P/E · P/S · 52-week range</t>
        </is>
      </c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8" customHeight="1" s="1666">
      <c r="A63" s="2633" t="inlineStr">
        <is>
          <t>Étape 2</t>
        </is>
      </c>
      <c r="B63" s="2044" t="inlineStr">
        <is>
          <t>Fondamentaux</t>
        </is>
      </c>
      <c r="E63" s="2043" t="inlineStr">
        <is>
          <t>Simply Wall St + Koyfin — revenus 3 ans · marges · FCF · dette · ROE</t>
        </is>
      </c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8" customHeight="1" s="1666">
      <c r="A64" s="2637" t="inlineStr">
        <is>
          <t>Étape 3</t>
        </is>
      </c>
      <c r="B64" s="2051" t="inlineStr">
        <is>
          <t>Dividende</t>
        </is>
      </c>
      <c r="E64" s="2050" t="inlineStr">
        <is>
          <t>Digrin + Simply Wall St — yield actuel · croissance 5 ans · payout ratio</t>
        </is>
      </c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8" customHeight="1" s="1666">
      <c r="A65" s="2633" t="inlineStr">
        <is>
          <t>Étape 4</t>
        </is>
      </c>
      <c r="B65" s="2044" t="inlineStr">
        <is>
          <t>Earnings calendar</t>
        </is>
      </c>
      <c r="E65" s="2043" t="inlineStr">
        <is>
          <t>StockEvents — date prochain earnings · no-buy zone si &lt;7 jours</t>
        </is>
      </c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8" customHeight="1" s="1666">
      <c r="A66" s="2637" t="inlineStr">
        <is>
          <t>Étape 5</t>
        </is>
      </c>
      <c r="B66" s="2051" t="inlineStr">
        <is>
          <t>Comparaison sectorielle</t>
        </is>
      </c>
      <c r="E66" s="2050" t="inlineStr">
        <is>
          <t>Morningstar — P/E vs secteur · performance relative 1 an</t>
        </is>
      </c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8" customHeight="1" s="1666">
      <c r="A67" s="2633" t="inlineStr">
        <is>
          <t>Étape 6</t>
        </is>
      </c>
      <c r="B67" s="2044" t="inlineStr">
        <is>
          <t>Catalyseurs &amp; risques</t>
        </is>
      </c>
      <c r="E67" s="2043" t="inlineStr">
        <is>
          <t>Seeking Alpha / news récentes — pipeline produits · régulation · macro</t>
        </is>
      </c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8" customHeight="1" s="1666">
      <c r="A68" s="2637" t="inlineStr">
        <is>
          <t>Étape 7</t>
        </is>
      </c>
      <c r="B68" s="2051" t="inlineStr">
        <is>
          <t>Fit portfolio</t>
        </is>
      </c>
      <c r="E68" s="2050" t="inlineStr">
        <is>
          <t>Expo USD · IA · tier suggéré · conviction · objectif CAD dans portfolio</t>
        </is>
      </c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8" customHeight="1" s="1666">
      <c r="A69" s="2633" t="inlineStr">
        <is>
          <t>Étape 8</t>
        </is>
      </c>
      <c r="B69" s="2044" t="inlineStr">
        <is>
          <t>Verdict final</t>
        </is>
      </c>
      <c r="E69" s="2043" t="inlineStr">
        <is>
          <t>Score /10 · Tier confirmé ou changement · Action: Acheter/Attendre/Éviter + raison</t>
        </is>
      </c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21.75" customHeight="1" s="1666">
      <c r="A71" s="2038" t="inlineStr">
        <is>
          <t>📅  VERDICTS J+30  ·  Mesurer fiabilité des analyses  ·  11 avril 2026 = premier verdict</t>
        </is>
      </c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8" customHeight="1" s="1666">
      <c r="A72" s="2372" t="inlineStr">
        <is>
          <t>DATE ANALYSE</t>
        </is>
      </c>
      <c r="B72" s="2372" t="inlineStr">
        <is>
          <t>TICKER</t>
        </is>
      </c>
      <c r="C72" s="2372" t="inlineStr">
        <is>
          <t>VERDICT INITIAL</t>
        </is>
      </c>
      <c r="D72" s="2372" t="inlineStr">
        <is>
          <t>PRIX ENTRÉE</t>
        </is>
      </c>
      <c r="E72" s="2372" t="inlineStr">
        <is>
          <t>TICKER</t>
        </is>
      </c>
      <c r="F72" s="2372" t="inlineStr">
        <is>
          <t>PRIX J+30</t>
        </is>
      </c>
      <c r="G72" s="2372" t="inlineStr">
        <is>
          <t>PERF %</t>
        </is>
      </c>
      <c r="H72" s="2372" t="inlineStr">
        <is>
          <t>VERDICT CORRECT?</t>
        </is>
      </c>
      <c r="I72" s="2372" t="inlineStr">
        <is>
          <t>LEÇON APPRISE</t>
        </is>
      </c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8.75" customHeight="1" s="1666">
      <c r="A73" s="2663" t="inlineStr">
        <is>
          <t>2026-03-11</t>
        </is>
      </c>
      <c r="B73" s="2663" t="inlineStr">
        <is>
          <t>Ex: AVGO</t>
        </is>
      </c>
      <c r="C73" s="2663" t="inlineStr">
        <is>
          <t>Ex: Acheter T1</t>
        </is>
      </c>
      <c r="D73" s="2663" t="inlineStr">
        <is>
          <t>Ex: $340 USD</t>
        </is>
      </c>
      <c r="E73" s="2663" t="inlineStr">
        <is>
          <t>→ J+30:</t>
        </is>
      </c>
      <c r="F73" s="2663" t="inlineStr">
        <is>
          <t>⬜ 11 avril</t>
        </is>
      </c>
      <c r="G73" s="2663">
        <f>IF(ISNUMBER(F73),(F73-D73)/D73,"-")</f>
        <v/>
      </c>
      <c r="H73" s="2663" t="inlineStr">
        <is>
          <t>⬜ OUI/NON</t>
        </is>
      </c>
      <c r="I73" s="2663" t="inlineStr">
        <is>
          <t>⬜ À remplir</t>
        </is>
      </c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8" customHeight="1" s="1666"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8" customHeight="1" s="1666"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8" customHeight="1" s="1666"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8" customHeight="1" s="1666"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8" customHeight="1" s="1666"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8" customHeight="1" s="1666"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8" customHeight="1" s="1666"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8" customHeight="1" s="1666"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8" customHeight="1" s="1666"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8" customHeight="1" s="1666"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93">
    <mergeCell ref="C6:D6"/>
    <mergeCell ref="E63:M63"/>
    <mergeCell ref="G13:I13"/>
    <mergeCell ref="G20:M20"/>
    <mergeCell ref="A29:M29"/>
    <mergeCell ref="E65:M65"/>
    <mergeCell ref="A26:C26"/>
    <mergeCell ref="E8:F8"/>
    <mergeCell ref="G22:M22"/>
    <mergeCell ref="A7:B7"/>
    <mergeCell ref="A15:M15"/>
    <mergeCell ref="J5:M5"/>
    <mergeCell ref="J9:M9"/>
    <mergeCell ref="G9:I9"/>
    <mergeCell ref="B62:D62"/>
    <mergeCell ref="I73:M73"/>
    <mergeCell ref="E67:M67"/>
    <mergeCell ref="M39:O39"/>
    <mergeCell ref="G24:M24"/>
    <mergeCell ref="A9:B9"/>
    <mergeCell ref="A2:M2"/>
    <mergeCell ref="E12:F12"/>
    <mergeCell ref="B16:C16"/>
    <mergeCell ref="G6:I6"/>
    <mergeCell ref="A11:B11"/>
    <mergeCell ref="C5:D5"/>
    <mergeCell ref="E5:F5"/>
    <mergeCell ref="M31:O31"/>
    <mergeCell ref="G16:M16"/>
    <mergeCell ref="M37:O37"/>
    <mergeCell ref="J8:M8"/>
    <mergeCell ref="B68:D68"/>
    <mergeCell ref="J10:M10"/>
    <mergeCell ref="M38:O38"/>
    <mergeCell ref="A61:M61"/>
    <mergeCell ref="E66:M66"/>
    <mergeCell ref="A8:B8"/>
    <mergeCell ref="C8:D8"/>
    <mergeCell ref="E68:M68"/>
    <mergeCell ref="E25:F25"/>
    <mergeCell ref="A10:B10"/>
    <mergeCell ref="J11:M11"/>
    <mergeCell ref="G8:I8"/>
    <mergeCell ref="M35:O35"/>
    <mergeCell ref="A71:M71"/>
    <mergeCell ref="A25:C25"/>
    <mergeCell ref="G10:I10"/>
    <mergeCell ref="J12:M12"/>
    <mergeCell ref="M30:O30"/>
    <mergeCell ref="M33:O33"/>
    <mergeCell ref="G5:I5"/>
    <mergeCell ref="E13:F13"/>
    <mergeCell ref="B65:D65"/>
    <mergeCell ref="A12:B12"/>
    <mergeCell ref="C12:D12"/>
    <mergeCell ref="E6:F6"/>
    <mergeCell ref="M32:O32"/>
    <mergeCell ref="A1:M1"/>
    <mergeCell ref="B63:D63"/>
    <mergeCell ref="G17:M17"/>
    <mergeCell ref="A5:B5"/>
    <mergeCell ref="G12:I12"/>
    <mergeCell ref="G19:M19"/>
    <mergeCell ref="B66:D66"/>
    <mergeCell ref="C7:D7"/>
    <mergeCell ref="E7:F7"/>
    <mergeCell ref="G7:I7"/>
    <mergeCell ref="B67:D67"/>
    <mergeCell ref="A4:M4"/>
    <mergeCell ref="E69:M69"/>
    <mergeCell ref="B69:D69"/>
    <mergeCell ref="A6:B6"/>
    <mergeCell ref="C10:D10"/>
    <mergeCell ref="E10:F10"/>
    <mergeCell ref="M36:O36"/>
    <mergeCell ref="D26:M26"/>
    <mergeCell ref="G21:M21"/>
    <mergeCell ref="C9:D9"/>
    <mergeCell ref="E9:F9"/>
    <mergeCell ref="B64:D64"/>
    <mergeCell ref="J13:M13"/>
    <mergeCell ref="G23:M23"/>
    <mergeCell ref="C11:D11"/>
    <mergeCell ref="E11:F11"/>
    <mergeCell ref="J6:M6"/>
    <mergeCell ref="M34:O34"/>
    <mergeCell ref="G11:I11"/>
    <mergeCell ref="E62:M62"/>
    <mergeCell ref="G18:M18"/>
    <mergeCell ref="A13:B13"/>
    <mergeCell ref="C13:D13"/>
    <mergeCell ref="E64:M64"/>
    <mergeCell ref="J7:M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Z2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22" customWidth="1" style="1665" min="2" max="2"/>
    <col width="14" customWidth="1" style="1665" min="3" max="6"/>
    <col width="20" customWidth="1" style="1665" min="7" max="8"/>
  </cols>
  <sheetData>
    <row r="1" ht="27.75" customHeight="1" s="1666">
      <c r="B1" s="2664" t="inlineStr">
        <is>
          <t>🎯  DÉCISIONS &amp; ACTIONS  ·  Achat du mois · Plan de vente · Rééquilibrage · Simulation</t>
        </is>
      </c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5" customHeight="1" s="1666"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B3" s="2665" t="inlineStr">
        <is>
          <t>💰  ACHAT DU MOIS  ·  $5,000 · Ordre fiscal optimal</t>
        </is>
      </c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B4" s="2666" t="n">
        <v>5000</v>
      </c>
      <c r="C4" s="2667" t="n">
        <v>3500</v>
      </c>
      <c r="D4" s="2666" t="inlineStr">
        <is>
          <t>Mars 2026</t>
        </is>
      </c>
      <c r="E4" s="2667" t="inlineStr">
        <is>
          <t>Mars 2026</t>
        </is>
      </c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B5" s="1690" t="inlineStr">
        <is>
          <t>#</t>
        </is>
      </c>
      <c r="C5" s="1690" t="inlineStr">
        <is>
          <t>COMPTE</t>
        </is>
      </c>
      <c r="D5" s="1690" t="inlineStr">
        <is>
          <t>TICKER</t>
        </is>
      </c>
      <c r="E5" s="1690" t="inlineStr">
        <is>
          <t>MONTANT</t>
        </is>
      </c>
      <c r="F5" s="1690" t="inlineStr">
        <is>
          <t>RATIONALE</t>
        </is>
      </c>
      <c r="G5" s="1690" t="inlineStr">
        <is>
          <t>ROOM RESTANT</t>
        </is>
      </c>
      <c r="H5" s="1690" t="inlineStr">
        <is>
          <t>STATUT</t>
        </is>
      </c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6.5" customHeight="1" s="1666">
      <c r="B6" s="2668" t="inlineStr">
        <is>
          <t>🔥1</t>
        </is>
      </c>
      <c r="C6" s="2668" t="inlineStr">
        <is>
          <t>REER</t>
        </is>
      </c>
      <c r="D6" s="2668" t="inlineStr">
        <is>
          <t>SCHD</t>
        </is>
      </c>
      <c r="E6" s="2668" t="inlineStr">
        <is>
          <t>52.98%×$2K = +$1,060/mois ARC</t>
        </is>
      </c>
      <c r="F6" s="2668" t="inlineStr">
        <is>
          <t>52.98%×$2K = +$1,060/mois ARC</t>
        </is>
      </c>
      <c r="G6" s="2669">
        <f>CONFIG!B8</f>
        <v/>
      </c>
      <c r="H6" s="2668" t="inlineStr">
        <is>
          <t>✅ EXÉCUTÉ 12 mars · 64.3053u confirmé Questrade</t>
        </is>
      </c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6.5" customHeight="1" s="1666">
      <c r="B7" s="2670" t="inlineStr">
        <is>
          <t>🔥2</t>
        </is>
      </c>
      <c r="C7" s="2670" t="inlineStr">
        <is>
          <t>FHSA</t>
        </is>
      </c>
      <c r="D7" s="2670" t="inlineStr">
        <is>
          <t>VFV.TO</t>
        </is>
      </c>
      <c r="E7" s="2670" t="inlineStr">
        <is>
          <t>$1,000</t>
        </is>
      </c>
      <c r="F7" s="2670" t="inlineStr">
        <is>
          <t>Double exonération fiscale</t>
        </is>
      </c>
      <c r="G7" s="2671">
        <f>CONFIG!B7</f>
        <v/>
      </c>
      <c r="H7" s="2670" t="inlineStr">
        <is>
          <t>✅ ACTIF</t>
        </is>
      </c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6.5" customHeight="1" s="1666">
      <c r="B8" s="2672" t="inlineStr">
        <is>
          <t>⭐3</t>
        </is>
      </c>
      <c r="C8" s="2672" t="inlineStr">
        <is>
          <t>TFSA</t>
        </is>
      </c>
      <c r="D8" s="2672" t="inlineStr">
        <is>
          <t>AVGO fract.</t>
        </is>
      </c>
      <c r="E8" s="2672" t="inlineStr">
        <is>
          <t>$500</t>
        </is>
      </c>
      <c r="F8" s="2672" t="inlineStr">
        <is>
          <t>100% tax-free · QUASI PLEIN</t>
        </is>
      </c>
      <c r="G8" s="2673">
        <f>CONFIG!B6</f>
        <v/>
      </c>
      <c r="H8" s="2672" t="inlineStr">
        <is>
          <t>⚠️ ~$1,423 room</t>
        </is>
      </c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" customHeight="1" s="1666">
      <c r="A9" s="2674" t="inlineStr">
        <is>
          <t>🏦4</t>
        </is>
      </c>
      <c r="B9" s="2675" t="inlineStr">
        <is>
          <t>EQ Bank</t>
        </is>
      </c>
      <c r="C9" s="2675" t="inlineStr">
        <is>
          <t>HISA</t>
        </is>
      </c>
      <c r="D9" s="2675" t="inlineStr">
        <is>
          <t>$1,500</t>
        </is>
      </c>
      <c r="E9" s="2675" t="inlineStr">
        <is>
          <t>Fonds urgence · $15K en 10 mois · ~4.0% garanti · PRIORITÉ CETTE SEMAINE</t>
        </is>
      </c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9.5" customHeight="1" s="1666">
      <c r="B10" s="2676" t="inlineStr">
        <is>
          <t>🔴  PLAN DE VENTE T4→T1  ·  PLZ.UN ✅ + REI.UN ✅ exécutés 11 mars  ·  Restant: ~$1,878</t>
        </is>
      </c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" customHeight="1" s="1666">
      <c r="B11" s="1761" t="inlineStr">
        <is>
          <t>#</t>
        </is>
      </c>
      <c r="C11" s="1761" t="inlineStr">
        <is>
          <t>TICKER</t>
        </is>
      </c>
      <c r="D11" s="1761" t="inlineStr">
        <is>
          <t>COMPTE</t>
        </is>
      </c>
      <c r="E11" s="1761" t="inlineStr">
        <is>
          <t>QTÉ</t>
        </is>
      </c>
      <c r="F11" s="1761" t="inlineStr">
        <is>
          <t>VALEUR</t>
        </is>
      </c>
      <c r="G11" s="1761" t="inlineStr">
        <is>
          <t>RÉINVEST →</t>
        </is>
      </c>
      <c r="H11" s="1761" t="inlineStr">
        <is>
          <t>NOTE</t>
        </is>
      </c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6.5" customHeight="1" s="1666">
      <c r="B12" s="2677" t="inlineStr">
        <is>
          <t>✅ X</t>
        </is>
      </c>
      <c r="C12" s="2678" t="inlineStr">
        <is>
          <t>PLZ.UN.TO</t>
        </is>
      </c>
      <c r="D12" s="2668" t="inlineStr">
        <is>
          <t>TFSA</t>
        </is>
      </c>
      <c r="E12" s="2678" t="inlineStr">
        <is>
          <t>0u (vendu)</t>
        </is>
      </c>
      <c r="F12" s="2678" t="inlineStr">
        <is>
          <t>$4,094 réalisés</t>
        </is>
      </c>
      <c r="G12" s="2678" t="inlineStr">
        <is>
          <t>→ AVGO+GEV+SMH</t>
        </is>
      </c>
      <c r="H12" s="2678" t="inlineStr">
        <is>
          <t>✅ EXÉCUTÉ 11 mars @ $4.26 · gain +17%</t>
        </is>
      </c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6.5" customHeight="1" s="1666">
      <c r="B13" s="2670" t="inlineStr">
        <is>
          <t>🔴2</t>
        </is>
      </c>
      <c r="C13" s="2670" t="inlineStr">
        <is>
          <t>ZRE.TO</t>
        </is>
      </c>
      <c r="D13" s="2670" t="inlineStr">
        <is>
          <t>TFSA</t>
        </is>
      </c>
      <c r="E13" s="2670" t="inlineStr">
        <is>
          <t>19u</t>
        </is>
      </c>
      <c r="F13" s="2670" t="inlineStr">
        <is>
          <t>~$430</t>
        </is>
      </c>
      <c r="G13" s="2670" t="inlineStr">
        <is>
          <t>→ VFV.TO</t>
        </is>
      </c>
      <c r="H13" s="2679" t="inlineStr">
        <is>
          <t>✅ EXÉCUTER LUNDI 16 mars</t>
        </is>
      </c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6.5" customHeight="1" s="1666">
      <c r="B14" s="2672" t="inlineStr">
        <is>
          <t>🔴3</t>
        </is>
      </c>
      <c r="C14" s="2672" t="inlineStr">
        <is>
          <t>XIC.TO</t>
        </is>
      </c>
      <c r="D14" s="2672" t="inlineStr">
        <is>
          <t>TFSA</t>
        </is>
      </c>
      <c r="E14" s="2672" t="inlineStr">
        <is>
          <t>21u</t>
        </is>
      </c>
      <c r="F14" s="2672" t="inlineStr">
        <is>
          <t>~$1,118</t>
        </is>
      </c>
      <c r="G14" s="2672" t="inlineStr">
        <is>
          <t>→ SMH</t>
        </is>
      </c>
      <c r="H14" s="2679" t="inlineStr">
        <is>
          <t>✅ EXÉCUTER LUNDI 16 mars</t>
        </is>
      </c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6.5" customHeight="1" s="1666">
      <c r="B15" s="2670" t="inlineStr">
        <is>
          <t>🔴4</t>
        </is>
      </c>
      <c r="C15" s="2670" t="inlineStr">
        <is>
          <t>VDU.TO</t>
        </is>
      </c>
      <c r="D15" s="2670" t="inlineStr">
        <is>
          <t>TFSA</t>
        </is>
      </c>
      <c r="E15" s="2670" t="inlineStr">
        <is>
          <t>6u</t>
        </is>
      </c>
      <c r="F15" s="2670" t="inlineStr">
        <is>
          <t>~$338</t>
        </is>
      </c>
      <c r="G15" s="2670" t="inlineStr">
        <is>
          <t>→ GOOG</t>
        </is>
      </c>
      <c r="H15" s="2679" t="inlineStr">
        <is>
          <t>✅ EXÉCUTER LUNDI 16 mars</t>
        </is>
      </c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5" customHeight="1" s="1666"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B17" s="2680" t="inlineStr">
        <is>
          <t>⚖️  RÈGLE DE RÉÉQUILIBRAGE  ·  Quand et quoi</t>
        </is>
      </c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6.5" customHeight="1" s="1666">
      <c r="B18" s="2672" t="inlineStr">
        <is>
          <t>🚫 JAMAIS vendre à perte TFSA</t>
        </is>
      </c>
      <c r="D18" s="2681" t="inlineStr">
        <is>
          <t>T.TO + MFC.TO → room TFSA perdu définitivement</t>
        </is>
      </c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6.5" customHeight="1" s="1666">
      <c r="B19" s="2670" t="inlineStr">
        <is>
          <t>✅ Trigger vente T3/T4</t>
        </is>
      </c>
      <c r="D19" s="2682" t="inlineStr">
        <is>
          <t>Position en gain &gt;5% + meilleure opportunité T1 identifiée</t>
        </is>
      </c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6.5" customHeight="1" s="1666">
      <c r="B20" s="2672" t="inlineStr">
        <is>
          <t>🔥 Trigger achat T1</t>
        </is>
      </c>
      <c r="D20" s="2681" t="inlineStr">
        <is>
          <t>Dip &gt;5% = DCA accéléré · dip &gt;15% = maximiser · COVID mindset</t>
        </is>
      </c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6.5" customHeight="1" s="1666">
      <c r="B21" s="2670" t="inlineStr">
        <is>
          <t>📊 Seuil tiers</t>
        </is>
      </c>
      <c r="D21" s="2682" t="inlineStr">
        <is>
          <t>T1 cible 55-60% · T2 &lt;15% · T3 &lt;15% · T4 &lt;5% · Actuel T1=44%</t>
        </is>
      </c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6.5" customHeight="1" s="1666">
      <c r="B22" s="2672" t="inlineStr">
        <is>
          <t>🤖 IA plafond</t>
        </is>
      </c>
      <c r="D22" s="2681" t="inlineStr">
        <is>
          <t>Expo IA ≤ 45% · Actuel ~45% → AU SEUIL MAX · ne pas dépasser</t>
        </is>
      </c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5.75" customHeight="1" s="1666"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9.5" customHeight="1" s="1666">
      <c r="B24" s="2683" t="inlineStr">
        <is>
          <t>🎲  SIMULATEUR CRASH  ·  Psychologie : COVID ✅ · Buy the dip agressif</t>
        </is>
      </c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" customHeight="1" s="1666">
      <c r="B25" s="2684" t="inlineStr">
        <is>
          <t>SCÉNARIO</t>
        </is>
      </c>
      <c r="D25" s="2684" t="inlineStr">
        <is>
          <t>AUJOURD'HUI</t>
        </is>
      </c>
      <c r="E25" s="2684" t="inlineStr">
        <is>
          <t>VALEUR APRÈS</t>
        </is>
      </c>
      <c r="F25" s="2684" t="inlineStr">
        <is>
          <t>ACTION OPTIMALE</t>
        </is>
      </c>
      <c r="G25" s="2684" t="inlineStr">
        <is>
          <t>RÉSULTAT</t>
        </is>
      </c>
      <c r="H25" s="2684" t="n"/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6.5" customHeight="1" s="1666">
      <c r="B26" s="2670" t="inlineStr">
        <is>
          <t>📉 Correction -20%</t>
        </is>
      </c>
      <c r="D26" s="2670" t="inlineStr">
        <is>
          <t>$87,603</t>
        </is>
      </c>
      <c r="E26" s="2670" t="inlineStr">
        <is>
          <t>~$70,082</t>
        </is>
      </c>
      <c r="F26" s="2670" t="inlineStr">
        <is>
          <t>→ DCA accéléré T1</t>
        </is>
      </c>
      <c r="G26" s="2670" t="inlineStr">
        <is>
          <t>P&amp;L +30% en 18 mois</t>
        </is>
      </c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6.5" customHeight="1" s="1666">
      <c r="B27" s="2685" t="inlineStr">
        <is>
          <t>📉 Bear market -30%</t>
        </is>
      </c>
      <c r="D27" s="2685" t="inlineStr">
        <is>
          <t>$87,603</t>
        </is>
      </c>
      <c r="E27" s="2685" t="inlineStr">
        <is>
          <t>~$61,322</t>
        </is>
      </c>
      <c r="F27" s="2685" t="inlineStr">
        <is>
          <t>→ Max AVGO+SMH+VFV</t>
        </is>
      </c>
      <c r="G27" s="2685" t="inlineStr">
        <is>
          <t>Opportunité générationnelle</t>
        </is>
      </c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6.5" customHeight="1" s="1666">
      <c r="B28" s="2670" t="inlineStr">
        <is>
          <t>📉 Crash -50%</t>
        </is>
      </c>
      <c r="D28" s="2670" t="inlineStr">
        <is>
          <t>$87,603</t>
        </is>
      </c>
      <c r="E28" s="2670" t="inlineStr">
        <is>
          <t>~$43,800</t>
        </is>
      </c>
      <c r="F28" s="2670" t="inlineStr">
        <is>
          <t>→ REER+TFSA max</t>
        </is>
      </c>
      <c r="G28" s="2670" t="inlineStr">
        <is>
          <t>COVID playbook</t>
        </is>
      </c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6.5" customHeight="1" s="1666">
      <c r="B29" s="2685" t="inlineStr">
        <is>
          <t>📈 Rally +20%</t>
        </is>
      </c>
      <c r="D29" s="2685" t="inlineStr">
        <is>
          <t>$87,603</t>
        </is>
      </c>
      <c r="E29" s="2685" t="inlineStr">
        <is>
          <t>~$105,124</t>
        </is>
      </c>
      <c r="F29" s="2685" t="inlineStr">
        <is>
          <t>→ DCA normal</t>
        </is>
      </c>
      <c r="G29" s="2685" t="inlineStr">
        <is>
          <t>Ne pas chaser · rester le plan</t>
        </is>
      </c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.75" customHeight="1" s="1666"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.75" customHeight="1" s="1666"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.75" customHeight="1" s="1666"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5.75" customHeight="1" s="1666"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.75" customHeight="1" s="1666"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.75" customHeight="1" s="1666"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.75" customHeight="1" s="1666"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5.75" customHeight="1" s="1666"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5.75" customHeight="1" s="1666"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/>
    <row r="231" ht="15.75" customHeight="1" s="1666"/>
    <row r="232" ht="15.75" customHeight="1" s="1666"/>
    <row r="233" ht="15.75" customHeight="1" s="1666"/>
    <row r="234" ht="15.75" customHeight="1" s="1666"/>
    <row r="235" ht="15.75" customHeight="1" s="1666"/>
    <row r="236" ht="15.75" customHeight="1" s="1666"/>
    <row r="237" ht="15.75" customHeight="1" s="1666"/>
    <row r="238" ht="15.75" customHeight="1" s="1666"/>
    <row r="239" ht="15.75" customHeight="1" s="1666"/>
    <row r="240" ht="15.75" customHeight="1" s="1666"/>
    <row r="241" ht="15.75" customHeight="1" s="1666"/>
    <row r="242" ht="15.75" customHeight="1" s="1666"/>
    <row r="243" ht="15.75" customHeight="1" s="1666"/>
    <row r="244" ht="15.75" customHeight="1" s="1666"/>
    <row r="245" ht="15.75" customHeight="1" s="1666"/>
    <row r="246" ht="15.75" customHeight="1" s="1666"/>
    <row r="247" ht="15.75" customHeight="1" s="1666"/>
    <row r="248" ht="15.75" customHeight="1" s="1666"/>
    <row r="249" ht="15.75" customHeight="1" s="1666"/>
    <row r="250" ht="15.75" customHeight="1" s="1666"/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20">
    <mergeCell ref="D20:H20"/>
    <mergeCell ref="B25:C25"/>
    <mergeCell ref="D19:H19"/>
    <mergeCell ref="B22:C22"/>
    <mergeCell ref="B24:H24"/>
    <mergeCell ref="B27:C27"/>
    <mergeCell ref="D22:H22"/>
    <mergeCell ref="B18:C18"/>
    <mergeCell ref="B21:C21"/>
    <mergeCell ref="D21:H21"/>
    <mergeCell ref="B3:H3"/>
    <mergeCell ref="B29:C29"/>
    <mergeCell ref="B19:C19"/>
    <mergeCell ref="B28:C28"/>
    <mergeCell ref="D18:H18"/>
    <mergeCell ref="B17:H17"/>
    <mergeCell ref="B1:H1"/>
    <mergeCell ref="B20:C20"/>
    <mergeCell ref="B10:H10"/>
    <mergeCell ref="B26:C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Z2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18" customWidth="1" style="1665" min="2" max="2"/>
    <col width="14" customWidth="1" style="1665" min="3" max="3"/>
    <col width="12" customWidth="1" style="1665" min="4" max="6"/>
    <col width="14" customWidth="1" style="1665" min="7" max="7"/>
    <col width="22" customWidth="1" style="1665" min="8" max="8"/>
  </cols>
  <sheetData>
    <row r="1" ht="27.75" customHeight="1" s="1666">
      <c r="B1" s="2686" t="inlineStr">
        <is>
          <t>🚨  ALERTES &amp; SURVEILLANCE  ·  Risques · Prix cibles · Santé · Devise</t>
        </is>
      </c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8" customHeight="1" s="1666"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B3" s="2665" t="inlineStr">
        <is>
          <t>⚠️  TABLEAU DE BORD DES RISQUES  ·  Recalcul automatique</t>
        </is>
      </c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8" customHeight="1" s="1666">
      <c r="B4" s="1690" t="inlineStr">
        <is>
          <t>ALERTE</t>
        </is>
      </c>
      <c r="D4" s="1690" t="inlineStr">
        <is>
          <t>STATUT AUTO</t>
        </is>
      </c>
      <c r="F4" s="1690" t="inlineStr">
        <is>
          <t>DÉTAIL</t>
        </is>
      </c>
      <c r="H4" s="1690" t="n"/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8" customHeight="1" s="1666">
      <c r="B5" s="2672" t="inlineStr">
        <is>
          <t>🔥 REER non cotisé</t>
        </is>
      </c>
      <c r="D5" s="2672">
        <f>IF(CONFIG!B34&lt;1000,"🔴 CRITIQUE","✅ OK")</f>
        <v/>
      </c>
      <c r="F5" s="2681" t="inlineStr">
        <is>
          <t>Chaque mois sans SCHD = -$1,590 ARC</t>
        </is>
      </c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8" customHeight="1" s="1666">
      <c r="B6" s="2670" t="inlineStr">
        <is>
          <t>🏦 Fonds urgence</t>
        </is>
      </c>
      <c r="D6" s="2687" t="inlineStr">
        <is>
          <t>Plan: $1,500/mois dès prochaine paie cette semaine · $15K en 10 mois · AVANT Questrade</t>
        </is>
      </c>
      <c r="F6" s="2682" t="inlineStr">
        <is>
          <t>Cible $15,000 EQ Bank · Actuel $0</t>
        </is>
      </c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8" customHeight="1" s="1666">
      <c r="B7" s="2672" t="inlineStr">
        <is>
          <t>💱 Expo USD</t>
        </is>
      </c>
      <c r="D7" s="2672">
        <f>IF(CONFIG!B32&gt;0.65,"🔴 &gt;65%",IF(CONFIG!B32&gt;0.6,"🟡 SURVEILLER","✅ OK"))</f>
        <v/>
      </c>
      <c r="F7" s="2681" t="inlineStr">
        <is>
          <t>Actuel ~44% ✅ (post-trades 11 mars · seuil 65%)</t>
        </is>
      </c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8" customHeight="1" s="1666">
      <c r="B8" s="2670" t="inlineStr">
        <is>
          <t>🤖 Expo IA</t>
        </is>
      </c>
      <c r="D8" s="2670">
        <f>IF(CONFIG!B31&gt;0.45,"🔴 &gt;45%",IF(CONFIG!B31&gt;0.4,"🟡 PROCHE","✅ OK"))</f>
        <v/>
      </c>
      <c r="F8" s="2682" t="inlineStr">
        <is>
          <t>Actuel ~28% ✅ (AVGO+SMH+GEV+NVDA+GOOG · seuil 45%)</t>
        </is>
      </c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8" customHeight="1" s="1666">
      <c r="B9" s="2672" t="inlineStr">
        <is>
          <t>🏠 FHSA room 2026</t>
        </is>
      </c>
      <c r="D9" s="2672">
        <f>IF(CONFIG!B7&lt;500,"⚠️ QUASI PLEIN","✅ OK")</f>
        <v/>
      </c>
      <c r="F9" s="2681">
        <f>" Room: $"&amp;TEXT(CONFIG!B7,"#,##0")</f>
        <v/>
      </c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8" customHeight="1" s="1666">
      <c r="B10" s="2670" t="inlineStr">
        <is>
          <t>🔴 T.TO + MFC.TO</t>
        </is>
      </c>
      <c r="D10" s="2670" t="inlineStr">
        <is>
          <t>🔴 NE PAS VENDRE</t>
        </is>
      </c>
      <c r="F10" s="2682" t="inlineStr">
        <is>
          <t>Room TFSA perdu définitivement si vendu en perte</t>
        </is>
      </c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8" customHeight="1" s="1666"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9.5" customHeight="1" s="1666">
      <c r="B12" s="2683" t="inlineStr">
        <is>
          <t>🔔  PRIX CIBLES  ·  GOOGLEFINANCE auto · Signaux d'achat T1/T2</t>
        </is>
      </c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8" customHeight="1" s="1666">
      <c r="B13" s="2684" t="inlineStr">
        <is>
          <t>TIER</t>
        </is>
      </c>
      <c r="C13" s="2684" t="inlineStr">
        <is>
          <t>TICKER</t>
        </is>
      </c>
      <c r="D13" s="2684" t="inlineStr">
        <is>
          <t>PRIX ACTUEL</t>
        </is>
      </c>
      <c r="E13" s="2684" t="inlineStr">
        <is>
          <t>PRIX CIBLE</t>
        </is>
      </c>
      <c r="F13" s="2684" t="inlineStr">
        <is>
          <t>ACTION</t>
        </is>
      </c>
      <c r="G13" s="2684" t="inlineStr">
        <is>
          <t>EARNINGS</t>
        </is>
      </c>
      <c r="H13" s="2684" t="inlineStr">
        <is>
          <t>NOTE</t>
        </is>
      </c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8" customHeight="1" s="1666">
      <c r="B14" s="2670" t="inlineStr">
        <is>
          <t>T1</t>
        </is>
      </c>
      <c r="C14" s="2670" t="inlineStr">
        <is>
          <t>AVGO</t>
        </is>
      </c>
      <c r="D14" s="2688">
        <f>IFERROR(__xludf.dummyfunction("IFERROR(googlefinance(""AVGO""),CONFIG!G8)"),341.57)</f>
        <v/>
      </c>
      <c r="E14" s="2670" t="n">
        <v>320</v>
      </c>
      <c r="F14" s="2670">
        <f>IF(ISNUMBER(D14),IF(D14&lt;E14,"🟢 ACHETER","⏳ ATTENDRE"),"—")</f>
        <v/>
      </c>
      <c r="G14" s="2670" t="inlineStr">
        <is>
          <t>4 juin · no-buy 28 mai→4 juin</t>
        </is>
      </c>
      <c r="H14" s="2670" t="inlineStr">
        <is>
          <t>Core IA · DCA mensuel</t>
        </is>
      </c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8" customHeight="1" s="1666">
      <c r="B15" s="2685" t="inlineStr">
        <is>
          <t>T1</t>
        </is>
      </c>
      <c r="C15" s="2685" t="inlineStr">
        <is>
          <t>SMH</t>
        </is>
      </c>
      <c r="D15" s="2689">
        <f>IFERROR(__xludf.dummyfunction("IFERROR(googlefinance(""SMH""),CONFIG!G10)"),401.03)</f>
        <v/>
      </c>
      <c r="E15" s="2685" t="n">
        <v>350</v>
      </c>
      <c r="F15" s="2685">
        <f>IF(ISNUMBER(D15),IF(D15&lt;E15,"🟢 ACHETER","⏳ ATTENDRE"),"—")</f>
        <v/>
      </c>
      <c r="G15" s="2685" t="inlineStr">
        <is>
          <t>—</t>
        </is>
      </c>
      <c r="H15" s="2685" t="inlineStr">
        <is>
          <t>ETF semis</t>
        </is>
      </c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8" customHeight="1" s="1666">
      <c r="B16" s="2670" t="inlineStr">
        <is>
          <t>T1</t>
        </is>
      </c>
      <c r="C16" s="2670" t="inlineStr">
        <is>
          <t>GOOG</t>
        </is>
      </c>
      <c r="D16" s="2688">
        <f>IFERROR(__xludf.dummyfunction("IFERROR(googlefinance(""GOOG""),CONFIG!G7)"),308.42)</f>
        <v/>
      </c>
      <c r="E16" s="2670" t="n">
        <v>280</v>
      </c>
      <c r="F16" s="2670">
        <f>IF(ISNUMBER(D16),IF(D16&lt;E16,"🟢 ACHETER","⏳ ATTENDRE"),"—")</f>
        <v/>
      </c>
      <c r="G16" s="2670" t="inlineStr">
        <is>
          <t>—</t>
        </is>
      </c>
      <c r="H16" s="2670" t="inlineStr">
        <is>
          <t>Dip &gt;10%</t>
        </is>
      </c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8" customHeight="1" s="1666">
      <c r="B17" s="2685" t="inlineStr">
        <is>
          <t>T1</t>
        </is>
      </c>
      <c r="C17" s="2685" t="inlineStr">
        <is>
          <t>META</t>
        </is>
      </c>
      <c r="D17" s="2689">
        <f>IFERROR(__xludf.dummyfunction("IFERROR(googlefinance(""META""),CONFIG!G11)"),654.86)</f>
        <v/>
      </c>
      <c r="E17" s="2685" t="n">
        <v>580</v>
      </c>
      <c r="F17" s="2685">
        <f>IF(ISNUMBER(D17),IF(D17&lt;E17,"🟢 ACHETER","⏳ ATTENDRE"),"—")</f>
        <v/>
      </c>
      <c r="G17" s="2685" t="inlineStr">
        <is>
          <t>28 avr · no-buy 21→28 avr</t>
        </is>
      </c>
      <c r="H17" s="2685" t="inlineStr">
        <is>
          <t>Earnings watch</t>
        </is>
      </c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8" customHeight="1" s="1666">
      <c r="B18" s="2670" t="inlineStr">
        <is>
          <t>T1</t>
        </is>
      </c>
      <c r="C18" s="2670" t="inlineStr">
        <is>
          <t>VFV.TO</t>
        </is>
      </c>
      <c r="D18" s="2688">
        <f>IFERROR(__xludf.dummyfunction("IFERROR(googlefinance(""TSE:VFV""),CONFIG!G6)"),163.54)</f>
        <v/>
      </c>
      <c r="E18" s="2670" t="n">
        <v>155</v>
      </c>
      <c r="F18" s="2670">
        <f>IF(ISNUMBER(D18),IF(D18&lt;E18,"🟢 ACHETER","⏳ ATTENDRE"),"—")</f>
        <v/>
      </c>
      <c r="G18" s="2670" t="inlineStr">
        <is>
          <t>—</t>
        </is>
      </c>
      <c r="H18" s="2670" t="inlineStr">
        <is>
          <t>DCA FHSA</t>
        </is>
      </c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8" customHeight="1" s="1666">
      <c r="B19" s="2685" t="inlineStr">
        <is>
          <t>T2</t>
        </is>
      </c>
      <c r="C19" s="2685" t="inlineStr">
        <is>
          <t>NVDA</t>
        </is>
      </c>
      <c r="D19" s="2689">
        <f>IFERROR(__xludf.dummyfunction("IFERROR(googlefinance(""NVDA""),CONFIG!G16)"),186)</f>
        <v/>
      </c>
      <c r="E19" s="2685" t="n">
        <v>160</v>
      </c>
      <c r="F19" s="2685">
        <f>IF(ISNUMBER(D19),IF(D19&lt;E19,"🔵 T2 DIP","⏳ TENIR"),"—")</f>
        <v/>
      </c>
      <c r="G19" s="2685" t="inlineStr">
        <is>
          <t>28 mai · no-buy 21→28 mai</t>
        </is>
      </c>
      <c r="H19" s="2685" t="inlineStr">
        <is>
          <t>T2 seulement</t>
        </is>
      </c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8" customHeight="1" s="1666">
      <c r="B20" s="2670" t="inlineStr">
        <is>
          <t>T2</t>
        </is>
      </c>
      <c r="C20" s="2670" t="inlineStr">
        <is>
          <t>MSFT</t>
        </is>
      </c>
      <c r="D20" s="2688">
        <f>IFERROR(__xludf.dummyfunction("IFERROR(googlefinance(""MSFT""),CONFIG!G15)"),404.88)</f>
        <v/>
      </c>
      <c r="E20" s="2670" t="n">
        <v>370</v>
      </c>
      <c r="F20" s="2670">
        <f>IF(ISNUMBER(D20),IF(D20&lt;E20,"🔵 T2 DIP","⏳ TENIR"),"—")</f>
        <v/>
      </c>
      <c r="G20" s="2670" t="inlineStr">
        <is>
          <t>—</t>
        </is>
      </c>
      <c r="H20" s="2670" t="inlineStr">
        <is>
          <t>Dip &gt;15%</t>
        </is>
      </c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8" customHeight="1" s="1666">
      <c r="B21" s="1665" t="inlineStr">
        <is>
          <t>T1</t>
        </is>
      </c>
      <c r="C21" s="1665" t="inlineStr">
        <is>
          <t>GEV</t>
        </is>
      </c>
      <c r="D21" s="2690">
        <f>IFERROR(__xludf.dummyfunction("IFERROR(googlefinance(""GEV""),CONFIG!G13)"),847.65)</f>
        <v/>
      </c>
      <c r="E21" s="1665" t="n">
        <v>750</v>
      </c>
      <c r="F21" s="1665">
        <f>IF(ISNUMBER(D21),IF(D21&lt;E21,"🟢 ACHETER","⏳ ATTENDRE"),"—")</f>
        <v/>
      </c>
      <c r="G21" s="1665" t="inlineStr">
        <is>
          <t>—</t>
        </is>
      </c>
      <c r="H21" s="1665" t="inlineStr">
        <is>
          <t>Énergie IA infrastructure · T1 · DCA dip &gt;10%</t>
        </is>
      </c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8" customHeight="1" s="1666">
      <c r="B22" s="2691" t="inlineStr">
        <is>
          <t>🚫  NO-BUY ZONES  ·  Ne pas acheter -7j avant earnings · Même si dip</t>
        </is>
      </c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8" customHeight="1" s="1666">
      <c r="B23" s="1690" t="inlineStr">
        <is>
          <t>TICKER</t>
        </is>
      </c>
      <c r="C23" s="1690" t="inlineStr">
        <is>
          <t>NO-BUY DU</t>
        </is>
      </c>
      <c r="D23" s="1690" t="inlineStr">
        <is>
          <t>NO-BUY AU</t>
        </is>
      </c>
      <c r="E23" s="1690" t="inlineStr">
        <is>
          <t>ÉVÉNEMENT</t>
        </is>
      </c>
      <c r="F23" s="1690" t="inlineStr">
        <is>
          <t>ACTION</t>
        </is>
      </c>
      <c r="G23" s="1690" t="inlineStr">
        <is>
          <t>STATUT</t>
        </is>
      </c>
      <c r="H23" s="1690" t="n"/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8" customHeight="1" s="1666">
      <c r="B24" s="2692" t="inlineStr">
        <is>
          <t>META</t>
        </is>
      </c>
      <c r="D24" s="2693" t="inlineStr">
        <is>
          <t>28 avr 2026</t>
        </is>
      </c>
      <c r="E24" s="2693" t="inlineStr">
        <is>
          <t>Earnings Q1 META</t>
        </is>
      </c>
      <c r="F24" s="2693" t="inlineStr">
        <is>
          <t>🚫 Ne pas acheter</t>
        </is>
      </c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8" customHeight="1" s="1666">
      <c r="B25" s="2692" t="inlineStr">
        <is>
          <t>AVGO</t>
        </is>
      </c>
      <c r="D25" s="2693" t="inlineStr">
        <is>
          <t>4 juin 2026</t>
        </is>
      </c>
      <c r="E25" s="2693" t="inlineStr">
        <is>
          <t>Earnings Q2 AVGO</t>
        </is>
      </c>
      <c r="F25" s="2693" t="inlineStr">
        <is>
          <t>🚫 Ne pas acheter</t>
        </is>
      </c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8" customHeight="1" s="1666">
      <c r="B26" s="2692" t="inlineStr">
        <is>
          <t>NVDA</t>
        </is>
      </c>
      <c r="D26" s="2693" t="inlineStr">
        <is>
          <t>28 mai 2026</t>
        </is>
      </c>
      <c r="E26" s="2693" t="inlineStr">
        <is>
          <t>Earnings Q1 NVDA (T2)</t>
        </is>
      </c>
      <c r="F26" s="2693" t="inlineStr">
        <is>
          <t>⚠️ T2 seulement</t>
        </is>
      </c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8" customHeight="1" s="1666">
      <c r="B27" s="2694" t="inlineStr">
        <is>
          <t>→ Règle R10 : no-buy = -7 jours avant earnings T1/T2 · attendre résultats avant DCA</t>
        </is>
      </c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8" customHeight="1" s="1666">
      <c r="B28" s="1665" t="n"/>
      <c r="F28" s="1665" t="n"/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8" customHeight="1" s="1666">
      <c r="B29" s="1665" t="n"/>
      <c r="F29" s="1665" t="n"/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8" customHeight="1" s="1666">
      <c r="B30" s="2695" t="inlineStr">
        <is>
          <t>🏥  SCORE DE SANTÉ  ·  /100  ·  Auto-calculé</t>
        </is>
      </c>
      <c r="F30" s="1665" t="n"/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9.5" customHeight="1" s="1666">
      <c r="B31" s="2473" t="inlineStr">
        <is>
          <t>CRITÈRE</t>
        </is>
      </c>
      <c r="D31" s="2473" t="inlineStr">
        <is>
          <t>POIDS</t>
        </is>
      </c>
      <c r="F31" s="2473" t="inlineStr">
        <is>
          <t>DÉTAIL</t>
        </is>
      </c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8" customHeight="1" s="1666">
      <c r="B32" s="2696" t="inlineStr">
        <is>
          <t>Diversification tiers T1&gt;55%</t>
        </is>
      </c>
      <c r="D32" s="2696" t="n">
        <v>15</v>
      </c>
      <c r="E32" s="2696" t="inlineStr">
        <is>
          <t>10</t>
        </is>
      </c>
      <c r="F32" s="2697" t="inlineStr">
        <is>
          <t>T1 actuel ~44% → sous cible</t>
        </is>
      </c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9.5" customHeight="1" s="1666">
      <c r="B33" s="2698" t="inlineStr">
        <is>
          <t>Expo IA ≤45%</t>
        </is>
      </c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8" customHeight="1" s="1666">
      <c r="B34" s="2696" t="inlineStr">
        <is>
          <t>Expo USD ≤65%</t>
        </is>
      </c>
      <c r="D34" s="2696" t="n">
        <v>15</v>
      </c>
      <c r="F34" s="2697" t="inlineStr">
        <is>
          <t>Actuel ~44% → 15/15 ✅ (post-trades)</t>
        </is>
      </c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8" customHeight="1" s="1666">
      <c r="B35" s="2698" t="inlineStr">
        <is>
          <t>Fonds urgence $15K</t>
        </is>
      </c>
      <c r="D35" s="2698" t="n">
        <v>15</v>
      </c>
      <c r="F35" s="2675" t="inlineStr">
        <is>
          <t>Actuel $0 → 2/15</t>
        </is>
      </c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8" customHeight="1" s="1666">
      <c r="B36" s="2696" t="inlineStr">
        <is>
          <t>Plan cotisation actif</t>
        </is>
      </c>
      <c r="D36" s="2696" t="n">
        <v>15</v>
      </c>
      <c r="F36" s="2697" t="inlineStr">
        <is>
          <t>FHSA actif → partiel</t>
        </is>
      </c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8" customHeight="1" s="1666">
      <c r="B37" s="2698" t="inlineStr">
        <is>
          <t>T4 &lt; 5% portfolio</t>
        </is>
      </c>
      <c r="D37" s="2698" t="n">
        <v>15</v>
      </c>
      <c r="F37" s="2675" t="inlineStr">
        <is>
          <t>T4 encore trop haut</t>
        </is>
      </c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8" customHeight="1" s="1666">
      <c r="B38" s="2696" t="inlineStr">
        <is>
          <t>Calendrier earnings suivi</t>
        </is>
      </c>
      <c r="D38" s="2696" t="n">
        <v>10</v>
      </c>
      <c r="E38" s="2696" t="inlineStr">
        <is>
          <t>8</t>
        </is>
      </c>
      <c r="F38" s="2697" t="inlineStr">
        <is>
          <t>Earnings dans CONTEXT</t>
        </is>
      </c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8" customHeight="1" s="1666">
      <c r="B39" s="1885" t="inlineStr">
        <is>
          <t>SCORE TOTAL /100</t>
        </is>
      </c>
      <c r="D39" s="1885">
        <f>SUM(E24:E30)</f>
        <v/>
      </c>
      <c r="F39" s="1885">
        <f>IF(D31&gt;=80,"🟢 EXCELLENT",IF(D31&gt;=65,"🟡 BON","🔴 À AMÉLIORER"))</f>
        <v/>
      </c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8" customHeight="1" s="1666"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8" customHeight="1" s="1666">
      <c r="B41" s="2699" t="inlineStr">
        <is>
          <t>💱  EXPOSITION USD/CAD  ·  Surveillance change</t>
        </is>
      </c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B42" s="2700" t="inlineStr">
        <is>
          <t>Taux live Google Finance</t>
        </is>
      </c>
      <c r="D42" s="2701">
        <f>IFERROR(__xludf.dummyfunction("IFERROR(googlefinance(""CURRENCY:USDCAD""),CONFIG!B3)"),1.359025)</f>
        <v/>
      </c>
      <c r="F42" s="2702" t="inlineStr">
        <is>
          <t>Auto · sinon mettre à jour CONFIG!B3</t>
        </is>
      </c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8" customHeight="1" s="1666">
      <c r="B43" s="2698" t="inlineStr">
        <is>
          <t>Taux CONFIG manuel</t>
        </is>
      </c>
      <c r="D43" s="2703">
        <f>CONFIG!B3</f>
        <v/>
      </c>
      <c r="F43" s="2675" t="inlineStr">
        <is>
          <t>Mettre à jour après dump Questrade</t>
        </is>
      </c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8" customHeight="1" s="1666">
      <c r="B44" s="2700" t="inlineStr">
        <is>
          <t>Expo USD portfolio</t>
        </is>
      </c>
      <c r="D44" s="2704">
        <f>CONFIG!B46</f>
        <v/>
      </c>
      <c r="F44" s="2702" t="inlineStr">
        <is>
          <t>Seuil max 65% · Actuel ~44% ✅ post-trades 11 mars</t>
        </is>
      </c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8" customHeight="1" s="1666">
      <c r="B45" s="2698" t="inlineStr">
        <is>
          <t>Statut</t>
        </is>
      </c>
      <c r="D45" s="2698">
        <f>IF(CONFIG!B46&gt;0.65,"🔴 DÉPASSE 65%",IF(CONFIG!B46&gt;0.6,"🟡 SURVEILLER","✅ OK"))</f>
        <v/>
      </c>
      <c r="F45" s="2675" t="n"/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8" customHeight="1" s="1666">
      <c r="B46" s="1751" t="inlineStr">
        <is>
          <t>📊  PRIX .UN — Fiabilité GOOGLEFINANCE TSX REITs</t>
        </is>
      </c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34.5" customHeight="1" s="1666">
      <c r="B47" s="2705" t="inlineStr">
        <is>
          <t>REI.UN → TSE:REI-UN ✅ fiable  ·  SRU.UN → TSE:SRU-UN ✅ fiable  ·  PLZ.UN ✅ VENDU 11 mars 2026 @ $4.26  ·  SRU.UN reste actif en FHSA</t>
        </is>
      </c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A49" s="2706" t="inlineStr">
        <is>
          <t>📅 Verdicts J+30</t>
        </is>
      </c>
      <c r="B49" s="2707" t="inlineStr">
        <is>
          <t>🔔 ALARME 11 AVRIL 2026</t>
        </is>
      </c>
      <c r="C49" s="2708" t="inlineStr">
        <is>
          <t>6 trades à évaluer · Prix entrée documentés dans JOURNAL · Calculer alpha vs VFV.TO · Leçons à documenter</t>
        </is>
      </c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A50" s="2709" t="inlineStr">
        <is>
          <t>📊 Analyse Titres</t>
        </is>
      </c>
      <c r="B50" s="2710" t="inlineStr">
        <is>
          <t>🆕 Onglet créé S16</t>
        </is>
      </c>
      <c r="C50" s="2711" t="inlineStr">
        <is>
          <t>29 titres à analyser · Commencer par T1 à chaque session · Grille 8 critères + scorecard /10</t>
        </is>
      </c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I230" s="1665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I231" s="1665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I232" s="1665" t="n"/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I233" s="1665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I234" s="1665" t="n"/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I235" s="1665" t="n"/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I236" s="1665" t="n"/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I237" s="1665" t="n"/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I238" s="1665" t="n"/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I239" s="1665" t="n"/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I240" s="1665" t="n"/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I241" s="1665" t="n"/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I242" s="1665" t="n"/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I243" s="1665" t="n"/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I244" s="1665" t="n"/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I245" s="1665" t="n"/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I246" s="1665" t="n"/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I247" s="1665" t="n"/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I248" s="1665" t="n"/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I249" s="1665" t="n"/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I250" s="1665" t="n"/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55">
    <mergeCell ref="F36:H36"/>
    <mergeCell ref="F5:H5"/>
    <mergeCell ref="B25:C25"/>
    <mergeCell ref="D10:E10"/>
    <mergeCell ref="B7:C7"/>
    <mergeCell ref="D34:E34"/>
    <mergeCell ref="C50:H50"/>
    <mergeCell ref="F35:H35"/>
    <mergeCell ref="F8:H8"/>
    <mergeCell ref="F26:H26"/>
    <mergeCell ref="B31:C31"/>
    <mergeCell ref="B33:H33"/>
    <mergeCell ref="D36:E36"/>
    <mergeCell ref="D31:E31"/>
    <mergeCell ref="D6:E6"/>
    <mergeCell ref="F28:H28"/>
    <mergeCell ref="F31:H31"/>
    <mergeCell ref="F24:H24"/>
    <mergeCell ref="B47:H47"/>
    <mergeCell ref="F9:H9"/>
    <mergeCell ref="B3:H3"/>
    <mergeCell ref="B8:C8"/>
    <mergeCell ref="F37:H37"/>
    <mergeCell ref="B46:H46"/>
    <mergeCell ref="B22:H22"/>
    <mergeCell ref="D7:E7"/>
    <mergeCell ref="B27:H27"/>
    <mergeCell ref="B29:C29"/>
    <mergeCell ref="F7:H7"/>
    <mergeCell ref="B34:C34"/>
    <mergeCell ref="B37:C37"/>
    <mergeCell ref="B10:C10"/>
    <mergeCell ref="B12:H12"/>
    <mergeCell ref="B28:C28"/>
    <mergeCell ref="D37:E37"/>
    <mergeCell ref="C49:H49"/>
    <mergeCell ref="B9:C9"/>
    <mergeCell ref="D9:E9"/>
    <mergeCell ref="F29:H29"/>
    <mergeCell ref="F25:H25"/>
    <mergeCell ref="D8:E8"/>
    <mergeCell ref="F34:H34"/>
    <mergeCell ref="B6:C6"/>
    <mergeCell ref="F10:H10"/>
    <mergeCell ref="B24:C24"/>
    <mergeCell ref="F6:H6"/>
    <mergeCell ref="B30:C30"/>
    <mergeCell ref="B26:C26"/>
    <mergeCell ref="B1:H1"/>
    <mergeCell ref="B5:C5"/>
    <mergeCell ref="D5:E5"/>
    <mergeCell ref="B36:C36"/>
    <mergeCell ref="F30:H30"/>
    <mergeCell ref="B35:C35"/>
    <mergeCell ref="D35:E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1:Z2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22" customWidth="1" style="1665" min="2" max="2"/>
    <col width="14" customWidth="1" style="1665" min="3" max="7"/>
    <col width="22" customWidth="1" style="1665" min="8" max="8"/>
  </cols>
  <sheetData>
    <row r="1" ht="19.5" customHeight="1" s="1666">
      <c r="B1" s="2712" t="inlineStr">
        <is>
          <t>❄️  STRATÉGIE FISCALE  ·  Snowball REER · Remboursement ARC · FTQ · Fiscal avancé</t>
        </is>
      </c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B3" s="2665" t="inlineStr">
        <is>
          <t>❄️  SNOWBALL FISCAL  ·  Impact réel taux 52.98%</t>
        </is>
      </c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9.5" customHeight="1" s="1666">
      <c r="B4" s="1690" t="inlineStr">
        <is>
          <t>VÉHICULE</t>
        </is>
      </c>
      <c r="D4" s="1690" t="inlineStr">
        <is>
          <t>ÉCON. /AN</t>
        </is>
      </c>
      <c r="E4" s="1690" t="inlineStr">
        <is>
          <t>ÉCON. /MOIS</t>
        </is>
      </c>
      <c r="F4" s="1690" t="inlineStr">
        <is>
          <t>RÈGLE</t>
        </is>
      </c>
      <c r="G4" s="1690" t="n"/>
      <c r="H4" s="1690" t="n"/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9.5" customHeight="1" s="1666">
      <c r="B5" s="2672" t="inlineStr">
        <is>
          <t>FHSA $16K/an</t>
        </is>
      </c>
      <c r="D5" s="2713">
        <f>16000*CONFIG!B11</f>
        <v/>
      </c>
      <c r="E5" s="2672">
        <f>16000*CONFIG!B11/12</f>
        <v/>
      </c>
      <c r="F5" s="2681" t="inlineStr">
        <is>
          <t>Déduction + retrait maison tax-free</t>
        </is>
      </c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9.5" customHeight="1" s="1666">
      <c r="B6" s="2670" t="inlineStr">
        <is>
          <t>REER $36K/an</t>
        </is>
      </c>
      <c r="D6" s="2713">
        <f>36000*CONFIG!B11</f>
        <v/>
      </c>
      <c r="E6" s="2670">
        <f>36000*CONFIG!B11/12</f>
        <v/>
      </c>
      <c r="F6" s="2682" t="inlineStr">
        <is>
          <t>Déduction 52.98% · horizon retraite</t>
        </is>
      </c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9.5" customHeight="1" s="1666">
      <c r="B7" s="2672" t="inlineStr">
        <is>
          <t>REER $2K/mois</t>
        </is>
      </c>
      <c r="D7" s="2713">
        <f>2000*CONFIG!B11</f>
        <v/>
      </c>
      <c r="E7" s="2672">
        <f>2000*CONFIG!B11/12</f>
        <v/>
      </c>
      <c r="F7" s="2681" t="inlineStr">
        <is>
          <t>✅ EN COURS · $2,000/mois SCHD · Coût net $940/mois · ARC rembourse $1,060/mois</t>
        </is>
      </c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9.5" customHeight="1" s="1666">
      <c r="B8" s="2670" t="inlineStr">
        <is>
          <t>FTQ $5K (si élig.)</t>
        </is>
      </c>
      <c r="D8" s="2713">
        <f>5000*(CONFIG!B11+0.3)</f>
        <v/>
      </c>
      <c r="E8" s="2670" t="inlineStr">
        <is>
          <t>—</t>
        </is>
      </c>
      <c r="F8" s="2682" t="inlineStr">
        <is>
          <t>52.98%+30% = 82.98% retour effectif</t>
        </is>
      </c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9.5" customHeight="1" s="1666"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9.5" customHeight="1" s="1666">
      <c r="B10" s="2680" t="inlineStr">
        <is>
          <t>🧾  CALCULATEUR REMBOURSEMENT FISCAL  ·  Cotisations 2026 réelles</t>
        </is>
      </c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9.5" customHeight="1" s="1666">
      <c r="B11" s="1690" t="inlineStr">
        <is>
          <t>POSTE</t>
        </is>
      </c>
      <c r="D11" s="1690" t="inlineStr">
        <is>
          <t>COTISATION</t>
        </is>
      </c>
      <c r="E11" s="1690" t="inlineStr">
        <is>
          <t>TAUX</t>
        </is>
      </c>
      <c r="F11" s="1690" t="inlineStr">
        <is>
          <t>ÉCONOMIE IMPÔT</t>
        </is>
      </c>
      <c r="G11" s="1690" t="n"/>
      <c r="H11" s="1690" t="n"/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9.5" customHeight="1" s="1666">
      <c r="B12" s="2672" t="inlineStr">
        <is>
          <t>FHSA 2026</t>
        </is>
      </c>
      <c r="D12" s="2673">
        <f>CONFIG!B33</f>
        <v/>
      </c>
      <c r="E12" s="2714">
        <f>CONFIG!B11</f>
        <v/>
      </c>
      <c r="F12" s="2666">
        <f>D12*E12</f>
        <v/>
      </c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9.5" customHeight="1" s="1666">
      <c r="B13" s="2670" t="inlineStr">
        <is>
          <t>REER 2026</t>
        </is>
      </c>
      <c r="D13" s="2671">
        <f>CONFIG!B34</f>
        <v/>
      </c>
      <c r="E13" s="2715">
        <f>CONFIG!B11</f>
        <v/>
      </c>
      <c r="F13" s="2716">
        <f>D13*E13</f>
        <v/>
      </c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9.5" customHeight="1" s="1666">
      <c r="B14" s="2672" t="inlineStr">
        <is>
          <t>FTQ 2026</t>
        </is>
      </c>
      <c r="D14" s="2673">
        <f>CONFIG!B27</f>
        <v/>
      </c>
      <c r="E14" s="2714">
        <f>CONFIG!B11+0.3</f>
        <v/>
      </c>
      <c r="F14" s="2666">
        <f>D14*E14</f>
        <v/>
      </c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9.5" customHeight="1" s="1666">
      <c r="B15" s="1885" t="inlineStr">
        <is>
          <t>TOTAL REMBOURSÉ ARC</t>
        </is>
      </c>
      <c r="D15" s="2717">
        <f>SUM(D12:D14)</f>
        <v/>
      </c>
      <c r="F15" s="1885">
        <f>SUM(F12:F14)</f>
        <v/>
      </c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9.5" customHeight="1" s="1666"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B17" s="2695" t="inlineStr">
        <is>
          <t>🌲  FTQ  ·  Crédit 30% · Seuil admissibilité</t>
        </is>
      </c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B18" s="2696" t="inlineStr">
        <is>
          <t>Seuil admissibilité</t>
        </is>
      </c>
      <c r="D18" s="2696" t="inlineStr">
        <is>
          <t>Revenu NET 2025 &lt; $129,590</t>
        </is>
      </c>
      <c r="F18" s="2697" t="inlineStr">
        <is>
          <t>⚠️ Vérifier ARC Mon Dossier</t>
        </is>
      </c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9.5" customHeight="1" s="1666">
      <c r="B19" s="2698" t="inlineStr">
        <is>
          <t>Cotisation max</t>
        </is>
      </c>
      <c r="D19" s="2698" t="inlineStr">
        <is>
          <t>$5,000 avant 31 déc 2026</t>
        </is>
      </c>
      <c r="F19" s="2675" t="inlineStr">
        <is>
          <t>Crédit $1,500 garanti si éligible</t>
        </is>
      </c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9.5" customHeight="1" s="1666">
      <c r="B20" s="2696" t="inlineStr">
        <is>
          <t>Retour combiné</t>
        </is>
      </c>
      <c r="D20" s="2696">
        <f>TEXT(CONFIG!B11+0.3,"0.0%")&amp;" retour effectif"</f>
        <v/>
      </c>
      <c r="F20" s="2697" t="inlineStr">
        <is>
          <t>$5,000 → $4,149 récupéré</t>
        </is>
      </c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9.5" customHeight="1" s="1666">
      <c r="B21" s="2698" t="inlineStr">
        <is>
          <t>Revenu net</t>
        </is>
      </c>
      <c r="D21" s="2718">
        <f>CONFIG!B35</f>
        <v/>
      </c>
      <c r="F21" s="2675" t="inlineStr">
        <is>
          <t>CONFIG!B35 · mettre à jour</t>
        </is>
      </c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9.5" customHeight="1" s="1666">
      <c r="B22" s="2719" t="inlineStr">
        <is>
          <t>Statut FTQ 2026</t>
        </is>
      </c>
      <c r="D22" s="1665">
        <f>IF(CONFIG!B35&gt;129590,"🔴 NON ÉLIGIBLE · Revenu net &gt; $129,590","✅ ÉLIGIBLE · Cotiser avant 31 déc")</f>
        <v/>
      </c>
      <c r="F22" s="1665" t="n"/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9.5" customHeight="1" s="1666">
      <c r="B23" s="2696" t="inlineStr">
        <is>
          <t>Statut FTQ</t>
        </is>
      </c>
      <c r="D23" s="2720" t="inlineStr">
        <is>
          <t>Revenu net $140K &gt; seuil $129,590 · Réévaluer si cotisation REER+FHSA réduit revenu net 2026</t>
        </is>
      </c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5.75" customHeight="1" s="1666"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B25" s="1665" t="inlineStr">
        <is>
          <t>📊  PROJECTION REER → RAP $60,000  ·  Plan $2,000/mois</t>
        </is>
      </c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5.75" customHeight="1" s="1666">
      <c r="B26" s="1665" t="inlineStr">
        <is>
          <t>POSTE</t>
        </is>
      </c>
      <c r="D26" s="1665" t="inlineStr">
        <is>
          <t>VALEUR</t>
        </is>
      </c>
      <c r="E26" s="1665" t="inlineStr">
        <is>
          <t>DATE EST.</t>
        </is>
      </c>
      <c r="F26" s="1665" t="inlineStr">
        <is>
          <t>NOTE</t>
        </is>
      </c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.75" customHeight="1" s="1666">
      <c r="B27" s="1665" t="inlineStr">
        <is>
          <t>REER actuel (confirmé S18)</t>
        </is>
      </c>
      <c r="D27" s="2721">
        <f>CONFIG!B34</f>
        <v/>
      </c>
      <c r="E27" s="1665" t="inlineStr">
        <is>
          <t>Mar 2026</t>
        </is>
      </c>
      <c r="F27" s="1665" t="inlineStr">
        <is>
          <t>← Cotisé YTD: $2,000 (SCHD 64.3053u)</t>
        </is>
      </c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5.75" customHeight="1" s="1666">
      <c r="B28" s="1665" t="inlineStr">
        <is>
          <t>Cotisation mensuelle REER</t>
        </is>
      </c>
      <c r="D28" s="1665" t="n">
        <v>2000</v>
      </c>
      <c r="E28" s="1665" t="inlineStr">
        <is>
          <t>Mensuel</t>
        </is>
      </c>
      <c r="F28" s="1665" t="inlineStr">
        <is>
          <t>SCHD · $1,060/mois ARC rembourse → coût net $940</t>
        </is>
      </c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5.75" customHeight="1" s="1666">
      <c r="B29" s="1665" t="inlineStr">
        <is>
          <t>Mois pour atteindre $60,000 RAP</t>
        </is>
      </c>
      <c r="D29" s="1665">
        <f>IFERROR(ROUNDUP((60000-CONFIG!B34)/2000,0),"⬜")</f>
        <v/>
      </c>
      <c r="E29" s="1665" t="inlineStr">
        <is>
          <t>← Auto</t>
        </is>
      </c>
      <c r="F29" s="1665" t="inlineStr">
        <is>
          <t>Depuis solde actuel · ~29 mois si maintenu</t>
        </is>
      </c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.75" customHeight="1" s="1666">
      <c r="B30" s="1665" t="inlineStr">
        <is>
          <t>Date RAP $60K atteint (estimée)</t>
        </is>
      </c>
      <c r="D30" s="1665">
        <f>IFERROR(TEXT(DATE(2026,3,1)+ROUNDUP((60000-CONFIG!B34)/2000,0)*30,"mmm yyyy"),"⬜ Saisir")</f>
        <v/>
      </c>
      <c r="E30" s="1665" t="inlineStr">
        <is>
          <t>← Auto</t>
        </is>
      </c>
      <c r="F30" s="1665" t="inlineStr">
        <is>
          <t>~Août 2028 si $2K/mois dès maintenant</t>
        </is>
      </c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B31" s="1665" t="inlineStr">
        <is>
          <t>ARC remboursé total (cumul)</t>
        </is>
      </c>
      <c r="D31" s="1665">
        <f>CONFIG!B34*CONFIG!B11</f>
        <v/>
      </c>
      <c r="E31" s="1665" t="inlineStr">
        <is>
          <t>← Auto</t>
        </is>
      </c>
      <c r="F31" s="1665" t="inlineStr">
        <is>
          <t>Économie fiscale totale sur cotisations REER à date</t>
        </is>
      </c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.75" customHeight="1" s="1666"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.75" customHeight="1" s="1666">
      <c r="B33" s="1665" t="inlineStr">
        <is>
          <t>📊  PROJECTION FHSA → $40,000  ·  Plan $1,000/mois FHSA</t>
        </is>
      </c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B34" s="1665" t="inlineStr">
        <is>
          <t>POSTE</t>
        </is>
      </c>
      <c r="D34" s="1665" t="inlineStr">
        <is>
          <t>VALEUR</t>
        </is>
      </c>
      <c r="E34" s="1665" t="inlineStr">
        <is>
          <t>DATE EST.</t>
        </is>
      </c>
      <c r="F34" s="1665" t="inlineStr">
        <is>
          <t>NOTE</t>
        </is>
      </c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5.75" customHeight="1" s="1666">
      <c r="B35" s="1665" t="inlineStr">
        <is>
          <t>FHSA actuel (valeur marché)</t>
        </is>
      </c>
      <c r="D35" s="2721">
        <f>CONFIG!B7</f>
        <v/>
      </c>
      <c r="E35" s="1665" t="inlineStr">
        <is>
          <t>Mar 2026</t>
        </is>
      </c>
      <c r="F35" s="1665" t="inlineStr">
        <is>
          <t>← Room restant 2026: $13,700 · Objectif: cotiser $16K en 2026</t>
        </is>
      </c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.75" customHeight="1" s="1666">
      <c r="B36" s="1665" t="inlineStr">
        <is>
          <t>Cotisé 2026 YTD (cash)</t>
        </is>
      </c>
      <c r="D36" s="2721">
        <f>CONFIG!B33</f>
        <v/>
      </c>
      <c r="E36" s="1665" t="inlineStr">
        <is>
          <t>← Auto</t>
        </is>
      </c>
      <c r="F36" s="1665" t="inlineStr">
        <is>
          <t>VFV.TO 16u @ $157.38</t>
        </is>
      </c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.75" customHeight="1" s="1666">
      <c r="B37" s="1665" t="inlineStr">
        <is>
          <t>Objectif FHSA pour maison 2030</t>
        </is>
      </c>
      <c r="D37" s="1665" t="n">
        <v>40000</v>
      </c>
      <c r="E37" s="1665" t="inlineStr">
        <is>
          <t>2030</t>
        </is>
      </c>
      <c r="F37" s="1665" t="inlineStr">
        <is>
          <t>Retrait tax-free pour mise de fonds · combiné RAP $60K = $100K</t>
        </is>
      </c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.75" customHeight="1" s="1666">
      <c r="B38" s="1665" t="inlineStr">
        <is>
          <t>Plan cotisations FHSA</t>
        </is>
      </c>
      <c r="D38" s="1665" t="inlineStr">
        <is>
          <t>An 2026: $16K · An 2027: $8K · An 2028: $4K</t>
        </is>
      </c>
      <c r="F38" s="1665" t="inlineStr">
        <is>
          <t>Selon plan confirmé par Hey S18</t>
        </is>
      </c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5.75" customHeight="1" s="1666"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5.75" customHeight="1" s="1666"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/>
    <row r="225" ht="15.75" customHeight="1" s="1666"/>
    <row r="226" ht="15.75" customHeight="1" s="1666"/>
    <row r="227" ht="15.75" customHeight="1" s="1666"/>
    <row r="228" ht="15.75" customHeight="1" s="1666"/>
    <row r="229" ht="15.75" customHeight="1" s="1666"/>
    <row r="230" ht="15.75" customHeight="1" s="1666"/>
    <row r="231" ht="15.75" customHeight="1" s="1666"/>
    <row r="232" ht="15.75" customHeight="1" s="1666"/>
    <row r="233" ht="15.75" customHeight="1" s="1666"/>
    <row r="234" ht="15.75" customHeight="1" s="1666"/>
    <row r="235" ht="15.75" customHeight="1" s="1666"/>
    <row r="236" ht="15.75" customHeight="1" s="1666"/>
    <row r="237" ht="15.75" customHeight="1" s="1666"/>
    <row r="238" ht="15.75" customHeight="1" s="1666"/>
    <row r="239" ht="15.75" customHeight="1" s="1666"/>
    <row r="240" ht="15.75" customHeight="1" s="1666"/>
    <row r="241" ht="15.75" customHeight="1" s="1666"/>
    <row r="242" ht="15.75" customHeight="1" s="1666"/>
    <row r="243" ht="15.75" customHeight="1" s="1666"/>
    <row r="244" ht="15.75" customHeight="1" s="1666"/>
    <row r="245" ht="15.75" customHeight="1" s="1666"/>
    <row r="246" ht="15.75" customHeight="1" s="1666"/>
    <row r="247" ht="15.75" customHeight="1" s="1666"/>
    <row r="248" ht="15.75" customHeight="1" s="1666"/>
    <row r="249" ht="15.75" customHeight="1" s="1666"/>
    <row r="250" ht="15.75" customHeight="1" s="1666"/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34">
    <mergeCell ref="F20:H20"/>
    <mergeCell ref="D20:E20"/>
    <mergeCell ref="F5:H5"/>
    <mergeCell ref="B7:C7"/>
    <mergeCell ref="F18:H18"/>
    <mergeCell ref="D19:E19"/>
    <mergeCell ref="F8:H8"/>
    <mergeCell ref="B22:C22"/>
    <mergeCell ref="B18:C18"/>
    <mergeCell ref="D21:E21"/>
    <mergeCell ref="B12:C12"/>
    <mergeCell ref="B21:C21"/>
    <mergeCell ref="F22:H22"/>
    <mergeCell ref="F13:H13"/>
    <mergeCell ref="B14:C14"/>
    <mergeCell ref="B3:H3"/>
    <mergeCell ref="B8:C8"/>
    <mergeCell ref="F15:H15"/>
    <mergeCell ref="B13:C13"/>
    <mergeCell ref="F14:H14"/>
    <mergeCell ref="B19:C19"/>
    <mergeCell ref="D18:E18"/>
    <mergeCell ref="B6:C6"/>
    <mergeCell ref="F6:H6"/>
    <mergeCell ref="B15:C15"/>
    <mergeCell ref="B17:H17"/>
    <mergeCell ref="B1:H1"/>
    <mergeCell ref="F19:H19"/>
    <mergeCell ref="B5:C5"/>
    <mergeCell ref="B20:C20"/>
    <mergeCell ref="B10:H10"/>
    <mergeCell ref="F7:H7"/>
    <mergeCell ref="F12:H12"/>
    <mergeCell ref="F21:H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Z2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22" customWidth="1" style="1665" min="2" max="2"/>
    <col width="10" customWidth="1" style="1665" min="3" max="4"/>
    <col width="8" customWidth="1" style="1665" min="5" max="16"/>
  </cols>
  <sheetData>
    <row r="1" ht="19.5" customHeight="1" s="1666">
      <c r="B1" s="2722" t="inlineStr">
        <is>
          <t>💰  REVENUS PASSIFS  ·  Dividendes estimés · Dividendes reçus 2026</t>
        </is>
      </c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B3" s="2665" t="inlineStr">
        <is>
          <t>📊  DIVIDENDES ESTIMÉS /AN  ·  Projections basées sur positions actuelles</t>
        </is>
      </c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9.5" customHeight="1" s="1666">
      <c r="B4" s="1690" t="inlineStr">
        <is>
          <t>TICKER</t>
        </is>
      </c>
      <c r="C4" s="1690" t="inlineStr">
        <is>
          <t>COMPTE</t>
        </is>
      </c>
      <c r="D4" s="1690" t="inlineStr">
        <is>
          <t>QTÉ</t>
        </is>
      </c>
      <c r="E4" s="1690" t="inlineStr">
        <is>
          <t>DIV/AN EST.</t>
        </is>
      </c>
      <c r="F4" s="1690" t="inlineStr">
        <is>
          <t>TOTAL CAD EST.</t>
        </is>
      </c>
      <c r="G4" s="1690" t="n"/>
      <c r="H4" s="1690" t="inlineStr">
        <is>
          <t>NOTE</t>
        </is>
      </c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9.5" customHeight="1" s="1666">
      <c r="B5" s="2672" t="inlineStr">
        <is>
          <t>ENB.TO</t>
        </is>
      </c>
      <c r="C5" s="2672" t="inlineStr">
        <is>
          <t>TFSA</t>
        </is>
      </c>
      <c r="D5" s="2672" t="inlineStr">
        <is>
          <t>9</t>
        </is>
      </c>
      <c r="E5" s="2672" t="inlineStr">
        <is>
          <t>~$4.40 CAD/u</t>
        </is>
      </c>
      <c r="F5" s="2672">
        <f>9*4.4</f>
        <v/>
      </c>
      <c r="H5" s="2672" t="inlineStr">
        <is>
          <t>Trimestriel ~6.0% yield</t>
        </is>
      </c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9.5" customHeight="1" s="1666">
      <c r="B6" s="2670" t="inlineStr">
        <is>
          <t>SCHD</t>
        </is>
      </c>
      <c r="C6" s="2670" t="n">
        <v>64.3053</v>
      </c>
      <c r="D6" s="2670" t="inlineStr">
        <is>
          <t>64.31</t>
        </is>
      </c>
      <c r="E6" s="2670" t="inlineStr">
        <is>
          <t>~$2.90 USD/u</t>
        </is>
      </c>
      <c r="F6" s="2670">
        <f>64.31*2.9*CONFIG!B3</f>
        <v/>
      </c>
      <c r="H6" s="2670" t="inlineStr">
        <is>
          <t>Trimestriel ~3.8%</t>
        </is>
      </c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9.5" customHeight="1" s="1666">
      <c r="B7" s="2672" t="inlineStr">
        <is>
          <t>JEPI</t>
        </is>
      </c>
      <c r="C7" s="2672" t="inlineStr">
        <is>
          <t>REER</t>
        </is>
      </c>
      <c r="D7" s="2672" t="inlineStr">
        <is>
          <t>1</t>
        </is>
      </c>
      <c r="E7" s="2672" t="inlineStr">
        <is>
          <t>~$4.60 USD/u</t>
        </is>
      </c>
      <c r="F7" s="2672">
        <f>1*4.6*CONFIG!B3</f>
        <v/>
      </c>
      <c r="H7" s="2672" t="inlineStr">
        <is>
          <t>Mensuel ~8%</t>
        </is>
      </c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9.5" customHeight="1" s="1666">
      <c r="B8" s="2670" t="inlineStr">
        <is>
          <t>TD.TO</t>
        </is>
      </c>
      <c r="C8" s="2670" t="inlineStr">
        <is>
          <t>TFSA+FHSA</t>
        </is>
      </c>
      <c r="D8" s="2670" t="inlineStr">
        <is>
          <t>102</t>
        </is>
      </c>
      <c r="E8" s="2670" t="inlineStr">
        <is>
          <t>~$4.08 CAD/u</t>
        </is>
      </c>
      <c r="F8" s="2670">
        <f>102*4.08</f>
        <v/>
      </c>
      <c r="H8" s="2670" t="inlineStr">
        <is>
          <t>Trimestriel ~3.1%</t>
        </is>
      </c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9.5" customHeight="1" s="1666">
      <c r="B9" s="2672" t="inlineStr">
        <is>
          <t>SRU.UN.TO</t>
        </is>
      </c>
      <c r="C9" s="2672" t="inlineStr">
        <is>
          <t>FHSA</t>
        </is>
      </c>
      <c r="D9" s="2672" t="inlineStr">
        <is>
          <t>63</t>
        </is>
      </c>
      <c r="E9" s="2672" t="inlineStr">
        <is>
          <t>~$1.85 CAD/u</t>
        </is>
      </c>
      <c r="F9" s="2672">
        <f>63*1.85</f>
        <v/>
      </c>
      <c r="H9" s="2672" t="inlineStr">
        <is>
          <t>Mensuel · REIT</t>
        </is>
      </c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9.5" customHeight="1" s="1666">
      <c r="A10" s="2723" t="inlineStr">
        <is>
          <t>REI.UN.TO</t>
        </is>
      </c>
      <c r="B10" s="2670" t="inlineStr">
        <is>
          <t>REI.UN.TO</t>
        </is>
      </c>
      <c r="C10" s="2670" t="n">
        <v>0</v>
      </c>
      <c r="D10" s="2670" t="inlineStr">
        <is>
          <t>✅ VENDU 11 mars 2026</t>
        </is>
      </c>
      <c r="E10" s="2670" t="n">
        <v>0</v>
      </c>
      <c r="F10" s="2670" t="n">
        <v>0</v>
      </c>
      <c r="H10" s="2670" t="inlineStr">
        <is>
          <t>Mensuel · REIT</t>
        </is>
      </c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9.5" customHeight="1" s="1666">
      <c r="B11" s="2672" t="inlineStr">
        <is>
          <t>MFC.TO</t>
        </is>
      </c>
      <c r="C11" s="2672" t="inlineStr">
        <is>
          <t>TFSA</t>
        </is>
      </c>
      <c r="D11" s="2672" t="inlineStr">
        <is>
          <t>8</t>
        </is>
      </c>
      <c r="E11" s="2672" t="inlineStr">
        <is>
          <t>~$1.60 CAD/u</t>
        </is>
      </c>
      <c r="F11" s="2672">
        <f>8*1.6</f>
        <v/>
      </c>
      <c r="H11" s="2672" t="inlineStr">
        <is>
          <t>Trimestriel</t>
        </is>
      </c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9.5" customHeight="1" s="1666">
      <c r="B12" s="2670" t="inlineStr">
        <is>
          <t>XEI.TO</t>
        </is>
      </c>
      <c r="C12" s="2670" t="inlineStr">
        <is>
          <t>FHSA</t>
        </is>
      </c>
      <c r="D12" s="2670" t="inlineStr">
        <is>
          <t>26</t>
        </is>
      </c>
      <c r="E12" s="2670" t="inlineStr">
        <is>
          <t>~$1.20 CAD/u</t>
        </is>
      </c>
      <c r="F12" s="2670">
        <f>26*1.2</f>
        <v/>
      </c>
      <c r="H12" s="2670" t="inlineStr">
        <is>
          <t>Mensuel ETF</t>
        </is>
      </c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9.5" customHeight="1" s="1666">
      <c r="B13" s="1885" t="inlineStr">
        <is>
          <t>TOTAL /AN ESTIMÉ</t>
        </is>
      </c>
      <c r="F13" s="2665">
        <f>SUM(F5:F12)</f>
        <v/>
      </c>
      <c r="H13" s="1885" t="inlineStr">
        <is>
          <t>~$3,200+/an ✅</t>
        </is>
      </c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9.5" customHeight="1" s="1666">
      <c r="B14" s="2691" t="inlineStr">
        <is>
          <t>📅  PROCHAINS DIVIDENDES ESTIMÉS  ·  Approximatif — confirmer Questrade</t>
        </is>
      </c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9.5" customHeight="1" s="1666">
      <c r="B15" s="1690" t="inlineStr">
        <is>
          <t>TICKER</t>
        </is>
      </c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9.5" customHeight="1" s="1666">
      <c r="B16" s="2724" t="inlineStr">
        <is>
          <t>ENB.TO</t>
        </is>
      </c>
      <c r="C16" s="2725" t="inlineStr">
        <is>
          <t>TFSA</t>
        </is>
      </c>
      <c r="D16" s="2725" t="inlineStr">
        <is>
          <t>Trimestriel</t>
        </is>
      </c>
      <c r="E16" s="2725" t="inlineStr">
        <is>
          <t>Mars/Juin/Sep/Déc</t>
        </is>
      </c>
      <c r="F16" s="2725" t="inlineStr">
        <is>
          <t>~$10 CAD/trim.</t>
        </is>
      </c>
      <c r="G16" s="2725" t="n"/>
      <c r="H16" s="2725" t="inlineStr">
        <is>
          <t>6.0% yield</t>
        </is>
      </c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B17" s="2726" t="inlineStr">
        <is>
          <t>SCHD</t>
        </is>
      </c>
      <c r="C17" s="2727" t="n">
        <v>64.3053</v>
      </c>
      <c r="D17" s="2727" t="inlineStr">
        <is>
          <t>Trimestriel</t>
        </is>
      </c>
      <c r="E17" s="2727" t="inlineStr">
        <is>
          <t>Mars/Juin/Sep/Déc</t>
        </is>
      </c>
      <c r="F17" s="2727" t="inlineStr">
        <is>
          <t>~$47 USD/trim.</t>
        </is>
      </c>
      <c r="G17" s="2727" t="n"/>
      <c r="H17" s="2727" t="inlineStr">
        <is>
          <t>3.8% yield · coeur snowball</t>
        </is>
      </c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B18" s="2724" t="inlineStr">
        <is>
          <t>TD.TO</t>
        </is>
      </c>
      <c r="C18" s="2725" t="inlineStr">
        <is>
          <t>TFSA+FHSA</t>
        </is>
      </c>
      <c r="D18" s="2725" t="inlineStr">
        <is>
          <t>Trimestriel</t>
        </is>
      </c>
      <c r="E18" s="2725" t="inlineStr">
        <is>
          <t>Jan/Avr/Juil/Oct</t>
        </is>
      </c>
      <c r="F18" s="2725" t="inlineStr">
        <is>
          <t>~$104 CAD/trim.</t>
        </is>
      </c>
      <c r="G18" s="2725" t="n"/>
      <c r="H18" s="2725" t="inlineStr">
        <is>
          <t>102u × $4.08/an ÷ 4</t>
        </is>
      </c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9.5" customHeight="1" s="1666">
      <c r="B19" s="2726" t="inlineStr">
        <is>
          <t>SRU.UN</t>
        </is>
      </c>
      <c r="C19" s="2727" t="inlineStr">
        <is>
          <t>FHSA</t>
        </is>
      </c>
      <c r="D19" s="2727" t="inlineStr">
        <is>
          <t>Mensuel</t>
        </is>
      </c>
      <c r="E19" s="2727" t="inlineStr">
        <is>
          <t>~25 chaque mois</t>
        </is>
      </c>
      <c r="F19" s="2727" t="inlineStr">
        <is>
          <t>~$10 CAD/mois</t>
        </is>
      </c>
      <c r="G19" s="2727" t="n"/>
      <c r="H19" s="2727" t="inlineStr">
        <is>
          <t>63u × $1.85/an ÷ 12</t>
        </is>
      </c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9.5" customHeight="1" s="1666">
      <c r="A20" s="2723" t="inlineStr">
        <is>
          <t>REI.UN.TO</t>
        </is>
      </c>
      <c r="B20" s="2724" t="inlineStr">
        <is>
          <t>REI.UN</t>
        </is>
      </c>
      <c r="C20" s="2725" t="n">
        <v>0</v>
      </c>
      <c r="D20" s="2725" t="inlineStr">
        <is>
          <t>✅ VENDU 11 mars 2026</t>
        </is>
      </c>
      <c r="E20" s="2725" t="n">
        <v>0</v>
      </c>
      <c r="F20" s="2725" t="inlineStr">
        <is>
          <t>~$6 CAD/mois</t>
        </is>
      </c>
      <c r="G20" s="2725" t="n"/>
      <c r="H20" s="2725" t="inlineStr">
        <is>
          <t>80u × $0.96/an ÷ 12</t>
        </is>
      </c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9.5" customHeight="1" s="1666"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9.5" customHeight="1" s="1666">
      <c r="B22" s="2695" t="inlineStr">
        <is>
          <t>💸  DIVIDENDES RÉELS REÇUS 2026  ·  Saisir après réception Questrade</t>
        </is>
      </c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9.5" customHeight="1" s="1666">
      <c r="B23" s="2473" t="inlineStr">
        <is>
          <t>DATE</t>
        </is>
      </c>
      <c r="C23" s="2473" t="inlineStr">
        <is>
          <t>TICKER</t>
        </is>
      </c>
      <c r="D23" s="2473" t="inlineStr">
        <is>
          <t>COMPTE</t>
        </is>
      </c>
      <c r="E23" s="2473" t="inlineStr">
        <is>
          <t>MONTANT CAD</t>
        </is>
      </c>
      <c r="F23" s="2473" t="inlineStr">
        <is>
          <t>MONTANT USD</t>
        </is>
      </c>
      <c r="G23" s="2473" t="inlineStr">
        <is>
          <t>TYPE</t>
        </is>
      </c>
      <c r="H23" s="2473" t="inlineStr">
        <is>
          <t>NOTE</t>
        </is>
      </c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9.5" customHeight="1" s="1666">
      <c r="B24" s="2696" t="n"/>
      <c r="C24" s="2696" t="n"/>
      <c r="D24" s="2696" t="n"/>
      <c r="E24" s="2696" t="n"/>
      <c r="F24" s="2696" t="n"/>
      <c r="G24" s="2696" t="n"/>
      <c r="H24" s="2696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9.5" customHeight="1" s="1666">
      <c r="B25" s="2698" t="n"/>
      <c r="C25" s="2698" t="n"/>
      <c r="D25" s="2698" t="n"/>
      <c r="E25" s="2698" t="n"/>
      <c r="F25" s="2698" t="n"/>
      <c r="G25" s="2698" t="n"/>
      <c r="H25" s="2698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9.5" customHeight="1" s="1666">
      <c r="B26" s="2696" t="n"/>
      <c r="C26" s="2696" t="n"/>
      <c r="D26" s="2696" t="n"/>
      <c r="E26" s="2696" t="n"/>
      <c r="F26" s="2696" t="n"/>
      <c r="G26" s="2696" t="n"/>
      <c r="H26" s="2696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9.5" customHeight="1" s="1666">
      <c r="B27" s="2698" t="n"/>
      <c r="C27" s="2698" t="n"/>
      <c r="D27" s="2698" t="n"/>
      <c r="E27" s="2698" t="n"/>
      <c r="F27" s="2698" t="n"/>
      <c r="G27" s="2698" t="n"/>
      <c r="H27" s="2698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9.5" customHeight="1" s="1666">
      <c r="B28" s="2696" t="n"/>
      <c r="C28" s="2696" t="n"/>
      <c r="D28" s="2696" t="n"/>
      <c r="E28" s="2696" t="n"/>
      <c r="F28" s="2696" t="n"/>
      <c r="G28" s="2696" t="n"/>
      <c r="H28" s="2696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9.5" customHeight="1" s="1666">
      <c r="B29" s="2698" t="n"/>
      <c r="C29" s="2698" t="n"/>
      <c r="D29" s="2698" t="n"/>
      <c r="E29" s="2698" t="n"/>
      <c r="F29" s="2698" t="n"/>
      <c r="G29" s="2698" t="n"/>
      <c r="H29" s="2698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9.5" customHeight="1" s="1666">
      <c r="B30" s="2696" t="n"/>
      <c r="C30" s="2696" t="n"/>
      <c r="D30" s="2696" t="n"/>
      <c r="E30" s="2696" t="n"/>
      <c r="F30" s="2696" t="n"/>
      <c r="G30" s="2696" t="n"/>
      <c r="H30" s="2696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9.5" customHeight="1" s="1666">
      <c r="B31" s="2698" t="n"/>
      <c r="C31" s="2698" t="n"/>
      <c r="D31" s="2698" t="n"/>
      <c r="E31" s="2698" t="n"/>
      <c r="F31" s="2698" t="n"/>
      <c r="G31" s="2698" t="n"/>
      <c r="H31" s="2698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9.5" customHeight="1" s="1666">
      <c r="B32" s="2696" t="n"/>
      <c r="E32" s="2696" t="n"/>
      <c r="G32" s="2696" t="n"/>
      <c r="H32" s="2696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9.5" customHeight="1" s="1666">
      <c r="B33" s="2698" t="n"/>
      <c r="C33" s="2698" t="n"/>
      <c r="D33" s="2698" t="n"/>
      <c r="E33" s="2698" t="n"/>
      <c r="F33" s="2698" t="n"/>
      <c r="G33" s="2698" t="n"/>
      <c r="H33" s="2698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9.5" customHeight="1" s="1666">
      <c r="B34" s="2696" t="n"/>
      <c r="C34" s="2696" t="n"/>
      <c r="D34" s="2696" t="n"/>
      <c r="E34" s="2696" t="n"/>
      <c r="F34" s="2696" t="n"/>
      <c r="G34" s="2696" t="n"/>
      <c r="H34" s="2696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9.5" customHeight="1" s="1666">
      <c r="B35" s="2698" t="n"/>
      <c r="C35" s="2698" t="n"/>
      <c r="D35" s="2698" t="n"/>
      <c r="E35" s="2698" t="n"/>
      <c r="F35" s="2698" t="n"/>
      <c r="G35" s="2698" t="n"/>
      <c r="H35" s="2698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9.5" customHeight="1" s="1666">
      <c r="B36" s="2696" t="n"/>
      <c r="C36" s="2696" t="n"/>
      <c r="D36" s="2696" t="n"/>
      <c r="E36" s="2696" t="n"/>
      <c r="F36" s="2696" t="n"/>
      <c r="G36" s="2696" t="n"/>
      <c r="H36" s="2696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9.5" customHeight="1" s="1666">
      <c r="B37" s="2698" t="n"/>
      <c r="C37" s="2698" t="n"/>
      <c r="D37" s="2698" t="n"/>
      <c r="E37" s="2698" t="n"/>
      <c r="F37" s="2698" t="n"/>
      <c r="G37" s="2698" t="n"/>
      <c r="H37" s="2698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9.5" customHeight="1" s="1666">
      <c r="B38" s="2696" t="n"/>
      <c r="C38" s="2696" t="n"/>
      <c r="D38" s="2696" t="n"/>
      <c r="E38" s="2696" t="n"/>
      <c r="F38" s="2696" t="n"/>
      <c r="G38" s="2696" t="n"/>
      <c r="H38" s="2696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9.5" customHeight="1" s="1666">
      <c r="B39" s="1885" t="inlineStr">
        <is>
          <t>TOTAL YTD 2026</t>
        </is>
      </c>
      <c r="E39" s="1885">
        <f>SUMIF(C17:C31,"&lt;&gt;",E17:E31)</f>
        <v/>
      </c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5.75" customHeight="1" s="1666"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21.75" customHeight="1" s="1666">
      <c r="B42" s="2033" t="inlineStr">
        <is>
          <t>🔥  SNOWBALL ARC — Modélisation complète du remboursement REER → réinvestissement</t>
        </is>
      </c>
      <c r="C42" s="2034" t="n"/>
      <c r="D42" s="2034" t="n"/>
      <c r="E42" s="2034" t="n"/>
      <c r="F42" s="2034" t="n"/>
      <c r="G42" s="2034" t="n"/>
      <c r="H42" s="2034" t="n"/>
      <c r="I42" s="2034" t="n"/>
      <c r="J42" s="2034" t="n"/>
      <c r="K42" s="2034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B43" s="1886" t="inlineStr">
        <is>
          <t>Cotisation REER mensuelle</t>
        </is>
      </c>
      <c r="C43" s="1891">
        <f>CONFIG!B10*2000/3500</f>
        <v/>
      </c>
      <c r="D43" s="1888" t="inlineStr">
        <is>
          <t>← $2,000/mois (proportion du plan total)</t>
        </is>
      </c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B44" s="1886" t="inlineStr">
        <is>
          <t>Cotisation REER annuelle</t>
        </is>
      </c>
      <c r="C44" s="1891">
        <f>C43*12</f>
        <v/>
      </c>
      <c r="D44" s="1888" t="inlineStr">
        <is>
          <t>← ×12</t>
        </is>
      </c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B45" s="1886" t="inlineStr">
        <is>
          <t>Taux marginal QC</t>
        </is>
      </c>
      <c r="C45" s="1892">
        <f>CONFIG!B11</f>
        <v/>
      </c>
      <c r="D45" s="1888" t="inlineStr">
        <is>
          <t>← auto CONFIG</t>
        </is>
      </c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B46" s="1886" t="inlineStr">
        <is>
          <t>Remboursement ARC /an</t>
        </is>
      </c>
      <c r="C46" s="1891">
        <f>C44*C45</f>
        <v/>
      </c>
      <c r="D46" s="1888" t="inlineStr">
        <is>
          <t>← Économie impôt réelle · reçue ~avril de l'année suivante</t>
        </is>
      </c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B47" s="1886" t="inlineStr">
        <is>
          <t>Remboursement ARC /mois</t>
        </is>
      </c>
      <c r="C47" s="1891">
        <f>C46/12</f>
        <v/>
      </c>
      <c r="D47" s="1888" t="inlineStr">
        <is>
          <t>← Cash mensuel équivalent</t>
        </is>
      </c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B48" s="1886" t="inlineStr">
        <is>
          <t>Réinvestissement ARC (où?)</t>
        </is>
      </c>
      <c r="C48" s="2728" t="inlineStr">
        <is>
          <t>FHSA/TFSA/REER selon room</t>
        </is>
      </c>
      <c r="D48" s="1888" t="inlineStr">
        <is>
          <t>⬜ Décider chaque année en fonction du room restant</t>
        </is>
      </c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B49" s="1886" t="inlineStr">
        <is>
          <t>Valeur ARC @20 ans (8%)</t>
        </is>
      </c>
      <c r="C49" s="1891">
        <f>C46*(1.08^20-1)/0.08</f>
        <v/>
      </c>
      <c r="D49" s="1888" t="inlineStr">
        <is>
          <t>← Si réinvesti chaque année · intérêts composés</t>
        </is>
      </c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B50" s="1886" t="inlineStr">
        <is>
          <t>COÛT NET réel REER /an</t>
        </is>
      </c>
      <c r="C50" s="1891">
        <f>C44-C46</f>
        <v/>
      </c>
      <c r="D50" s="1888" t="inlineStr">
        <is>
          <t>← Ce que ça te coûte vraiment après remboursement</t>
        </is>
      </c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21.75" customHeight="1" s="1666">
      <c r="B52" s="2729" t="inlineStr">
        <is>
          <t>📅  CALENDRIER DIVIDENDES 2026 — Flux de trésorerie mensuel prévu</t>
        </is>
      </c>
      <c r="C52" s="2730" t="n"/>
      <c r="D52" s="2730" t="n"/>
      <c r="E52" s="2730" t="n"/>
      <c r="F52" s="2730" t="n"/>
      <c r="G52" s="2730" t="n"/>
      <c r="H52" s="2730" t="n"/>
      <c r="I52" s="2730" t="n"/>
      <c r="J52" s="2730" t="n"/>
      <c r="K52" s="2730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B53" s="2731" t="inlineStr">
        <is>
          <t>TICKER / SOURCE</t>
        </is>
      </c>
      <c r="C53" s="2731" t="inlineStr">
        <is>
          <t>COMPTE</t>
        </is>
      </c>
      <c r="D53" s="2731" t="inlineStr">
        <is>
          <t>JAN</t>
        </is>
      </c>
      <c r="E53" s="2731" t="inlineStr">
        <is>
          <t>FÉV</t>
        </is>
      </c>
      <c r="F53" s="2731" t="inlineStr">
        <is>
          <t>MARS</t>
        </is>
      </c>
      <c r="G53" s="2731" t="inlineStr">
        <is>
          <t>AVR</t>
        </is>
      </c>
      <c r="H53" s="2731" t="inlineStr">
        <is>
          <t>MAI</t>
        </is>
      </c>
      <c r="I53" s="2731" t="inlineStr">
        <is>
          <t>JUIN</t>
        </is>
      </c>
      <c r="J53" s="2731" t="inlineStr">
        <is>
          <t>JUIL</t>
        </is>
      </c>
      <c r="K53" s="2731" t="inlineStr">
        <is>
          <t>AOÛT</t>
        </is>
      </c>
      <c r="L53" s="2731" t="inlineStr">
        <is>
          <t>SEP</t>
        </is>
      </c>
      <c r="M53" s="2731" t="inlineStr">
        <is>
          <t>OCT</t>
        </is>
      </c>
      <c r="N53" s="2731" t="inlineStr">
        <is>
          <t>NOV</t>
        </is>
      </c>
      <c r="O53" s="2731" t="inlineStr">
        <is>
          <t>DÉC</t>
        </is>
      </c>
      <c r="P53" s="2731" t="inlineStr">
        <is>
          <t>TOTAL/AN</t>
        </is>
      </c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B54" s="2732" t="inlineStr">
        <is>
          <t>ENB.TO</t>
        </is>
      </c>
      <c r="C54" s="2733" t="inlineStr">
        <is>
          <t>TFSA</t>
        </is>
      </c>
      <c r="D54" s="2032" t="inlineStr">
        <is>
          <t>—</t>
        </is>
      </c>
      <c r="E54" s="2032" t="inlineStr">
        <is>
          <t>—</t>
        </is>
      </c>
      <c r="F54" s="2734">
        <f>IFERROR((9*4.4)/4,0)</f>
        <v/>
      </c>
      <c r="G54" s="2032" t="inlineStr">
        <is>
          <t>—</t>
        </is>
      </c>
      <c r="H54" s="2032" t="inlineStr">
        <is>
          <t>—</t>
        </is>
      </c>
      <c r="I54" s="2734">
        <f>IFERROR((9*4.4)/4,0)</f>
        <v/>
      </c>
      <c r="J54" s="2032" t="inlineStr">
        <is>
          <t>—</t>
        </is>
      </c>
      <c r="K54" s="2032" t="inlineStr">
        <is>
          <t>—</t>
        </is>
      </c>
      <c r="L54" s="2734">
        <f>IFERROR((9*4.4)/4,0)</f>
        <v/>
      </c>
      <c r="M54" s="2032" t="inlineStr">
        <is>
          <t>—</t>
        </is>
      </c>
      <c r="N54" s="2032" t="inlineStr">
        <is>
          <t>—</t>
        </is>
      </c>
      <c r="O54" s="2734">
        <f>IFERROR((9*4.4)/4,0)</f>
        <v/>
      </c>
      <c r="P54" s="1891">
        <f>IFERROR(SUM(D54:O54),0)</f>
        <v/>
      </c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B55" s="2732" t="inlineStr">
        <is>
          <t>SCHD</t>
        </is>
      </c>
      <c r="C55" s="2733" t="inlineStr">
        <is>
          <t>REER</t>
        </is>
      </c>
      <c r="D55" s="2032" t="inlineStr">
        <is>
          <t>—</t>
        </is>
      </c>
      <c r="E55" s="2032" t="inlineStr">
        <is>
          <t>—</t>
        </is>
      </c>
      <c r="F55" s="2734">
        <f>IFERROR((64.31*2.9*CONFIG!B3)/4,0)</f>
        <v/>
      </c>
      <c r="G55" s="2032" t="inlineStr">
        <is>
          <t>—</t>
        </is>
      </c>
      <c r="H55" s="2032" t="inlineStr">
        <is>
          <t>—</t>
        </is>
      </c>
      <c r="I55" s="2734">
        <f>IFERROR((64.31*2.9*CONFIG!B3)/4,0)</f>
        <v/>
      </c>
      <c r="J55" s="2032" t="inlineStr">
        <is>
          <t>—</t>
        </is>
      </c>
      <c r="K55" s="2032" t="inlineStr">
        <is>
          <t>—</t>
        </is>
      </c>
      <c r="L55" s="2734">
        <f>IFERROR((64.31*2.9*CONFIG!B3)/4,0)</f>
        <v/>
      </c>
      <c r="M55" s="2032" t="inlineStr">
        <is>
          <t>—</t>
        </is>
      </c>
      <c r="N55" s="2032" t="inlineStr">
        <is>
          <t>—</t>
        </is>
      </c>
      <c r="O55" s="2734">
        <f>IFERROR((64.31*2.9*CONFIG!B3)/4,0)</f>
        <v/>
      </c>
      <c r="P55" s="1891">
        <f>IFERROR(SUM(D55:O55),0)</f>
        <v/>
      </c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B56" s="2732" t="inlineStr">
        <is>
          <t>JEPI</t>
        </is>
      </c>
      <c r="C56" s="2733" t="inlineStr">
        <is>
          <t>REER</t>
        </is>
      </c>
      <c r="D56" s="2734">
        <f>IFERROR((1*4.6*CONFIG!B3)/12,0)</f>
        <v/>
      </c>
      <c r="E56" s="2734">
        <f>IFERROR((1*4.6*CONFIG!B3)/12,0)</f>
        <v/>
      </c>
      <c r="F56" s="2734">
        <f>IFERROR((1*4.6*CONFIG!B3)/12,0)</f>
        <v/>
      </c>
      <c r="G56" s="2734">
        <f>IFERROR((1*4.6*CONFIG!B3)/12,0)</f>
        <v/>
      </c>
      <c r="H56" s="2734">
        <f>IFERROR((1*4.6*CONFIG!B3)/12,0)</f>
        <v/>
      </c>
      <c r="I56" s="2734">
        <f>IFERROR((1*4.6*CONFIG!B3)/12,0)</f>
        <v/>
      </c>
      <c r="J56" s="2734">
        <f>IFERROR((1*4.6*CONFIG!B3)/12,0)</f>
        <v/>
      </c>
      <c r="K56" s="2734">
        <f>IFERROR((1*4.6*CONFIG!B3)/12,0)</f>
        <v/>
      </c>
      <c r="L56" s="2734">
        <f>IFERROR((1*4.6*CONFIG!B3)/12,0)</f>
        <v/>
      </c>
      <c r="M56" s="2734">
        <f>IFERROR((1*4.6*CONFIG!B3)/12,0)</f>
        <v/>
      </c>
      <c r="N56" s="2734">
        <f>IFERROR((1*4.6*CONFIG!B3)/12,0)</f>
        <v/>
      </c>
      <c r="O56" s="2734">
        <f>IFERROR((1*4.6*CONFIG!B3)/12,0)</f>
        <v/>
      </c>
      <c r="P56" s="1891">
        <f>IFERROR(SUM(D56:O56),0)</f>
        <v/>
      </c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B57" s="2732" t="inlineStr">
        <is>
          <t>TD.TO</t>
        </is>
      </c>
      <c r="C57" s="2733" t="inlineStr">
        <is>
          <t>TFSA</t>
        </is>
      </c>
      <c r="D57" s="2734">
        <f>IFERROR((87*4.08)/4,0)</f>
        <v/>
      </c>
      <c r="E57" s="2032" t="inlineStr">
        <is>
          <t>—</t>
        </is>
      </c>
      <c r="F57" s="2032" t="inlineStr">
        <is>
          <t>—</t>
        </is>
      </c>
      <c r="G57" s="2734">
        <f>IFERROR((87*4.08)/4,0)</f>
        <v/>
      </c>
      <c r="H57" s="2032" t="inlineStr">
        <is>
          <t>—</t>
        </is>
      </c>
      <c r="I57" s="2032" t="inlineStr">
        <is>
          <t>—</t>
        </is>
      </c>
      <c r="J57" s="2734">
        <f>IFERROR((87*4.08)/4,0)</f>
        <v/>
      </c>
      <c r="K57" s="2032" t="inlineStr">
        <is>
          <t>—</t>
        </is>
      </c>
      <c r="L57" s="2032" t="inlineStr">
        <is>
          <t>—</t>
        </is>
      </c>
      <c r="M57" s="2734">
        <f>IFERROR((87*4.08)/4,0)</f>
        <v/>
      </c>
      <c r="N57" s="2032" t="inlineStr">
        <is>
          <t>—</t>
        </is>
      </c>
      <c r="O57" s="2032" t="inlineStr">
        <is>
          <t>—</t>
        </is>
      </c>
      <c r="P57" s="1891">
        <f>IFERROR(SUM(D57:O57),0)</f>
        <v/>
      </c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B58" s="2732" t="inlineStr">
        <is>
          <t>TD.TO</t>
        </is>
      </c>
      <c r="C58" s="2733" t="inlineStr">
        <is>
          <t>FHSA</t>
        </is>
      </c>
      <c r="D58" s="2734">
        <f>IFERROR((87*4.08)/4,0)</f>
        <v/>
      </c>
      <c r="E58" s="2032" t="inlineStr">
        <is>
          <t>—</t>
        </is>
      </c>
      <c r="F58" s="2032" t="inlineStr">
        <is>
          <t>—</t>
        </is>
      </c>
      <c r="G58" s="2734">
        <f>IFERROR((87*4.08)/4,0)</f>
        <v/>
      </c>
      <c r="H58" s="2032" t="inlineStr">
        <is>
          <t>—</t>
        </is>
      </c>
      <c r="I58" s="2032" t="inlineStr">
        <is>
          <t>—</t>
        </is>
      </c>
      <c r="J58" s="2734">
        <f>IFERROR((87*4.08)/4,0)</f>
        <v/>
      </c>
      <c r="K58" s="2032" t="inlineStr">
        <is>
          <t>—</t>
        </is>
      </c>
      <c r="L58" s="2032" t="inlineStr">
        <is>
          <t>—</t>
        </is>
      </c>
      <c r="M58" s="2734">
        <f>IFERROR((87*4.08)/4,0)</f>
        <v/>
      </c>
      <c r="N58" s="2032" t="inlineStr">
        <is>
          <t>—</t>
        </is>
      </c>
      <c r="O58" s="2032" t="inlineStr">
        <is>
          <t>—</t>
        </is>
      </c>
      <c r="P58" s="1891">
        <f>IFERROR(SUM(D58:O58),0)</f>
        <v/>
      </c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B59" s="2732" t="inlineStr">
        <is>
          <t>SRU.UN</t>
        </is>
      </c>
      <c r="C59" s="2733" t="inlineStr">
        <is>
          <t>FHSA</t>
        </is>
      </c>
      <c r="D59" s="2734">
        <f>IFERROR((63*1.85)/12,0)</f>
        <v/>
      </c>
      <c r="E59" s="2734">
        <f>IFERROR((63*1.85)/12,0)</f>
        <v/>
      </c>
      <c r="F59" s="2734">
        <f>IFERROR((63*1.85)/12,0)</f>
        <v/>
      </c>
      <c r="G59" s="2734">
        <f>IFERROR((63*1.85)/12,0)</f>
        <v/>
      </c>
      <c r="H59" s="2734">
        <f>IFERROR((63*1.85)/12,0)</f>
        <v/>
      </c>
      <c r="I59" s="2734">
        <f>IFERROR((63*1.85)/12,0)</f>
        <v/>
      </c>
      <c r="J59" s="2734">
        <f>IFERROR((63*1.85)/12,0)</f>
        <v/>
      </c>
      <c r="K59" s="2734">
        <f>IFERROR((63*1.85)/12,0)</f>
        <v/>
      </c>
      <c r="L59" s="2734">
        <f>IFERROR((63*1.85)/12,0)</f>
        <v/>
      </c>
      <c r="M59" s="2734">
        <f>IFERROR((63*1.85)/12,0)</f>
        <v/>
      </c>
      <c r="N59" s="2734">
        <f>IFERROR((63*1.85)/12,0)</f>
        <v/>
      </c>
      <c r="O59" s="2734">
        <f>IFERROR((63*1.85)/12,0)</f>
        <v/>
      </c>
      <c r="P59" s="1891">
        <f>IFERROR(SUM(D59:O59),0)</f>
        <v/>
      </c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B60" s="2732" t="inlineStr">
        <is>
          <t>REI.UN</t>
        </is>
      </c>
      <c r="C60" s="2733" t="inlineStr">
        <is>
          <t>FHSA</t>
        </is>
      </c>
      <c r="D60" s="2734">
        <f>IFERROR((80*0.96)/12,0)</f>
        <v/>
      </c>
      <c r="E60" s="2734">
        <f>IFERROR((80*0.96)/12,0)</f>
        <v/>
      </c>
      <c r="F60" s="2734">
        <f>IFERROR((80*0.96)/12,0)</f>
        <v/>
      </c>
      <c r="G60" s="2734">
        <f>IFERROR((80*0.96)/12,0)</f>
        <v/>
      </c>
      <c r="H60" s="2734">
        <f>IFERROR((80*0.96)/12,0)</f>
        <v/>
      </c>
      <c r="I60" s="2734">
        <f>IFERROR((80*0.96)/12,0)</f>
        <v/>
      </c>
      <c r="J60" s="2734">
        <f>IFERROR((80*0.96)/12,0)</f>
        <v/>
      </c>
      <c r="K60" s="2734">
        <f>IFERROR((80*0.96)/12,0)</f>
        <v/>
      </c>
      <c r="L60" s="2734">
        <f>IFERROR((80*0.96)/12,0)</f>
        <v/>
      </c>
      <c r="M60" s="2734">
        <f>IFERROR((80*0.96)/12,0)</f>
        <v/>
      </c>
      <c r="N60" s="2734">
        <f>IFERROR((80*0.96)/12,0)</f>
        <v/>
      </c>
      <c r="O60" s="2734">
        <f>IFERROR((80*0.96)/12,0)</f>
        <v/>
      </c>
      <c r="P60" s="1891">
        <f>IFERROR(SUM(D60:O60),0)</f>
        <v/>
      </c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B61" s="2732" t="inlineStr">
        <is>
          <t>MFC.TO</t>
        </is>
      </c>
      <c r="C61" s="2733" t="inlineStr">
        <is>
          <t>TFSA</t>
        </is>
      </c>
      <c r="D61" s="2032" t="inlineStr">
        <is>
          <t>—</t>
        </is>
      </c>
      <c r="E61" s="2032" t="inlineStr">
        <is>
          <t>—</t>
        </is>
      </c>
      <c r="F61" s="2734">
        <f>IFERROR((8*1.6)/4,0)</f>
        <v/>
      </c>
      <c r="G61" s="2032" t="inlineStr">
        <is>
          <t>—</t>
        </is>
      </c>
      <c r="H61" s="2032" t="inlineStr">
        <is>
          <t>—</t>
        </is>
      </c>
      <c r="I61" s="2734">
        <f>IFERROR((8*1.6)/4,0)</f>
        <v/>
      </c>
      <c r="J61" s="2032" t="inlineStr">
        <is>
          <t>—</t>
        </is>
      </c>
      <c r="K61" s="2032" t="inlineStr">
        <is>
          <t>—</t>
        </is>
      </c>
      <c r="L61" s="2734">
        <f>IFERROR((8*1.6)/4,0)</f>
        <v/>
      </c>
      <c r="M61" s="2032" t="inlineStr">
        <is>
          <t>—</t>
        </is>
      </c>
      <c r="N61" s="2032" t="inlineStr">
        <is>
          <t>—</t>
        </is>
      </c>
      <c r="O61" s="2734">
        <f>IFERROR((8*1.6)/4,0)</f>
        <v/>
      </c>
      <c r="P61" s="1891">
        <f>IFERROR(SUM(D61:O61),0)</f>
        <v/>
      </c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B62" s="2732" t="inlineStr">
        <is>
          <t>XEI.TO</t>
        </is>
      </c>
      <c r="C62" s="2733" t="inlineStr">
        <is>
          <t>FHSA</t>
        </is>
      </c>
      <c r="D62" s="2734">
        <f>IFERROR((26*1.2)/12,0)</f>
        <v/>
      </c>
      <c r="E62" s="2734">
        <f>IFERROR((26*1.2)/12,0)</f>
        <v/>
      </c>
      <c r="F62" s="2734">
        <f>IFERROR((26*1.2)/12,0)</f>
        <v/>
      </c>
      <c r="G62" s="2734">
        <f>IFERROR((26*1.2)/12,0)</f>
        <v/>
      </c>
      <c r="H62" s="2734">
        <f>IFERROR((26*1.2)/12,0)</f>
        <v/>
      </c>
      <c r="I62" s="2734">
        <f>IFERROR((26*1.2)/12,0)</f>
        <v/>
      </c>
      <c r="J62" s="2734">
        <f>IFERROR((26*1.2)/12,0)</f>
        <v/>
      </c>
      <c r="K62" s="2734">
        <f>IFERROR((26*1.2)/12,0)</f>
        <v/>
      </c>
      <c r="L62" s="2734">
        <f>IFERROR((26*1.2)/12,0)</f>
        <v/>
      </c>
      <c r="M62" s="2734">
        <f>IFERROR((26*1.2)/12,0)</f>
        <v/>
      </c>
      <c r="N62" s="2734">
        <f>IFERROR((26*1.2)/12,0)</f>
        <v/>
      </c>
      <c r="O62" s="2734">
        <f>IFERROR((26*1.2)/12,0)</f>
        <v/>
      </c>
      <c r="P62" s="1891">
        <f>IFERROR(SUM(D62:O62),0)</f>
        <v/>
      </c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B63" s="2732" t="inlineStr">
        <is>
          <t>XEI.TO</t>
        </is>
      </c>
      <c r="C63" s="2733" t="inlineStr">
        <is>
          <t>TFSA</t>
        </is>
      </c>
      <c r="D63" s="2734">
        <f>IFERROR((51*1.2)/12,0)</f>
        <v/>
      </c>
      <c r="E63" s="2734">
        <f>IFERROR((51*1.2)/12,0)</f>
        <v/>
      </c>
      <c r="F63" s="2734">
        <f>IFERROR((51*1.2)/12,0)</f>
        <v/>
      </c>
      <c r="G63" s="2734">
        <f>IFERROR((51*1.2)/12,0)</f>
        <v/>
      </c>
      <c r="H63" s="2734">
        <f>IFERROR((51*1.2)/12,0)</f>
        <v/>
      </c>
      <c r="I63" s="2734">
        <f>IFERROR((51*1.2)/12,0)</f>
        <v/>
      </c>
      <c r="J63" s="2734">
        <f>IFERROR((51*1.2)/12,0)</f>
        <v/>
      </c>
      <c r="K63" s="2734">
        <f>IFERROR((51*1.2)/12,0)</f>
        <v/>
      </c>
      <c r="L63" s="2734">
        <f>IFERROR((51*1.2)/12,0)</f>
        <v/>
      </c>
      <c r="M63" s="2734">
        <f>IFERROR((51*1.2)/12,0)</f>
        <v/>
      </c>
      <c r="N63" s="2734">
        <f>IFERROR((51*1.2)/12,0)</f>
        <v/>
      </c>
      <c r="O63" s="2734">
        <f>IFERROR((51*1.2)/12,0)</f>
        <v/>
      </c>
      <c r="P63" s="1891">
        <f>IFERROR(SUM(D63:O63),0)</f>
        <v/>
      </c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B64" s="1914" t="inlineStr">
        <is>
          <t>▼ TOTAL /MOIS (CAD)</t>
        </is>
      </c>
      <c r="C64" s="2735" t="n"/>
      <c r="D64" s="2736">
        <f>SUM(D54:D63)</f>
        <v/>
      </c>
      <c r="E64" s="2736">
        <f>SUM(E54:E63)</f>
        <v/>
      </c>
      <c r="F64" s="2736">
        <f>SUM(F54:F63)</f>
        <v/>
      </c>
      <c r="G64" s="2736">
        <f>SUM(G54:G63)</f>
        <v/>
      </c>
      <c r="H64" s="2736">
        <f>SUM(H54:H63)</f>
        <v/>
      </c>
      <c r="I64" s="2736">
        <f>SUM(I54:I63)</f>
        <v/>
      </c>
      <c r="J64" s="2736">
        <f>SUM(J54:J63)</f>
        <v/>
      </c>
      <c r="K64" s="2736">
        <f>SUM(K54:K63)</f>
        <v/>
      </c>
      <c r="L64" s="2736">
        <f>SUM(L54:L63)</f>
        <v/>
      </c>
      <c r="M64" s="2736">
        <f>SUM(M54:M63)</f>
        <v/>
      </c>
      <c r="N64" s="2736">
        <f>SUM(N54:N63)</f>
        <v/>
      </c>
      <c r="O64" s="2736">
        <f>SUM(O54:O63)</f>
        <v/>
      </c>
      <c r="P64" s="2736">
        <f>SUM(D64:O64)</f>
        <v/>
      </c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34.5" customHeight="1" s="1666">
      <c r="B66" s="2737" t="inlineStr">
        <is>
          <t>💡 Ces dividendes = argent réel qui rentre. SCHD REER + ENB TFSA + JEPI REER trimestriels/mensuels. Ajouter à CONFIG!B25 (HISA) si non réinvesti = tampon liquidité.</t>
        </is>
      </c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16">
    <mergeCell ref="B14:H14"/>
    <mergeCell ref="F11:G11"/>
    <mergeCell ref="F12:G12"/>
    <mergeCell ref="B1:H1"/>
    <mergeCell ref="F10:G10"/>
    <mergeCell ref="E32:F32"/>
    <mergeCell ref="B13:E13"/>
    <mergeCell ref="F5:G5"/>
    <mergeCell ref="B32:D32"/>
    <mergeCell ref="F6:G6"/>
    <mergeCell ref="B15:H15"/>
    <mergeCell ref="F13:G13"/>
    <mergeCell ref="B3:H3"/>
    <mergeCell ref="F9:G9"/>
    <mergeCell ref="F7:G7"/>
    <mergeCell ref="F8:G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00B050"/>
    <outlinePr summaryBelow="1" summaryRight="1"/>
    <pageSetUpPr fitToPage="0"/>
  </sheetPr>
  <dimension ref="A1:Z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3" activeCellId="0" sqref="B3"/>
    </sheetView>
  </sheetViews>
  <sheetFormatPr baseColWidth="8" defaultColWidth="14.43359375" defaultRowHeight="15" zeroHeight="0" outlineLevelRow="0"/>
  <cols>
    <col width="2" customWidth="1" style="1665" min="1" max="1"/>
    <col width="22" customWidth="1" style="1665" min="2" max="2"/>
    <col width="14" customWidth="1" style="1665" min="3" max="3"/>
    <col width="8.710000000000001" customWidth="1" style="1665" min="4" max="6"/>
    <col width="14" customWidth="1" style="1665" min="7" max="7"/>
    <col width="8.710000000000001" customWidth="1" style="1665" min="8" max="14"/>
  </cols>
  <sheetData>
    <row r="1" ht="19.5" customHeight="1" s="1666">
      <c r="A1" s="2738" t="inlineStr">
        <is>
          <t>🏠  MAISON 2030+  ·  Plan d'achat complet  ·  FHSA $40K + RAP REER $60K = $100K mise de fonds</t>
        </is>
      </c>
      <c r="I1" s="2363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9.5" customHeight="1" s="1666">
      <c r="A2" s="2739" t="inlineStr">
        <is>
          <t>Mis à jour automatiquement via CONFIG  ·  Cellules JAUNES = saisir à la main</t>
        </is>
      </c>
      <c r="B2" s="2361" t="n"/>
      <c r="C2" s="2361" t="n"/>
      <c r="D2" s="2361" t="n"/>
      <c r="E2" s="2361" t="n"/>
      <c r="F2" s="2361" t="n"/>
      <c r="G2" s="2361" t="n"/>
      <c r="H2" s="2361" t="n"/>
      <c r="I2" s="2361" t="n"/>
      <c r="J2" s="2361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A3" s="2364" t="n"/>
      <c r="B3" s="2364" t="n"/>
      <c r="C3" s="2364" t="n"/>
      <c r="D3" s="2364" t="n"/>
      <c r="E3" s="2364" t="n"/>
      <c r="F3" s="2364" t="n"/>
      <c r="G3" s="2364" t="n"/>
      <c r="H3" s="2364" t="n"/>
      <c r="I3" s="2364" t="n"/>
      <c r="J3" s="2364" t="n"/>
      <c r="K3" s="2364" t="n"/>
      <c r="L3" s="2364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9.5" customHeight="1" s="1666">
      <c r="A4" s="2740" t="inlineStr">
        <is>
          <t>📊  PROGRESSION — Où j'en suis aujourd'hui</t>
        </is>
      </c>
      <c r="I4" s="2363" t="n"/>
      <c r="J4" s="2363" t="n"/>
      <c r="K4" s="2363" t="n"/>
      <c r="L4" s="2363" t="n"/>
      <c r="M4" s="2363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9.5" customHeight="1" s="1666">
      <c r="A5" s="2741" t="n"/>
      <c r="B5" s="2742" t="inlineStr">
        <is>
          <t>SOURCE</t>
        </is>
      </c>
      <c r="C5" s="2742" t="inlineStr">
        <is>
          <t>VALEUR ACTUELLE</t>
        </is>
      </c>
      <c r="D5" s="2742" t="inlineStr">
        <is>
          <t>OBJECTIF CAD</t>
        </is>
      </c>
      <c r="E5" s="2742" t="inlineStr">
        <is>
          <t>MANQUANT</t>
        </is>
      </c>
      <c r="F5" s="2742" t="inlineStr">
        <is>
          <t>PROGRESSION %</t>
        </is>
      </c>
      <c r="G5" s="2742" t="inlineStr">
        <is>
          <t>STATUT</t>
        </is>
      </c>
      <c r="H5" s="2742" t="inlineStr">
        <is>
          <t>RÔLE</t>
        </is>
      </c>
      <c r="I5" s="2741" t="n"/>
      <c r="J5" s="2741" t="n"/>
      <c r="K5" s="2741" t="n"/>
      <c r="L5" s="2741" t="n"/>
      <c r="M5" s="2741" t="n"/>
      <c r="N5" s="2741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9.5" customHeight="1" s="1666">
      <c r="B6" s="2453" t="inlineStr">
        <is>
          <t>FHSA</t>
        </is>
      </c>
      <c r="C6" s="2455">
        <f>'📈 PORTEFEUILLE'!L59</f>
        <v/>
      </c>
      <c r="D6" s="2455" t="n"/>
      <c r="E6" s="2455">
        <f>CONFIG!B14</f>
        <v/>
      </c>
      <c r="F6" s="2600">
        <f>E6-C6</f>
        <v/>
      </c>
      <c r="G6" s="2600">
        <f>IFERROR(C6/E6,0)</f>
        <v/>
      </c>
      <c r="H6" s="2743">
        <f>IF(C6/E6&gt;=1,"✅ ATTEINT",IF(C6/E6&gt;=0.8,"🟡 PRÈS","🔴 ACCÉLÉRER"))</f>
        <v/>
      </c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9.5" customHeight="1" s="1666">
      <c r="B7" s="2456" t="inlineStr">
        <is>
          <t>REER (RAP)</t>
        </is>
      </c>
      <c r="C7" s="2458">
        <f>'📈 PORTEFEUILLE'!L68</f>
        <v/>
      </c>
      <c r="D7" s="2458" t="n"/>
      <c r="E7" s="2458">
        <f>CONFIG!B15</f>
        <v/>
      </c>
      <c r="F7" s="2607">
        <f>E7-C7</f>
        <v/>
      </c>
      <c r="G7" s="2607">
        <f>IFERROR(C7/E7,0)</f>
        <v/>
      </c>
      <c r="H7" s="2744">
        <f>IF(C7/E7&gt;=1,"✅ ATTEINT",IF(C7/E7&gt;=0.8,"🟡 PRÈS","🔴 ACCÉLÉRER"))</f>
        <v/>
      </c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9.5" customHeight="1" s="1666">
      <c r="B8" s="2745" t="inlineStr">
        <is>
          <t>▼ TOTAL MAISON</t>
        </is>
      </c>
      <c r="C8" s="2746">
        <f>C6+C7</f>
        <v/>
      </c>
      <c r="D8" s="2746" t="n"/>
      <c r="E8" s="2746">
        <f>CONFIG!B16</f>
        <v/>
      </c>
      <c r="F8" s="2747">
        <f>E8-C8</f>
        <v/>
      </c>
      <c r="G8" s="2747">
        <f>IFERROR(C8/E8,0)</f>
        <v/>
      </c>
      <c r="H8" s="2473">
        <f>IF(C8/E8&gt;=1,"✅ OBJECTIF ATTEINT!",IF(C8/E8&gt;=0.8,"🟡 PRÈS DU BUT","🔴 EN COURS"))</f>
        <v/>
      </c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9.5" customHeight="1" s="1666"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9.5" customHeight="1" s="1666">
      <c r="A10" s="2748" t="inlineStr">
        <is>
          <t>⏳  COUNTDOWN — Temps restant</t>
        </is>
      </c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9.5" customHeight="1" s="1666">
      <c r="B11" s="2456" t="inlineStr">
        <is>
          <t>Date cible achat maison</t>
        </is>
      </c>
      <c r="C11" s="2749" t="inlineStr">
        <is>
          <t>2030-06-01</t>
        </is>
      </c>
      <c r="D11" s="2749" t="n"/>
      <c r="E11" s="2749" t="inlineStr">
        <is>
          <t>Jours restants</t>
        </is>
      </c>
      <c r="F11" s="2612">
        <f>IFERROR(DATEVALUE(C11)-TODAY(),0)</f>
        <v/>
      </c>
      <c r="G11" s="2749">
        <f>IF(C11="","",TEXT(DATEVALUE(C11)-TODAY(),"0")&amp;" jours · "&amp;TEXT((DATEVALUE(C11)-TODAY())/30.4,"0.0")&amp;" mois")</f>
        <v/>
      </c>
      <c r="H11" s="2749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9.5" customHeight="1" s="1666">
      <c r="B12" s="2453" t="inlineStr">
        <is>
          <t>Manquant pour $100K (mise de fonds)</t>
        </is>
      </c>
      <c r="C12" s="2455">
        <f>MAX(0,CONFIG!B16-C8)</f>
        <v/>
      </c>
      <c r="D12" s="2454" t="n"/>
      <c r="E12" s="2454" t="n"/>
      <c r="F12" s="2454" t="n"/>
      <c r="G12" s="2454" t="n"/>
      <c r="H12" s="2454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9.5" customHeight="1" s="1666">
      <c r="B13" s="2456" t="inlineStr">
        <is>
          <t>À épargner par mois pour combler l'écart</t>
        </is>
      </c>
      <c r="C13" s="2458">
        <f>IFERROR(MAX(0,CONFIG!B16-C8)/MAX(1,(DATEVALUE(C11)-TODAY())/30.4),0)</f>
        <v/>
      </c>
      <c r="D13" s="2749" t="n"/>
      <c r="E13" s="2749" t="n"/>
      <c r="F13" s="2749" t="n"/>
      <c r="G13" s="2749" t="n"/>
      <c r="H13" s="2749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9.5" customHeight="1" s="1666"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9.5" customHeight="1" s="1666">
      <c r="A15" s="2748" t="inlineStr">
        <is>
          <t>🏦  SIMULATION HYPOTHÈQUE — Ajuster les cellules JAUNES</t>
        </is>
      </c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9.5" customHeight="1" s="1666">
      <c r="B16" s="2453" t="inlineStr">
        <is>
          <t>Prix de la maison ($CAD)</t>
        </is>
      </c>
      <c r="C16" s="2455" t="n">
        <v>400000</v>
      </c>
      <c r="D16" s="2454" t="n"/>
      <c r="E16" s="2454" t="n"/>
      <c r="F16" s="2454" t="n"/>
      <c r="G16" s="2454" t="n"/>
      <c r="H16" s="2454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9.5" customHeight="1" s="1666">
      <c r="B17" s="2456" t="inlineStr">
        <is>
          <t>Mise de fonds ($CAD)</t>
        </is>
      </c>
      <c r="C17" s="2458" t="n">
        <v>100000</v>
      </c>
      <c r="D17" s="2749" t="n"/>
      <c r="E17" s="2749" t="n"/>
      <c r="F17" s="2749" t="n"/>
      <c r="G17" s="2749" t="n"/>
      <c r="H17" s="2749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B18" s="2453" t="inlineStr">
        <is>
          <t>Taux hypothécaire (%)</t>
        </is>
      </c>
      <c r="C18" s="2601" t="n">
        <v>0.045</v>
      </c>
      <c r="D18" s="2454" t="n"/>
      <c r="E18" s="2454" t="n"/>
      <c r="F18" s="2454" t="n"/>
      <c r="G18" s="2454" t="n"/>
      <c r="H18" s="2454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9.5" customHeight="1" s="1666">
      <c r="B19" s="2456" t="inlineStr">
        <is>
          <t>Amortissement (années)</t>
        </is>
      </c>
      <c r="C19" s="2612" t="n">
        <v>25</v>
      </c>
      <c r="D19" s="2749" t="n"/>
      <c r="E19" s="2749" t="n"/>
      <c r="F19" s="2749" t="n"/>
      <c r="G19" s="2749" t="n"/>
      <c r="H19" s="2749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9.5" customHeight="1" s="1666">
      <c r="B20" s="2453" t="inlineStr">
        <is>
          <t>Fréquence paiement</t>
        </is>
      </c>
      <c r="C20" s="2454" t="inlineStr">
        <is>
          <t>mensuel</t>
        </is>
      </c>
      <c r="D20" s="2454" t="n"/>
      <c r="E20" s="2454" t="n"/>
      <c r="F20" s="2454" t="n"/>
      <c r="G20" s="2454" t="n"/>
      <c r="H20" s="2454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9.5" customHeight="1" s="1666">
      <c r="B21" s="2456" t="inlineStr">
        <is>
          <t>Montant emprunté</t>
        </is>
      </c>
      <c r="C21" s="2458">
        <f>C16-C17</f>
        <v/>
      </c>
      <c r="D21" s="2749" t="n"/>
      <c r="E21" s="2749" t="n"/>
      <c r="F21" s="2749" t="n"/>
      <c r="G21" s="2749" t="n"/>
      <c r="H21" s="2749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9.5" customHeight="1" s="1666">
      <c r="B22" s="2453" t="inlineStr">
        <is>
          <t>Paiement mensuel estimé ($CAD)</t>
        </is>
      </c>
      <c r="C22" s="2455">
        <f>IFERROR(C21*(C18/12)*(1+C18/12)^(C19*12)/((1+C18/12)^(C19*12)-1),0)</f>
        <v/>
      </c>
      <c r="D22" s="2454" t="n"/>
      <c r="E22" s="2454" t="n"/>
      <c r="F22" s="2454" t="n"/>
      <c r="G22" s="2454" t="n"/>
      <c r="H22" s="2454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9.5" customHeight="1" s="1666">
      <c r="B23" s="2456" t="inlineStr">
        <is>
          <t>Remboursement RAP annuel (15 ans)</t>
        </is>
      </c>
      <c r="C23" s="2458">
        <f>IFERROR(CONFIG!B15/15,0)</f>
        <v/>
      </c>
      <c r="D23" s="2749" t="n"/>
      <c r="E23" s="2749" t="n"/>
      <c r="F23" s="2749" t="n"/>
      <c r="G23" s="2749" t="n"/>
      <c r="H23" s="2749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9.5" customHeight="1" s="1666">
      <c r="B24" s="2453" t="inlineStr">
        <is>
          <t>Remboursement RAP mensuel</t>
        </is>
      </c>
      <c r="C24" s="2455">
        <f>IFERROR(C23/12,0)</f>
        <v/>
      </c>
      <c r="D24" s="2454" t="n"/>
      <c r="E24" s="2454" t="n"/>
      <c r="F24" s="2454" t="n"/>
      <c r="G24" s="2454" t="n"/>
      <c r="H24" s="2454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9.5" customHeight="1" s="1666">
      <c r="B25" s="2456" t="inlineStr">
        <is>
          <t>Coût mensuel total (hypothèque + RAP)</t>
        </is>
      </c>
      <c r="C25" s="2458">
        <f>C22+C24</f>
        <v/>
      </c>
      <c r="D25" s="2749" t="n"/>
      <c r="E25" s="2749" t="n"/>
      <c r="F25" s="2749" t="n"/>
      <c r="G25" s="2749" t="n"/>
      <c r="H25" s="2749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9.5" customHeight="1" s="1666"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9.5" customHeight="1" s="1666">
      <c r="A27" s="2748" t="inlineStr">
        <is>
          <t>📊  SCÉNARIOS TAUX — Impact sur paiement mensuel (maison $400K, mise $100K)</t>
        </is>
      </c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9.5" customHeight="1" s="1666">
      <c r="B28" s="2453" t="inlineStr">
        <is>
          <t>TAUX</t>
        </is>
      </c>
      <c r="C28" s="2454" t="inlineStr">
        <is>
          <t>PAIEMENT MENSUEL</t>
        </is>
      </c>
      <c r="D28" s="2454" t="inlineStr">
        <is>
          <t>PAIEMENT ANNUEL</t>
        </is>
      </c>
      <c r="E28" s="2454" t="inlineStr">
        <is>
          <t>TOTAL 25 ANS</t>
        </is>
      </c>
      <c r="F28" s="2454" t="inlineStr">
        <is>
          <t>INTÉRÊTS PAYÉS</t>
        </is>
      </c>
      <c r="G28" s="2454" t="n"/>
      <c r="H28" s="2454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9.5" customHeight="1" s="1666">
      <c r="B29" s="2456" t="inlineStr">
        <is>
          <t>3.5%</t>
        </is>
      </c>
      <c r="C29" s="2458">
        <f>IFERROR((C16-C17)*(0.035/12)*(1+0.035/12)^(C19*12)/((1+0.035/12)^(C19*12)-1),0)</f>
        <v/>
      </c>
      <c r="D29" s="2458">
        <f>IFERROR((C16-C17)*(0.035/12)*(1+0.035/12)^(C19*12)/((1+0.035/12)^(C19*12)-1)*12,0)</f>
        <v/>
      </c>
      <c r="E29" s="2458">
        <f>IFERROR((C16-C17)*(0.035/12)*(1+0.035/12)^(C19*12)/((1+0.035/12)^(C19*12)-1)*12*C19,0)</f>
        <v/>
      </c>
      <c r="F29" s="2458">
        <f>IFERROR((C16-C17)*(0.035/12)*(1+0.035/12)^(C19*12)/((1+0.035/12)^(C19*12)-1)*12*C19-(C16-C17),0)</f>
        <v/>
      </c>
      <c r="G29" s="2749" t="n"/>
      <c r="H29" s="2749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9.5" customHeight="1" s="1666">
      <c r="B30" s="2453" t="inlineStr">
        <is>
          <t>4.0%</t>
        </is>
      </c>
      <c r="C30" s="2455">
        <f>IFERROR((C16-C17)*(0.04/12)*(1+0.04/12)^(C19*12)/((1+0.04/12)^(C19*12)-1),0)</f>
        <v/>
      </c>
      <c r="D30" s="2455">
        <f>IFERROR((C16-C17)*(0.04/12)*(1+0.04/12)^(C19*12)/((1+0.04/12)^(C19*12)-1)*12,0)</f>
        <v/>
      </c>
      <c r="E30" s="2455">
        <f>IFERROR((C16-C17)*(0.04/12)*(1+0.04/12)^(C19*12)/((1+0.04/12)^(C19*12)-1)*12*C19,0)</f>
        <v/>
      </c>
      <c r="F30" s="2455">
        <f>IFERROR((C16-C17)*(0.04/12)*(1+0.04/12)^(C19*12)/((1+0.04/12)^(C19*12)-1)*12*C19-(C16-C17),0)</f>
        <v/>
      </c>
      <c r="G30" s="2454" t="n"/>
      <c r="H30" s="2454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9.5" customHeight="1" s="1666">
      <c r="B31" s="2456" t="inlineStr">
        <is>
          <t>4.5%</t>
        </is>
      </c>
      <c r="C31" s="2458">
        <f>IFERROR((C16-C17)*(0.045/12)*(1+0.045/12)^(C19*12)/((1+0.045/12)^(C19*12)-1),0)</f>
        <v/>
      </c>
      <c r="D31" s="2458">
        <f>IFERROR((C16-C17)*(0.045/12)*(1+0.045/12)^(C19*12)/((1+0.045/12)^(C19*12)-1)*12,0)</f>
        <v/>
      </c>
      <c r="E31" s="2458">
        <f>IFERROR((C16-C17)*(0.045/12)*(1+0.045/12)^(C19*12)/((1+0.045/12)^(C19*12)-1)*12*C19,0)</f>
        <v/>
      </c>
      <c r="F31" s="2458">
        <f>IFERROR((C16-C17)*(0.045/12)*(1+0.045/12)^(C19*12)/((1+0.045/12)^(C19*12)-1)*12*C19-(C16-C17),0)</f>
        <v/>
      </c>
      <c r="G31" s="2749" t="n"/>
      <c r="H31" s="2749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9.5" customHeight="1" s="1666">
      <c r="B32" s="2453" t="inlineStr">
        <is>
          <t>5.0%</t>
        </is>
      </c>
      <c r="C32" s="2455">
        <f>IFERROR((C16-C17)*(0.05/12)*(1+0.05/12)^(C19*12)/((1+0.05/12)^(C19*12)-1),0)</f>
        <v/>
      </c>
      <c r="D32" s="2455">
        <f>IFERROR((C16-C17)*(0.05/12)*(1+0.05/12)^(C19*12)/((1+0.05/12)^(C19*12)-1)*12,0)</f>
        <v/>
      </c>
      <c r="E32" s="2455">
        <f>IFERROR((C16-C17)*(0.05/12)*(1+0.05/12)^(C19*12)/((1+0.05/12)^(C19*12)-1)*12*C19,0)</f>
        <v/>
      </c>
      <c r="F32" s="2455">
        <f>IFERROR((C16-C17)*(0.05/12)*(1+0.05/12)^(C19*12)/((1+0.05/12)^(C19*12)-1)*12*C19-(C16-C17),0)</f>
        <v/>
      </c>
      <c r="G32" s="2454" t="n"/>
      <c r="H32" s="2454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9.5" customHeight="1" s="1666">
      <c r="B33" s="2456" t="inlineStr">
        <is>
          <t>5.5%</t>
        </is>
      </c>
      <c r="C33" s="2458">
        <f>IFERROR((C16-C17)*(0.055/12)*(1+0.055/12)^(C19*12)/((1+0.055/12)^(C19*12)-1),0)</f>
        <v/>
      </c>
      <c r="D33" s="2458">
        <f>IFERROR((C16-C17)*(0.055/12)*(1+0.055/12)^(C19*12)/((1+0.055/12)^(C19*12)-1)*12,0)</f>
        <v/>
      </c>
      <c r="E33" s="2458">
        <f>IFERROR((C16-C17)*(0.055/12)*(1+0.055/12)^(C19*12)/((1+0.055/12)^(C19*12)-1)*12*C19,0)</f>
        <v/>
      </c>
      <c r="F33" s="2458">
        <f>IFERROR((C16-C17)*(0.055/12)*(1+0.055/12)^(C19*12)/((1+0.055/12)^(C19*12)-1)*12*C19-(C16-C17),0)</f>
        <v/>
      </c>
      <c r="G33" s="2749" t="n"/>
      <c r="H33" s="2749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9.5" customHeight="1" s="1666">
      <c r="B34" s="2453" t="inlineStr">
        <is>
          <t>6.0%</t>
        </is>
      </c>
      <c r="C34" s="2455">
        <f>IFERROR((C16-C17)*(0.06/12)*(1+0.06/12)^(C19*12)/((1+0.06/12)^(C19*12)-1),0)</f>
        <v/>
      </c>
      <c r="D34" s="2455">
        <f>IFERROR((C16-C17)*(0.06/12)*(1+0.06/12)^(C19*12)/((1+0.06/12)^(C19*12)-1)*12,0)</f>
        <v/>
      </c>
      <c r="E34" s="2455">
        <f>IFERROR((C16-C17)*(0.06/12)*(1+0.06/12)^(C19*12)/((1+0.06/12)^(C19*12)-1)*12*C19,0)</f>
        <v/>
      </c>
      <c r="F34" s="2455">
        <f>IFERROR((C16-C17)*(0.06/12)*(1+0.06/12)^(C19*12)/((1+0.06/12)^(C19*12)-1)*12*C19-(C16-C17),0)</f>
        <v/>
      </c>
      <c r="G34" s="2454" t="n"/>
      <c r="H34" s="2454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9.5" customHeight="1" s="1666"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9.5" customHeight="1" s="1666">
      <c r="A36" s="2691" t="inlineStr">
        <is>
          <t>📊  VALIDATION FHSA → OBJECTIF $40K AVANT 2030</t>
        </is>
      </c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9.5" customHeight="1" s="1666">
      <c r="A37" s="2750" t="inlineStr">
        <is>
          <t>FHSA actuel</t>
        </is>
      </c>
      <c r="C37" s="2751" t="inlineStr">
        <is>
          <t>$14,932 CAD</t>
        </is>
      </c>
      <c r="F37" s="2724" t="inlineStr">
        <is>
          <t>—</t>
        </is>
      </c>
      <c r="H37" s="2752" t="inlineStr">
        <is>
          <t>—</t>
        </is>
      </c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9.5" customHeight="1" s="1666">
      <c r="A38" s="2750" t="inlineStr">
        <is>
          <t>Cotisation mensuelle</t>
        </is>
      </c>
      <c r="C38" s="2751" t="inlineStr">
        <is>
          <t>$1,000/mois = $12,000/an</t>
        </is>
      </c>
      <c r="F38" s="2724" t="inlineStr">
        <is>
          <t>—</t>
        </is>
      </c>
      <c r="H38" s="2752" t="inlineStr">
        <is>
          <t>—</t>
        </is>
      </c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9.5" customHeight="1" s="1666">
      <c r="A39" s="2750" t="inlineStr">
        <is>
          <t>Room restant 2026</t>
        </is>
      </c>
      <c r="C39" s="2751" t="inlineStr">
        <is>
          <t>~$4,000 (plafond $16K — déjà cotisé $12K)</t>
        </is>
      </c>
      <c r="F39" s="2724" t="inlineStr">
        <is>
          <t>—</t>
        </is>
      </c>
      <c r="H39" s="2752" t="inlineStr">
        <is>
          <t>—</t>
        </is>
      </c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9.5" customHeight="1" s="1666">
      <c r="A40" s="2753" t="inlineStr">
        <is>
          <t>Projection 2030 (4 ans × $12K + $14,932)</t>
        </is>
      </c>
      <c r="C40" s="2754" t="inlineStr">
        <is>
          <t>~$62,932 CAD</t>
        </is>
      </c>
      <c r="F40" s="2755" t="inlineStr">
        <is>
          <t>✅ &gt; $40K objectif</t>
        </is>
      </c>
      <c r="H40" s="2756" t="inlineStr">
        <is>
          <t>Atteint avant 2029</t>
        </is>
      </c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9.5" customHeight="1" s="1666">
      <c r="A41" s="2753" t="inlineStr">
        <is>
          <t>Conclusion</t>
        </is>
      </c>
      <c r="C41" s="2754" t="inlineStr">
        <is>
          <t>$40K RAP FHSA atteint ~2028 au rythme actuel</t>
        </is>
      </c>
      <c r="F41" s="2755" t="inlineStr">
        <is>
          <t>✅ DANS LES DÉLAIS</t>
        </is>
      </c>
      <c r="H41" s="2756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5.75" customHeight="1" s="1666"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5.75" customHeight="1" s="1666"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.75" customHeight="1" s="1666"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.75" customHeight="1" s="1666"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5.75" customHeight="1" s="1666"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5.75" customHeight="1" s="1666"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5.75" customHeight="1" s="1666"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5.75" customHeight="1" s="1666"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5.75" customHeight="1" s="1666"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5.75" customHeight="1" s="1666"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5.75" customHeight="1" s="1666"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5.75" customHeight="1" s="1666"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5.75" customHeight="1" s="1666"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5.75" customHeight="1" s="1666"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5.75" customHeight="1" s="1666"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5.75" customHeight="1" s="1666"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5.75" customHeight="1" s="1666"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5.75" customHeight="1" s="1666"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5.75" customHeight="1" s="1666"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5.75" customHeight="1" s="1666"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5.75" customHeight="1" s="1666"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.75" customHeight="1" s="1666"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5.75" customHeight="1" s="1666"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5.75" customHeight="1" s="1666"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5.75" customHeight="1" s="1666"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5.75" customHeight="1" s="1666"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5.75" customHeight="1" s="1666"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5.75" customHeight="1" s="1666"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5.75" customHeight="1" s="1666"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5.75" customHeight="1" s="1666"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5.75" customHeight="1" s="1666"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5.75" customHeight="1" s="1666"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.75" customHeight="1" s="1666"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5.75" customHeight="1" s="1666"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5.75" customHeight="1" s="1666"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5.75" customHeight="1" s="1666"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5.75" customHeight="1" s="1666"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5.75" customHeight="1" s="1666"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5.75" customHeight="1" s="1666"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5.75" customHeight="1" s="1666"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5.75" customHeight="1" s="1666"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/>
    <row r="243" ht="15.75" customHeight="1" s="1666"/>
    <row r="244" ht="15.75" customHeight="1" s="1666"/>
    <row r="245" ht="15.75" customHeight="1" s="1666"/>
    <row r="246" ht="15.75" customHeight="1" s="1666"/>
    <row r="247" ht="15.75" customHeight="1" s="1666"/>
    <row r="248" ht="15.75" customHeight="1" s="1666"/>
    <row r="249" ht="15.75" customHeight="1" s="1666"/>
    <row r="250" ht="15.75" customHeight="1" s="1666"/>
    <row r="251" ht="15.75" customHeight="1" s="1666"/>
    <row r="252" ht="15.75" customHeight="1" s="1666"/>
    <row r="253" ht="15.75" customHeight="1" s="1666"/>
    <row r="254" ht="15.75" customHeight="1" s="1666"/>
    <row r="255" ht="15.75" customHeight="1" s="1666"/>
    <row r="256" ht="15.75" customHeight="1" s="1666"/>
    <row r="257" ht="15.75" customHeight="1" s="1666"/>
    <row r="258" ht="15.75" customHeight="1" s="1666"/>
    <row r="259" ht="15.75" customHeight="1" s="1666"/>
    <row r="260" ht="15.75" customHeight="1" s="1666"/>
    <row r="261" ht="15.75" customHeight="1" s="1666"/>
    <row r="262" ht="15.75" customHeight="1" s="1666"/>
    <row r="263" ht="15.75" customHeight="1" s="1666"/>
    <row r="264" ht="15.75" customHeight="1" s="1666"/>
    <row r="265" ht="15.75" customHeight="1" s="1666"/>
    <row r="266" ht="15.75" customHeight="1" s="1666"/>
    <row r="267" ht="15.75" customHeight="1" s="1666"/>
    <row r="268" ht="15.75" customHeight="1" s="1666"/>
    <row r="269" ht="15.75" customHeight="1" s="1666"/>
    <row r="270" ht="15.75" customHeight="1" s="1666"/>
    <row r="271" ht="15.75" customHeight="1" s="1666"/>
    <row r="272" ht="15.75" customHeight="1" s="1666"/>
    <row r="273" ht="15.75" customHeight="1" s="1666"/>
    <row r="274" ht="15.75" customHeight="1" s="1666"/>
    <row r="275" ht="15.75" customHeight="1" s="1666"/>
    <row r="276" ht="15.75" customHeight="1" s="1666"/>
    <row r="277" ht="15.75" customHeight="1" s="1666"/>
    <row r="278" ht="15.75" customHeight="1" s="1666"/>
    <row r="279" ht="15.75" customHeight="1" s="1666"/>
    <row r="280" ht="15.75" customHeight="1" s="1666"/>
    <row r="281" ht="15.75" customHeight="1" s="1666"/>
    <row r="282" ht="15.75" customHeight="1" s="1666"/>
    <row r="283" ht="15.75" customHeight="1" s="1666"/>
    <row r="284" ht="15.75" customHeight="1" s="1666"/>
    <row r="285" ht="15.75" customHeight="1" s="1666"/>
    <row r="286" ht="15.75" customHeight="1" s="1666"/>
    <row r="287" ht="15.75" customHeight="1" s="1666"/>
    <row r="288" ht="15.75" customHeight="1" s="1666"/>
    <row r="289" ht="15.75" customHeight="1" s="1666"/>
    <row r="290" ht="15.75" customHeight="1" s="1666"/>
    <row r="291" ht="15.75" customHeight="1" s="1666"/>
    <row r="292" ht="15.75" customHeight="1" s="1666"/>
    <row r="293" ht="15.75" customHeight="1" s="1666"/>
    <row r="294" ht="15.75" customHeight="1" s="1666"/>
    <row r="295" ht="15.75" customHeight="1" s="1666"/>
    <row r="296" ht="15.75" customHeight="1" s="1666"/>
    <row r="297" ht="15.75" customHeight="1" s="1666"/>
    <row r="298" ht="15.75" customHeight="1" s="1666"/>
    <row r="299" ht="15.75" customHeight="1" s="1666"/>
    <row r="300" ht="15.75" customHeight="1" s="1666"/>
    <row r="301" ht="15.75" customHeight="1" s="1666"/>
    <row r="302" ht="15.75" customHeight="1" s="1666"/>
    <row r="303" ht="15.75" customHeight="1" s="1666"/>
    <row r="304" ht="15.75" customHeight="1" s="1666"/>
    <row r="305" ht="15.75" customHeight="1" s="1666"/>
    <row r="306" ht="15.75" customHeight="1" s="1666"/>
    <row r="307" ht="15.75" customHeight="1" s="1666"/>
    <row r="308" ht="15.75" customHeight="1" s="1666"/>
    <row r="309" ht="15.75" customHeight="1" s="1666"/>
    <row r="310" ht="15.75" customHeight="1" s="1666"/>
    <row r="311" ht="15.75" customHeight="1" s="1666"/>
    <row r="312" ht="15.75" customHeight="1" s="1666"/>
    <row r="313" ht="15.75" customHeight="1" s="1666"/>
    <row r="314" ht="15.75" customHeight="1" s="1666"/>
    <row r="315" ht="15.75" customHeight="1" s="1666"/>
    <row r="316" ht="15.75" customHeight="1" s="1666"/>
    <row r="317" ht="15.75" customHeight="1" s="1666"/>
    <row r="318" ht="15.75" customHeight="1" s="1666"/>
    <row r="319" ht="15.75" customHeight="1" s="1666"/>
    <row r="320" ht="15.75" customHeight="1" s="1666"/>
    <row r="321" ht="15.75" customHeight="1" s="1666"/>
    <row r="322" ht="15.75" customHeight="1" s="1666"/>
    <row r="323" ht="15.75" customHeight="1" s="1666"/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6">
    <mergeCell ref="A4:H4"/>
    <mergeCell ref="A15:H15"/>
    <mergeCell ref="A10:H10"/>
    <mergeCell ref="A36:H36"/>
    <mergeCell ref="A1:H1"/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Z3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14.43359375" defaultRowHeight="15" zeroHeight="0" outlineLevelRow="0"/>
  <cols>
    <col width="2" customWidth="1" style="1665" min="1" max="1"/>
    <col width="10" customWidth="1" style="1665" min="2" max="2"/>
    <col width="6" customWidth="1" style="1665" min="3" max="10"/>
    <col width="14" customWidth="1" style="1665" min="11" max="15"/>
  </cols>
  <sheetData>
    <row r="1" ht="30" customHeight="1" s="1666">
      <c r="A1" s="2757" t="inlineStr">
        <is>
          <t>📈  PROJECTION INDÉPENDANCE FINANCIÈRE  ·  Objectif: FI à 55 ans (2047)  ·  v47-S18</t>
        </is>
      </c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4.25" customHeight="1" s="1666">
      <c r="A2" s="2758" t="inlineStr">
        <is>
          <t>Cellules JAUNES = saisir · Noir = calculé · Vert = liens inter-onglets</t>
        </is>
      </c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3.5" customHeight="1" s="1666"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9.5" customHeight="1" s="1666">
      <c r="A4" s="2759" t="inlineStr">
        <is>
          <t>⚙️  PARAMÈTRES FI</t>
        </is>
      </c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8" customHeight="1" s="1666">
      <c r="A5" s="2760" t="inlineStr">
        <is>
          <t>PARAMÈTRE</t>
        </is>
      </c>
      <c r="B5" s="2760" t="inlineStr">
        <is>
          <t>VALEUR (SAISIR)</t>
        </is>
      </c>
      <c r="C5" s="2760" t="inlineStr">
        <is>
          <t>SOURCE AUTO</t>
        </is>
      </c>
      <c r="D5" s="2760" t="inlineStr">
        <is>
          <t>UNITÉ</t>
        </is>
      </c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8" customHeight="1" s="1666">
      <c r="A6" s="2761" t="inlineStr">
        <is>
          <t>Âge actuel</t>
        </is>
      </c>
      <c r="B6" s="2762" t="n">
        <v>34</v>
      </c>
      <c r="C6" s="2763">
        <f>CONFIG!B4</f>
        <v/>
      </c>
      <c r="D6" s="2764" t="inlineStr">
        <is>
          <t>ans</t>
        </is>
      </c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8" customHeight="1" s="1666">
      <c r="A7" s="2765" t="inlineStr">
        <is>
          <t>Portefeuille actuel</t>
        </is>
      </c>
      <c r="B7" s="2766" t="n">
        <v>85681</v>
      </c>
      <c r="C7" s="2767" t="inlineStr">
        <is>
          <t>Auto via CONFIG (saisir manuellement si besoin)</t>
        </is>
      </c>
      <c r="D7" s="2768" t="inlineStr">
        <is>
          <t>CAD</t>
        </is>
      </c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8" customHeight="1" s="1666">
      <c r="A8" s="2761" t="inlineStr">
        <is>
          <t>Contribution mensuelle actuelle</t>
        </is>
      </c>
      <c r="B8" s="2769">
        <f>CONFIG!B10</f>
        <v/>
      </c>
      <c r="C8" s="2763" t="inlineStr">
        <is>
          <t>← Lié CONFIG!B10 = $5,000/mois · REER $2K + FHSA $1K + TFSA $500 + EQ $1,500 · Confirmé S16</t>
        </is>
      </c>
      <c r="D8" s="2764" t="inlineStr">
        <is>
          <t>CAD/mois</t>
        </is>
      </c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8" customHeight="1" s="1666">
      <c r="A9" s="2765" t="inlineStr">
        <is>
          <t>Rendement annuel pessimiste</t>
        </is>
      </c>
      <c r="B9" s="2770" t="n">
        <v>0.06</v>
      </c>
      <c r="D9" s="2768" t="inlineStr">
        <is>
          <t>6%/an</t>
        </is>
      </c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8" customHeight="1" s="1666">
      <c r="A10" s="2761" t="inlineStr">
        <is>
          <t>Rendement annuel réaliste</t>
        </is>
      </c>
      <c r="B10" s="2771" t="n">
        <v>0.08</v>
      </c>
      <c r="D10" s="2764" t="inlineStr">
        <is>
          <t>8%/an</t>
        </is>
      </c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8" customHeight="1" s="1666">
      <c r="A11" s="2765" t="inlineStr">
        <is>
          <t>Rendement annuel optimiste</t>
        </is>
      </c>
      <c r="B11" s="2770" t="n">
        <v>0.1</v>
      </c>
      <c r="D11" s="2768" t="inlineStr">
        <is>
          <t>10%/an</t>
        </is>
      </c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8" customHeight="1" s="1666">
      <c r="A12" s="2761" t="inlineStr">
        <is>
          <t>Objectif FI (règle 4%)</t>
        </is>
      </c>
      <c r="B12" s="2769" t="n">
        <v>2100000</v>
      </c>
      <c r="D12" s="2764" t="inlineStr">
        <is>
          <t>$7K/mois × 12 × 25 = $2.1M · Plancher FI · Jamais un plafond</t>
        </is>
      </c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8" customHeight="1" s="1666">
      <c r="A13" s="2765" t="inlineStr">
        <is>
          <t>Âge cible FI</t>
        </is>
      </c>
      <c r="B13" s="2772" t="n">
        <v>55</v>
      </c>
      <c r="C13" s="1665" t="inlineStr">
        <is>
          <t>2047</t>
        </is>
      </c>
      <c r="D13" s="2768" t="inlineStr">
        <is>
          <t>2047</t>
        </is>
      </c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8" customHeight="1" s="1666">
      <c r="A14" s="2761" t="inlineStr">
        <is>
          <t>RRQ estimé (début 60 ans)</t>
        </is>
      </c>
      <c r="B14" s="2769" t="n">
        <v>1200</v>
      </c>
      <c r="C14" s="2773">
        <f>CONFIG!B25</f>
        <v/>
      </c>
      <c r="D14" s="2764" t="inlineStr">
        <is>
          <t>$CAD/mois</t>
        </is>
      </c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8" customHeight="1" s="1666"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8" customHeight="1" s="1666">
      <c r="A16" s="2774" t="inlineStr">
        <is>
          <t>📊  PROJECTION ANNÉE PAR ANNÉE  ·  34 → 50 ans  ·  3 scénarios</t>
        </is>
      </c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8" customHeight="1" s="1666">
      <c r="A17" s="2775" t="inlineStr">
        <is>
          <t>ANNÉE</t>
        </is>
      </c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8" customHeight="1" s="1666">
      <c r="A18" s="2776" t="inlineStr">
        <is>
          <t>2026</t>
        </is>
      </c>
      <c r="B18" s="2777" t="n">
        <v>34</v>
      </c>
      <c r="C18" s="2778">
        <f>B7*(1+B9)+B8*12*(((1+B9)-1)/B9)</f>
        <v/>
      </c>
      <c r="D18" s="2778">
        <f>B7*(1+B10)+B8*12*(((1+B10)-1)/B10)</f>
        <v/>
      </c>
      <c r="E18" s="2778">
        <f>B7*(1+B11)+B8*12*(((1+B11)-1)/B11)</f>
        <v/>
      </c>
      <c r="F18" s="2778">
        <f>$B$12</f>
        <v/>
      </c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8" customHeight="1" s="1666">
      <c r="A19" s="2779" t="inlineStr">
        <is>
          <t>2027</t>
        </is>
      </c>
      <c r="B19" s="2780" t="n">
        <v>35</v>
      </c>
      <c r="C19" s="2781">
        <f>C18*(1+$B$9)+$B$8*12*(((1+$B$9)-1)/$B$9)</f>
        <v/>
      </c>
      <c r="D19" s="2781">
        <f>D18*(1+$B$10)+$B$8*12*(((1+$B$10)-1)/$B$10)</f>
        <v/>
      </c>
      <c r="E19" s="2781">
        <f>E18*(1+$B$11)+$B$8*12*(((1+$B$11)-1)/$B$11)</f>
        <v/>
      </c>
      <c r="F19" s="2781">
        <f>$B$12</f>
        <v/>
      </c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8" customHeight="1" s="1666">
      <c r="A20" s="2776" t="inlineStr">
        <is>
          <t>2028</t>
        </is>
      </c>
      <c r="B20" s="2777" t="n">
        <v>36</v>
      </c>
      <c r="C20" s="2778">
        <f>C19*(1+$B$9)+$B$8*12*(((1+$B$9)-1)/$B$9)</f>
        <v/>
      </c>
      <c r="D20" s="2778">
        <f>D19*(1+$B$10)+$B$8*12*(((1+$B$10)-1)/$B$10)</f>
        <v/>
      </c>
      <c r="E20" s="2778">
        <f>E19*(1+$B$11)+$B$8*12*(((1+$B$11)-1)/$B$11)</f>
        <v/>
      </c>
      <c r="F20" s="2778">
        <f>$B$12</f>
        <v/>
      </c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8" customHeight="1" s="1666">
      <c r="A21" s="2779" t="inlineStr">
        <is>
          <t>2029</t>
        </is>
      </c>
      <c r="B21" s="2780" t="n">
        <v>37</v>
      </c>
      <c r="C21" s="2781">
        <f>C20*(1+$B$9)+$B$8*12*(((1+$B$9)-1)/$B$9)</f>
        <v/>
      </c>
      <c r="D21" s="2781">
        <f>D20*(1+$B$10)+$B$8*12*(((1+$B$10)-1)/$B$10)</f>
        <v/>
      </c>
      <c r="E21" s="2781">
        <f>E20*(1+$B$11)+$B$8*12*(((1+$B$11)-1)/$B$11)</f>
        <v/>
      </c>
      <c r="F21" s="2781">
        <f>$B$12</f>
        <v/>
      </c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8" customHeight="1" s="1666">
      <c r="A22" s="2776" t="inlineStr">
        <is>
          <t>2030</t>
        </is>
      </c>
      <c r="B22" s="2777" t="n">
        <v>38</v>
      </c>
      <c r="C22" s="2778">
        <f>C21*(1+$B$9)+$B$8*12*(((1+$B$9)-1)/$B$9)</f>
        <v/>
      </c>
      <c r="D22" s="2778">
        <f>D21*(1+$B$10)+$B$8*12*(((1+$B$10)-1)/$B$10)</f>
        <v/>
      </c>
      <c r="E22" s="2778">
        <f>E21*(1+$B$11)+$B$8*12*(((1+$B$11)-1)/$B$11)</f>
        <v/>
      </c>
      <c r="F22" s="2778">
        <f>$B$12</f>
        <v/>
      </c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8" customHeight="1" s="1666">
      <c r="A23" s="2779" t="inlineStr">
        <is>
          <t>2031</t>
        </is>
      </c>
      <c r="B23" s="2780" t="n">
        <v>39</v>
      </c>
      <c r="C23" s="2781">
        <f>C22*(1+$B$9)+$B$8*12*(((1+$B$9)-1)/$B$9)</f>
        <v/>
      </c>
      <c r="D23" s="2781">
        <f>D22*(1+$B$10)+$B$8*12*(((1+$B$10)-1)/$B$10)</f>
        <v/>
      </c>
      <c r="E23" s="2781">
        <f>E22*(1+$B$11)+$B$8*12*(((1+$B$11)-1)/$B$11)</f>
        <v/>
      </c>
      <c r="F23" s="2781">
        <f>$B$12</f>
        <v/>
      </c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8" customHeight="1" s="1666">
      <c r="A24" s="2776" t="inlineStr">
        <is>
          <t>2032</t>
        </is>
      </c>
      <c r="B24" s="2777" t="n">
        <v>40</v>
      </c>
      <c r="C24" s="2778">
        <f>C23*(1+$B$9)+$B$8*12*(((1+$B$9)-1)/$B$9)</f>
        <v/>
      </c>
      <c r="D24" s="2778">
        <f>D23*(1+$B$10)+$B$8*12*(((1+$B$10)-1)/$B$10)</f>
        <v/>
      </c>
      <c r="E24" s="2778">
        <f>E23*(1+$B$11)+$B$8*12*(((1+$B$11)-1)/$B$11)</f>
        <v/>
      </c>
      <c r="F24" s="2778">
        <f>$B$12</f>
        <v/>
      </c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8" customHeight="1" s="1666">
      <c r="A25" s="2779" t="inlineStr">
        <is>
          <t>2033</t>
        </is>
      </c>
      <c r="B25" s="2780" t="n">
        <v>41</v>
      </c>
      <c r="C25" s="2781">
        <f>C24*(1+$B$9)+$B$8*12*(((1+$B$9)-1)/$B$9)</f>
        <v/>
      </c>
      <c r="D25" s="2781">
        <f>D24*(1+$B$10)+$B$8*12*(((1+$B$10)-1)/$B$10)</f>
        <v/>
      </c>
      <c r="E25" s="2781">
        <f>E24*(1+$B$11)+$B$8*12*(((1+$B$11)-1)/$B$11)</f>
        <v/>
      </c>
      <c r="F25" s="2781">
        <f>$B$12</f>
        <v/>
      </c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8" customHeight="1" s="1666">
      <c r="A26" s="2776" t="inlineStr">
        <is>
          <t>2034</t>
        </is>
      </c>
      <c r="B26" s="2777" t="n">
        <v>42</v>
      </c>
      <c r="C26" s="2778">
        <f>C25*(1+$B$9)+$B$8*12*(((1+$B$9)-1)/$B$9)</f>
        <v/>
      </c>
      <c r="D26" s="2778">
        <f>D25*(1+$B$10)+$B$8*12*(((1+$B$10)-1)/$B$10)</f>
        <v/>
      </c>
      <c r="E26" s="2778">
        <f>E25*(1+$B$11)+$B$8*12*(((1+$B$11)-1)/$B$11)</f>
        <v/>
      </c>
      <c r="F26" s="2778">
        <f>$B$12</f>
        <v/>
      </c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8" customHeight="1" s="1666">
      <c r="A27" s="2779" t="inlineStr">
        <is>
          <t>2035</t>
        </is>
      </c>
      <c r="B27" s="2780" t="n">
        <v>43</v>
      </c>
      <c r="C27" s="2781">
        <f>C26*(1+$B$9)+$B$8*12*(((1+$B$9)-1)/$B$9)</f>
        <v/>
      </c>
      <c r="D27" s="2781">
        <f>D26*(1+$B$10)+$B$8*12*(((1+$B$10)-1)/$B$10)</f>
        <v/>
      </c>
      <c r="E27" s="2781">
        <f>E26*(1+$B$11)+$B$8*12*(((1+$B$11)-1)/$B$11)</f>
        <v/>
      </c>
      <c r="F27" s="2781">
        <f>$B$12</f>
        <v/>
      </c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8" customHeight="1" s="1666">
      <c r="A28" s="2776" t="inlineStr">
        <is>
          <t>2036</t>
        </is>
      </c>
      <c r="B28" s="2777" t="n">
        <v>44</v>
      </c>
      <c r="C28" s="2778">
        <f>C27*(1+$B$9)+$B$8*12*(((1+$B$9)-1)/$B$9)</f>
        <v/>
      </c>
      <c r="D28" s="2778">
        <f>D27*(1+$B$10)+$B$8*12*(((1+$B$10)-1)/$B$10)</f>
        <v/>
      </c>
      <c r="E28" s="2778">
        <f>E27*(1+$B$11)+$B$8*12*(((1+$B$11)-1)/$B$11)</f>
        <v/>
      </c>
      <c r="F28" s="2778">
        <f>$B$12</f>
        <v/>
      </c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8" customHeight="1" s="1666">
      <c r="A29" s="2779" t="inlineStr">
        <is>
          <t>2037</t>
        </is>
      </c>
      <c r="B29" s="2780" t="n">
        <v>45</v>
      </c>
      <c r="C29" s="2781">
        <f>C28*(1+$B$9)+$B$8*12*(((1+$B$9)-1)/$B$9)</f>
        <v/>
      </c>
      <c r="D29" s="2781">
        <f>D28*(1+$B$10)+$B$8*12*(((1+$B$10)-1)/$B$10)</f>
        <v/>
      </c>
      <c r="E29" s="2781">
        <f>E28*(1+$B$11)+$B$8*12*(((1+$B$11)-1)/$B$11)</f>
        <v/>
      </c>
      <c r="F29" s="2781">
        <f>$B$12</f>
        <v/>
      </c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8" customHeight="1" s="1666">
      <c r="A30" s="2776" t="inlineStr">
        <is>
          <t>2038</t>
        </is>
      </c>
      <c r="B30" s="2777" t="n">
        <v>46</v>
      </c>
      <c r="C30" s="2778">
        <f>C29*(1+$B$9)+$B$8*12*(((1+$B$9)-1)/$B$9)</f>
        <v/>
      </c>
      <c r="D30" s="2778">
        <f>D29*(1+$B$10)+$B$8*12*(((1+$B$10)-1)/$B$10)</f>
        <v/>
      </c>
      <c r="E30" s="2778">
        <f>E29*(1+$B$11)+$B$8*12*(((1+$B$11)-1)/$B$11)</f>
        <v/>
      </c>
      <c r="F30" s="2778">
        <f>$B$12</f>
        <v/>
      </c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8" customHeight="1" s="1666">
      <c r="A31" s="2779" t="n">
        <v>2039</v>
      </c>
      <c r="B31" s="2780" t="n">
        <v>47</v>
      </c>
      <c r="C31" s="2781">
        <f>C30*(1+$B$9)+$B$8*12*(((1+$B$9)-1)/$B$9)</f>
        <v/>
      </c>
      <c r="D31" s="2781">
        <f>D30*(1+$B$10)+$B$8*12*(((1+$B$10)-1)/$B$10)</f>
        <v/>
      </c>
      <c r="E31" s="2781">
        <f>E30*(1+$B$11)+$B$8*12*(((1+$B$11)-1)/$B$11)</f>
        <v/>
      </c>
      <c r="F31" s="2781">
        <f>$B$12</f>
        <v/>
      </c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8" customHeight="1" s="1666">
      <c r="A32" s="2776" t="n">
        <v>2040</v>
      </c>
      <c r="B32" s="2777" t="n">
        <v>48</v>
      </c>
      <c r="C32" s="2778">
        <f>C31*(1+$B$9)+$B$8*12*(((1+$B$9)-1)/$B$9)</f>
        <v/>
      </c>
      <c r="D32" s="2778">
        <f>D31*(1+$B$10)+$B$8*12*(((1+$B$10)-1)/$B$10)</f>
        <v/>
      </c>
      <c r="E32" s="2778">
        <f>E31*(1+$B$11)+$B$8*12*(((1+$B$11)-1)/$B$11)</f>
        <v/>
      </c>
      <c r="F32" s="2778">
        <f>$B$12</f>
        <v/>
      </c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8" customHeight="1" s="1666">
      <c r="A33" s="2779" t="n">
        <v>2041</v>
      </c>
      <c r="B33" s="2780" t="n">
        <v>49</v>
      </c>
      <c r="C33" s="2781">
        <f>C32*(1+$B$9)+$B$8*12*(((1+$B$9)-1)/$B$9)</f>
        <v/>
      </c>
      <c r="D33" s="2781">
        <f>D32*(1+$B$10)+$B$8*12*(((1+$B$10)-1)/$B$10)</f>
        <v/>
      </c>
      <c r="E33" s="2781">
        <f>E32*(1+$B$11)+$B$8*12*(((1+$B$11)-1)/$B$11)</f>
        <v/>
      </c>
      <c r="F33" s="2781">
        <f>$B$12</f>
        <v/>
      </c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8" customHeight="1" s="1666">
      <c r="A34" s="2761" t="n">
        <v>2042</v>
      </c>
      <c r="B34" s="2782" t="n">
        <v>50</v>
      </c>
      <c r="C34" s="2783">
        <f>C33*(1+$B$9)+$B$8*12*(((1+$B$9)-1)/$B$9)</f>
        <v/>
      </c>
      <c r="D34" s="2784">
        <f>D33*(1+$B$10)+$B$8*12*(((1+$B$10)-1)/$B$10)</f>
        <v/>
      </c>
      <c r="E34" s="2783">
        <f>E33*(1+$B$11)+$B$8*12*(((1+$B$11)-1)/$B$11)</f>
        <v/>
      </c>
      <c r="F34" s="2783">
        <f>$B$12</f>
        <v/>
      </c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8" customHeight="1" s="1666">
      <c r="A35" s="1665" t="n">
        <v>2043</v>
      </c>
      <c r="B35" s="1665" t="n">
        <v>51</v>
      </c>
      <c r="C35" s="1665">
        <f>C34*(1+$B$9)+$B$8*12*(((1+$B$9)-1)/$B$9)</f>
        <v/>
      </c>
      <c r="D35" s="1665">
        <f>D34*(1+$B$10)+$B$8*12*(((1+$B$10)-1)/$B$10)</f>
        <v/>
      </c>
      <c r="E35" s="1665">
        <f>E34*(1+$B$11)+$B$8*12*(((1+$B$11)-1)/$B$11)</f>
        <v/>
      </c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8" customHeight="1" s="1666">
      <c r="A36" s="2460" t="n">
        <v>2044</v>
      </c>
      <c r="B36" s="1665" t="n">
        <v>52</v>
      </c>
      <c r="C36" s="1665">
        <f>C35*(1+$B$9)+$B$8*12*(((1+$B$9)-1)/$B$9)</f>
        <v/>
      </c>
      <c r="D36" s="1665">
        <f>D35*(1+$B$10)+$B$8*12*(((1+$B$10)-1)/$B$10)</f>
        <v/>
      </c>
      <c r="E36" s="1665">
        <f>E35*(1+$B$11)+$B$8*12*(((1+$B$11)-1)/$B$11)</f>
        <v/>
      </c>
      <c r="K36" s="2785" t="n"/>
      <c r="L36" s="2785" t="n"/>
      <c r="M36" s="2786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8" customHeight="1" s="1666">
      <c r="A37" s="2787" t="n">
        <v>2045</v>
      </c>
      <c r="B37" s="2776" t="n">
        <v>53</v>
      </c>
      <c r="C37" s="2788">
        <f>C36*(1+$B$9)+$B$8*12*(((1+$B$9)-1)/$B$9)</f>
        <v/>
      </c>
      <c r="D37" s="2788">
        <f>D36*(1+$B$10)+$B$8*12*(((1+$B$10)-1)/$B$10)</f>
        <v/>
      </c>
      <c r="E37" s="2788">
        <f>E36*(1+$B$11)+$B$8*12*(((1+$B$11)-1)/$B$11)</f>
        <v/>
      </c>
      <c r="F37" s="2788" t="n"/>
      <c r="G37" s="2788" t="n"/>
      <c r="H37" s="2788" t="n"/>
      <c r="I37" s="2788" t="n"/>
      <c r="J37" s="2788" t="n"/>
      <c r="K37" s="2788" t="n"/>
      <c r="L37" s="2788" t="n"/>
      <c r="M37" s="2361" t="n"/>
      <c r="N37" s="2361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8" customHeight="1" s="1666">
      <c r="A38" s="2789" t="n">
        <v>2046</v>
      </c>
      <c r="B38" s="2790" t="n">
        <v>54</v>
      </c>
      <c r="C38" s="2789">
        <f>C37*(1+$B$9)+$B$8*12*(((1+$B$9)-1)/$B$9)</f>
        <v/>
      </c>
      <c r="D38" s="2789">
        <f>D37*(1+$B$10)+$B$8*12*(((1+$B$10)-1)/$B$10)</f>
        <v/>
      </c>
      <c r="E38" s="2789">
        <f>E37*(1+$B$11)+$B$8*12*(((1+$B$11)-1)/$B$11)</f>
        <v/>
      </c>
      <c r="F38" s="2789" t="n"/>
      <c r="G38" s="2789" t="n"/>
      <c r="H38" s="2789" t="n"/>
      <c r="I38" s="2789" t="n"/>
      <c r="J38" s="2789" t="n"/>
      <c r="K38" s="2789" t="n"/>
      <c r="L38" s="2789" t="n"/>
      <c r="M38" s="2364" t="n"/>
      <c r="N38" s="2364" t="n"/>
      <c r="O38" s="2364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8" customHeight="1" s="1666">
      <c r="A39" s="2791" t="n">
        <v>2047</v>
      </c>
      <c r="B39" s="2792" t="n">
        <v>55</v>
      </c>
      <c r="C39" s="2792">
        <f>C38*(1+$B$9)+$B$8*12*(((1+$B$9)-1)/$B$9)</f>
        <v/>
      </c>
      <c r="D39" s="2792">
        <f>D38*(1+$B$10)+$B$8*12*(((1+$B$10)-1)/$B$10)</f>
        <v/>
      </c>
      <c r="E39" s="2792">
        <f>E38*(1+$B$11)+$B$8*12*(((1+$B$11)-1)/$B$11)</f>
        <v/>
      </c>
      <c r="K39" s="2788" t="n"/>
      <c r="L39" s="2788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8" customHeight="1" s="1666">
      <c r="A40" s="2788" t="n"/>
      <c r="B40" s="2793" t="inlineStr">
        <is>
          <t>Âge actuel</t>
        </is>
      </c>
      <c r="C40" s="2749" t="n"/>
      <c r="D40" s="2794" t="n">
        <v>34</v>
      </c>
      <c r="E40" s="2749" t="n"/>
      <c r="F40" s="2749" t="n"/>
      <c r="G40" s="2749" t="n"/>
      <c r="H40" s="2788" t="n"/>
      <c r="I40" s="2788" t="n"/>
      <c r="J40" s="2788" t="n"/>
      <c r="K40" s="2788" t="n"/>
      <c r="L40" s="2788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8" customHeight="1" s="1666">
      <c r="A41" s="2788" t="n"/>
      <c r="B41" s="2795" t="inlineStr">
        <is>
          <t>Portefeuille actuel CAD</t>
        </is>
      </c>
      <c r="C41" s="2621" t="n"/>
      <c r="D41" s="2796">
        <f>'📈 PORTEFEUILLE'!L67</f>
        <v/>
      </c>
      <c r="E41" s="2454" t="n"/>
      <c r="F41" s="2454" t="n"/>
      <c r="G41" s="2454" t="n"/>
      <c r="H41" s="2776" t="n"/>
      <c r="I41" s="2788" t="n"/>
      <c r="J41" s="2788" t="n"/>
      <c r="K41" s="2788" t="n"/>
      <c r="L41" s="2788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A42" s="2788" t="n"/>
      <c r="B42" s="2793" t="inlineStr">
        <is>
          <t>Contribution annuelle Phase 1 (2026-2028)</t>
        </is>
      </c>
      <c r="C42" s="2607" t="n"/>
      <c r="D42" s="2797" t="n">
        <v>42000</v>
      </c>
      <c r="E42" s="2794" t="inlineStr">
        <is>
          <t>← $3,500/mois × 12 = $42,000/an réel (corrigé)</t>
        </is>
      </c>
      <c r="F42" s="2749" t="n"/>
      <c r="G42" s="2749" t="n"/>
      <c r="H42" s="2776" t="n"/>
      <c r="I42" s="2788" t="n"/>
      <c r="J42" s="2788" t="n"/>
      <c r="K42" s="2788" t="n"/>
      <c r="L42" s="2788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8" customHeight="1" s="1666">
      <c r="A43" s="2788" t="n"/>
      <c r="B43" s="2795" t="inlineStr">
        <is>
          <t>Contribution annuelle Phase 2 (2029-2035)</t>
        </is>
      </c>
      <c r="C43" s="2600" t="n"/>
      <c r="D43" s="2796" t="n">
        <v>60000</v>
      </c>
      <c r="E43" s="2454" t="n"/>
      <c r="F43" s="2454" t="n"/>
      <c r="G43" s="2454" t="n"/>
      <c r="H43" s="2776" t="n"/>
      <c r="I43" s="2788" t="n"/>
      <c r="J43" s="2788" t="n"/>
      <c r="K43" s="2788" t="n"/>
      <c r="L43" s="2788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8" customHeight="1" s="1666">
      <c r="A44" s="2788" t="n"/>
      <c r="B44" s="2793" t="inlineStr">
        <is>
          <t>Contribution annuelle Phase 3+ (2036-2065)</t>
        </is>
      </c>
      <c r="C44" s="2458" t="n"/>
      <c r="D44" s="2797" t="n">
        <v>60000</v>
      </c>
      <c r="E44" s="2749" t="n"/>
      <c r="F44" s="2749" t="n"/>
      <c r="G44" s="2749" t="n"/>
      <c r="H44" s="2776" t="n"/>
      <c r="I44" s="2788" t="n"/>
      <c r="J44" s="2788" t="n"/>
      <c r="K44" s="2788" t="n"/>
      <c r="L44" s="2788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8" customHeight="1" s="1666">
      <c r="A45" s="2788" t="n"/>
      <c r="B45" s="2795" t="inlineStr">
        <is>
          <t>Taux PESSIMISTE (%/an)</t>
        </is>
      </c>
      <c r="C45" s="2455" t="n"/>
      <c r="D45" s="2798" t="n">
        <v>0.06</v>
      </c>
      <c r="E45" s="2454" t="n"/>
      <c r="F45" s="2454" t="n"/>
      <c r="G45" s="2454" t="n"/>
      <c r="H45" s="2776" t="n"/>
      <c r="I45" s="2788" t="n"/>
      <c r="J45" s="2788" t="n"/>
      <c r="K45" s="2788" t="n"/>
      <c r="L45" s="2788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8" customHeight="1" s="1666">
      <c r="A46" s="2788" t="n"/>
      <c r="B46" s="2793" t="inlineStr">
        <is>
          <t>Taux RÉALISTE (%/an)</t>
        </is>
      </c>
      <c r="C46" s="2458" t="n"/>
      <c r="D46" s="2799" t="n">
        <v>0.08</v>
      </c>
      <c r="E46" s="2749" t="n"/>
      <c r="F46" s="2749" t="n"/>
      <c r="G46" s="2749" t="n"/>
      <c r="H46" s="2788" t="n"/>
      <c r="I46" s="2788" t="n"/>
      <c r="J46" s="2788" t="n"/>
      <c r="K46" s="2788" t="n"/>
      <c r="L46" s="2788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8" customHeight="1" s="1666">
      <c r="A47" s="2788" t="n"/>
      <c r="B47" s="2795" t="inlineStr">
        <is>
          <t>Taux OPTIMISTE (%/an)</t>
        </is>
      </c>
      <c r="C47" s="2455" t="n"/>
      <c r="D47" s="2798" t="n">
        <v>0.1</v>
      </c>
      <c r="E47" s="2454" t="n"/>
      <c r="F47" s="2454" t="n"/>
      <c r="G47" s="2454" t="n"/>
      <c r="H47" s="2788" t="n"/>
      <c r="I47" s="2788" t="n"/>
      <c r="J47" s="2788" t="n"/>
      <c r="K47" s="2788" t="n"/>
      <c r="L47" s="2788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8" customHeight="1" s="1666">
      <c r="A48" s="2788" t="n"/>
      <c r="B48" s="2793" t="inlineStr">
        <is>
          <t>Objectif retraite CAD</t>
        </is>
      </c>
      <c r="C48" s="2458" t="n"/>
      <c r="D48" s="2797" t="n">
        <v>2100000</v>
      </c>
      <c r="E48" s="2749" t="n"/>
      <c r="F48" s="2749" t="n"/>
      <c r="G48" s="2749" t="n"/>
      <c r="H48" s="2800" t="n"/>
      <c r="I48" s="2788" t="n"/>
      <c r="J48" s="2788" t="n"/>
      <c r="K48" s="2788" t="n"/>
      <c r="L48" s="2788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8" customHeight="1" s="1666">
      <c r="A49" s="2788" t="n"/>
      <c r="B49" s="2795" t="inlineStr">
        <is>
          <t>Âge retraite cible</t>
        </is>
      </c>
      <c r="C49" s="2454" t="n"/>
      <c r="D49" s="2796" t="n">
        <v>65</v>
      </c>
      <c r="E49" s="2454" t="n"/>
      <c r="F49" s="2455" t="n"/>
      <c r="G49" s="2455" t="n"/>
      <c r="H49" s="2801" t="n"/>
      <c r="I49" s="2788" t="n"/>
      <c r="J49" s="2788" t="n"/>
      <c r="K49" s="2788" t="n"/>
      <c r="L49" s="2788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8" customHeight="1" s="1666">
      <c r="A50" s="2788" t="n"/>
      <c r="B50" s="2793" t="inlineStr">
        <is>
          <t>Retrait annuel retraite (règle 4%)</t>
        </is>
      </c>
      <c r="C50" s="2749" t="n"/>
      <c r="D50" s="2797">
        <f>IFERROR(D13*0.04,0)</f>
        <v/>
      </c>
      <c r="E50" s="2749" t="n"/>
      <c r="F50" s="2458" t="n"/>
      <c r="G50" s="2458" t="n"/>
      <c r="H50" s="2801" t="n"/>
      <c r="I50" s="2788" t="n"/>
      <c r="J50" s="2788" t="n"/>
      <c r="K50" s="2788" t="n"/>
      <c r="L50" s="2788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8" customHeight="1" s="1666">
      <c r="A51" s="2788" t="n"/>
      <c r="B51" s="2776" t="n"/>
      <c r="C51" s="2800" t="n"/>
      <c r="D51" s="2802" t="n"/>
      <c r="E51" s="2802" t="n"/>
      <c r="F51" s="2802" t="n"/>
      <c r="G51" s="2802" t="n"/>
      <c r="H51" s="2803" t="n"/>
      <c r="I51" s="2788" t="n"/>
      <c r="J51" s="2788" t="n"/>
      <c r="K51" s="2788" t="n"/>
      <c r="L51" s="2788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8" customHeight="1" s="1666">
      <c r="A52" s="2804" t="inlineStr">
        <is>
          <t>📅  PROJECTION ANNUELLE — 2026 à 2065</t>
        </is>
      </c>
      <c r="K52" s="2788" t="n"/>
      <c r="L52" s="2788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8" customHeight="1" s="1666">
      <c r="A53" s="2788" t="n"/>
      <c r="B53" s="2795" t="inlineStr">
        <is>
          <t>ANNÉE</t>
        </is>
      </c>
      <c r="C53" s="2805" t="inlineStr">
        <is>
          <t>ÂGE</t>
        </is>
      </c>
      <c r="D53" s="2796" t="inlineStr">
        <is>
          <t>CONTRIB./AN</t>
        </is>
      </c>
      <c r="E53" s="2806" t="inlineStr">
        <is>
          <t>VALEUR
6% PESSIMISTE</t>
        </is>
      </c>
      <c r="F53" s="2806" t="inlineStr">
        <is>
          <t>VALEUR
8% RÉALISTE</t>
        </is>
      </c>
      <c r="G53" s="2807" t="inlineStr">
        <is>
          <t>VALEUR
10% OPTIMISTE</t>
        </is>
      </c>
      <c r="H53" s="2808" t="inlineStr">
        <is>
          <t>OBJECTIF?</t>
        </is>
      </c>
      <c r="I53" s="2809" t="inlineStr">
        <is>
          <t>PHASE</t>
        </is>
      </c>
      <c r="J53" s="2810" t="inlineStr">
        <is>
          <t>RETRAIT 4%
(si retraite)</t>
        </is>
      </c>
      <c r="K53" s="2788" t="n"/>
      <c r="L53" s="2788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8" customHeight="1" s="1666">
      <c r="A54" s="2788" t="n"/>
      <c r="B54" s="2793" t="inlineStr">
        <is>
          <t>2026</t>
        </is>
      </c>
      <c r="C54" s="2794" t="n">
        <v>34</v>
      </c>
      <c r="D54" s="2797">
        <f>$B$8*12</f>
        <v/>
      </c>
      <c r="E54" s="2797">
        <f>($B$7+$B$8*12)*(1+$B$9)</f>
        <v/>
      </c>
      <c r="F54" s="2797">
        <f>($B$7+$B$8*12)*(1+$B$10)</f>
        <v/>
      </c>
      <c r="G54" s="2797">
        <f>($B$7+$B$8*12)*(1+$B$11)</f>
        <v/>
      </c>
      <c r="H54" s="2811">
        <f>IF(F19&gt;=$B$12,"✅ ATTEINT","—")</f>
        <v/>
      </c>
      <c r="I54" s="2812" t="inlineStr">
        <is>
          <t>Phase 1 — $46K/an</t>
        </is>
      </c>
      <c r="J54" s="2788" t="n"/>
      <c r="K54" s="2788" t="n"/>
      <c r="L54" s="2788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8" customHeight="1" s="1666">
      <c r="A55" s="2788" t="n"/>
      <c r="B55" s="2795" t="inlineStr">
        <is>
          <t>2027</t>
        </is>
      </c>
      <c r="C55" s="2796" t="n">
        <v>35</v>
      </c>
      <c r="D55" s="2796">
        <f>$B$8*12</f>
        <v/>
      </c>
      <c r="E55" s="2796">
        <f>(E19+$B$8*12)*(1+$B$9)</f>
        <v/>
      </c>
      <c r="F55" s="2796">
        <f>(F19+$B$8*12)*(1+$B$10)</f>
        <v/>
      </c>
      <c r="G55" s="2796">
        <f>(G19+$B$8*12)*(1+$B$11)</f>
        <v/>
      </c>
      <c r="H55" s="2796">
        <f>IF(F20&gt;=$B$12,"✅ ATTEINT","—")</f>
        <v/>
      </c>
      <c r="I55" s="2796" t="inlineStr">
        <is>
          <t>Phase 1 — $46K/an</t>
        </is>
      </c>
      <c r="J55" s="2455" t="n"/>
      <c r="K55" s="2455" t="n"/>
      <c r="L55" s="2788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8" customHeight="1" s="1666">
      <c r="A56" s="2788" t="n"/>
      <c r="B56" s="2793" t="inlineStr">
        <is>
          <t>2028</t>
        </is>
      </c>
      <c r="C56" s="2797" t="n">
        <v>36</v>
      </c>
      <c r="D56" s="2797">
        <f>$B$8*12</f>
        <v/>
      </c>
      <c r="E56" s="2797">
        <f>(E20+$B$8*12)*(1+$B$9)</f>
        <v/>
      </c>
      <c r="F56" s="2797">
        <f>(F20+$B$8*12)*(1+$B$10)</f>
        <v/>
      </c>
      <c r="G56" s="2797">
        <f>(G20+$B$8*12)*(1+$B$11)</f>
        <v/>
      </c>
      <c r="H56" s="2797">
        <f>IF(F21&gt;=$B$12,"✅ ATTEINT","—")</f>
        <v/>
      </c>
      <c r="I56" s="2797" t="inlineStr">
        <is>
          <t>Phase 1 — $46K/an</t>
        </is>
      </c>
      <c r="J56" s="2458" t="n"/>
      <c r="K56" s="2458" t="n"/>
      <c r="L56" s="2788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8" customHeight="1" s="1666">
      <c r="A57" s="2788" t="n"/>
      <c r="B57" s="2795" t="inlineStr">
        <is>
          <t>2029</t>
        </is>
      </c>
      <c r="C57" s="2796" t="n">
        <v>37</v>
      </c>
      <c r="D57" s="2796">
        <f>$B$8*12</f>
        <v/>
      </c>
      <c r="E57" s="2796">
        <f>(E21+$B$8*12)*(1+$B$9)</f>
        <v/>
      </c>
      <c r="F57" s="2796">
        <f>(F21+$B$8*12)*(1+$B$10)</f>
        <v/>
      </c>
      <c r="G57" s="2796">
        <f>(G21+$B$8*12)*(1+$B$11)</f>
        <v/>
      </c>
      <c r="H57" s="2796">
        <f>IF(F22&gt;=$B$12,"✅ ATTEINT","—")</f>
        <v/>
      </c>
      <c r="I57" s="2796" t="inlineStr">
        <is>
          <t>Phase 2 — $60K/an</t>
        </is>
      </c>
      <c r="J57" s="2455" t="n"/>
      <c r="K57" s="2455" t="n"/>
      <c r="L57" s="2788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8" customHeight="1" s="1666">
      <c r="A58" s="2788" t="n"/>
      <c r="B58" s="2793" t="inlineStr">
        <is>
          <t>2030</t>
        </is>
      </c>
      <c r="C58" s="2797" t="n">
        <v>38</v>
      </c>
      <c r="D58" s="2797">
        <f>$B$8*12</f>
        <v/>
      </c>
      <c r="E58" s="2797">
        <f>(E22+$B$8*12)*(1+$B$9)</f>
        <v/>
      </c>
      <c r="F58" s="2797">
        <f>(F22+$B$8*12)*(1+$B$10)</f>
        <v/>
      </c>
      <c r="G58" s="2797">
        <f>(G22+$B$8*12)*(1+$B$11)</f>
        <v/>
      </c>
      <c r="H58" s="2797">
        <f>IF(F23&gt;=$B$12,"✅ ATTEINT","—")</f>
        <v/>
      </c>
      <c r="I58" s="2797" t="inlineStr">
        <is>
          <t>Phase 2 — $60K/an</t>
        </is>
      </c>
      <c r="J58" s="2458" t="n"/>
      <c r="K58" s="2458" t="n"/>
      <c r="L58" s="2788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8" customHeight="1" s="1666">
      <c r="A59" s="2788" t="n"/>
      <c r="B59" s="2795" t="inlineStr">
        <is>
          <t>2031</t>
        </is>
      </c>
      <c r="C59" s="2796" t="n">
        <v>39</v>
      </c>
      <c r="D59" s="2796">
        <f>$B$8*12</f>
        <v/>
      </c>
      <c r="E59" s="2796">
        <f>(E23+$B$8*12)*(1+$B$9)</f>
        <v/>
      </c>
      <c r="F59" s="2796">
        <f>(F23+$B$8*12)*(1+$B$10)</f>
        <v/>
      </c>
      <c r="G59" s="2796">
        <f>(G23+$B$8*12)*(1+$B$11)</f>
        <v/>
      </c>
      <c r="H59" s="2796">
        <f>IF(F24&gt;=$B$12,"✅ ATTEINT","—")</f>
        <v/>
      </c>
      <c r="I59" s="2796" t="inlineStr">
        <is>
          <t>Phase 2 — $60K/an</t>
        </is>
      </c>
      <c r="J59" s="2455" t="n"/>
      <c r="K59" s="2455" t="n"/>
      <c r="L59" s="2788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8" customHeight="1" s="1666">
      <c r="A60" s="2788" t="n"/>
      <c r="B60" s="2793" t="inlineStr">
        <is>
          <t>2032</t>
        </is>
      </c>
      <c r="C60" s="2797" t="n">
        <v>40</v>
      </c>
      <c r="D60" s="2797">
        <f>$B$8*12</f>
        <v/>
      </c>
      <c r="E60" s="2797">
        <f>(E24+$B$8*12)*(1+$B$9)</f>
        <v/>
      </c>
      <c r="F60" s="2797">
        <f>(F24+$B$8*12)*(1+$B$10)</f>
        <v/>
      </c>
      <c r="G60" s="2797">
        <f>(G24+$B$8*12)*(1+$B$11)</f>
        <v/>
      </c>
      <c r="H60" s="2797">
        <f>IF(F25&gt;=$B$12,"✅ ATTEINT","—")</f>
        <v/>
      </c>
      <c r="I60" s="2797" t="inlineStr">
        <is>
          <t>Phase 2 — $60K/an</t>
        </is>
      </c>
      <c r="J60" s="2458" t="n"/>
      <c r="K60" s="2458" t="n"/>
      <c r="L60" s="2788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8" customHeight="1" s="1666">
      <c r="A61" s="2788" t="n"/>
      <c r="B61" s="2795" t="inlineStr">
        <is>
          <t>2033</t>
        </is>
      </c>
      <c r="C61" s="2796" t="n">
        <v>41</v>
      </c>
      <c r="D61" s="2796">
        <f>$B$8*12</f>
        <v/>
      </c>
      <c r="E61" s="2796">
        <f>(E25+$B$8*12)*(1+$B$9)</f>
        <v/>
      </c>
      <c r="F61" s="2796">
        <f>(F25+$B$8*12)*(1+$B$10)</f>
        <v/>
      </c>
      <c r="G61" s="2796">
        <f>(G25+$B$8*12)*(1+$B$11)</f>
        <v/>
      </c>
      <c r="H61" s="2796">
        <f>IF(F26&gt;=$B$12,"✅ ATTEINT","—")</f>
        <v/>
      </c>
      <c r="I61" s="2796" t="inlineStr">
        <is>
          <t>Phase 2 — $60K/an</t>
        </is>
      </c>
      <c r="J61" s="2455" t="n"/>
      <c r="K61" s="2455" t="n"/>
      <c r="L61" s="2788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8" customHeight="1" s="1666">
      <c r="A62" s="2788" t="n"/>
      <c r="B62" s="2793" t="inlineStr">
        <is>
          <t>2034</t>
        </is>
      </c>
      <c r="C62" s="2797" t="n">
        <v>42</v>
      </c>
      <c r="D62" s="2797">
        <f>$B$8*12</f>
        <v/>
      </c>
      <c r="E62" s="2797">
        <f>(E26+$B$8*12)*(1+$B$9)</f>
        <v/>
      </c>
      <c r="F62" s="2797">
        <f>(F26+$B$8*12)*(1+$B$10)</f>
        <v/>
      </c>
      <c r="G62" s="2797">
        <f>(G26+$B$8*12)*(1+$B$11)</f>
        <v/>
      </c>
      <c r="H62" s="2797">
        <f>IF(F27&gt;=$B$12,"✅ ATTEINT","—")</f>
        <v/>
      </c>
      <c r="I62" s="2797" t="inlineStr">
        <is>
          <t>Phase 2 — $60K/an</t>
        </is>
      </c>
      <c r="J62" s="2458" t="n"/>
      <c r="K62" s="2458" t="n"/>
      <c r="L62" s="2788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8" customHeight="1" s="1666">
      <c r="A63" s="2788" t="n"/>
      <c r="B63" s="2795" t="inlineStr">
        <is>
          <t>2035</t>
        </is>
      </c>
      <c r="C63" s="2796" t="n">
        <v>43</v>
      </c>
      <c r="D63" s="2796">
        <f>$B$8*12</f>
        <v/>
      </c>
      <c r="E63" s="2796">
        <f>(E27+$B$8*12)*(1+$B$9)</f>
        <v/>
      </c>
      <c r="F63" s="2796">
        <f>(F27+$B$8*12)*(1+$B$10)</f>
        <v/>
      </c>
      <c r="G63" s="2796">
        <f>(G27+$B$8*12)*(1+$B$11)</f>
        <v/>
      </c>
      <c r="H63" s="2796">
        <f>IF(F28&gt;=$B$12,"✅ ATTEINT","—")</f>
        <v/>
      </c>
      <c r="I63" s="2796" t="inlineStr">
        <is>
          <t>Phase 2 — $60K/an</t>
        </is>
      </c>
      <c r="J63" s="2455" t="n"/>
      <c r="K63" s="2455" t="n"/>
      <c r="L63" s="2788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8" customHeight="1" s="1666">
      <c r="A64" s="2788" t="n"/>
      <c r="B64" s="2793" t="inlineStr">
        <is>
          <t>2036</t>
        </is>
      </c>
      <c r="C64" s="2797" t="n">
        <v>44</v>
      </c>
      <c r="D64" s="2797">
        <f>$B$7</f>
        <v/>
      </c>
      <c r="E64" s="2797">
        <f>(E28+$B$7)*(1+$B$9)</f>
        <v/>
      </c>
      <c r="F64" s="2797">
        <f>(F28+$B$7)*(1+$B$10)</f>
        <v/>
      </c>
      <c r="G64" s="2797">
        <f>(G28+$B$7)*(1+$B$11)</f>
        <v/>
      </c>
      <c r="H64" s="2797">
        <f>IF(F29&gt;=$B$12,"✅ ATTEINT","—")</f>
        <v/>
      </c>
      <c r="I64" s="2797" t="inlineStr">
        <is>
          <t>Phase 3+ — $60K/an</t>
        </is>
      </c>
      <c r="J64" s="2458" t="n"/>
      <c r="K64" s="2458" t="n"/>
      <c r="L64" s="2788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8" customHeight="1" s="1666">
      <c r="A65" s="2788" t="n"/>
      <c r="B65" s="2795" t="inlineStr">
        <is>
          <t>2037</t>
        </is>
      </c>
      <c r="C65" s="2796" t="n">
        <v>45</v>
      </c>
      <c r="D65" s="2796">
        <f>$B$7</f>
        <v/>
      </c>
      <c r="E65" s="2796">
        <f>(E29+$B$7)*(1+$B$9)</f>
        <v/>
      </c>
      <c r="F65" s="2796">
        <f>(F29+$B$7)*(1+$B$10)</f>
        <v/>
      </c>
      <c r="G65" s="2796">
        <f>(G29+$B$7)*(1+$B$11)</f>
        <v/>
      </c>
      <c r="H65" s="2796">
        <f>IF(F30&gt;=$B$12,"✅ ATTEINT","—")</f>
        <v/>
      </c>
      <c r="I65" s="2796" t="inlineStr">
        <is>
          <t>Phase 3+ — $60K/an</t>
        </is>
      </c>
      <c r="J65" s="2455" t="n"/>
      <c r="K65" s="2455" t="n"/>
      <c r="L65" s="2788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8" customHeight="1" s="1666">
      <c r="A66" s="2788" t="n"/>
      <c r="B66" s="2793" t="inlineStr">
        <is>
          <t>2038</t>
        </is>
      </c>
      <c r="C66" s="2797" t="n">
        <v>46</v>
      </c>
      <c r="D66" s="2797">
        <f>$B$7</f>
        <v/>
      </c>
      <c r="E66" s="2797">
        <f>(E30+$B$7)*(1+$B$9)</f>
        <v/>
      </c>
      <c r="F66" s="2797">
        <f>(F30+$B$7)*(1+$B$10)</f>
        <v/>
      </c>
      <c r="G66" s="2797">
        <f>(G30+$B$7)*(1+$B$11)</f>
        <v/>
      </c>
      <c r="H66" s="2797">
        <f>IF(F31&gt;=$B$12,"✅ ATTEINT","—")</f>
        <v/>
      </c>
      <c r="I66" s="2797" t="inlineStr">
        <is>
          <t>Phase 3+ — $60K/an</t>
        </is>
      </c>
      <c r="J66" s="2458" t="n"/>
      <c r="K66" s="2458" t="n"/>
      <c r="L66" s="2788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8" customHeight="1" s="1666">
      <c r="A67" s="2788" t="n"/>
      <c r="B67" s="2795" t="inlineStr">
        <is>
          <t>2039</t>
        </is>
      </c>
      <c r="C67" s="2796" t="n">
        <v>47</v>
      </c>
      <c r="D67" s="2796">
        <f>$B$7</f>
        <v/>
      </c>
      <c r="E67" s="2796">
        <f>(E31+$B$7)*(1+$B$9)</f>
        <v/>
      </c>
      <c r="F67" s="2796">
        <f>(F31+$B$7)*(1+$B$10)</f>
        <v/>
      </c>
      <c r="G67" s="2796">
        <f>(G31+$B$7)*(1+$B$11)</f>
        <v/>
      </c>
      <c r="H67" s="2796">
        <f>IF(F32&gt;=$B$12,"✅ ATTEINT","—")</f>
        <v/>
      </c>
      <c r="I67" s="2796" t="inlineStr">
        <is>
          <t>Phase 3+ — $60K/an</t>
        </is>
      </c>
      <c r="J67" s="2455" t="n"/>
      <c r="K67" s="2455" t="n"/>
      <c r="L67" s="2788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8" customHeight="1" s="1666">
      <c r="A68" s="2788" t="n"/>
      <c r="B68" s="2793" t="inlineStr">
        <is>
          <t>2040</t>
        </is>
      </c>
      <c r="C68" s="2797" t="n">
        <v>48</v>
      </c>
      <c r="D68" s="2797">
        <f>$B$7</f>
        <v/>
      </c>
      <c r="E68" s="2797">
        <f>(E32+$B$7)*(1+$B$9)</f>
        <v/>
      </c>
      <c r="F68" s="2797">
        <f>(F32+$B$7)*(1+$B$10)</f>
        <v/>
      </c>
      <c r="G68" s="2797">
        <f>(G32+$B$7)*(1+$B$11)</f>
        <v/>
      </c>
      <c r="H68" s="2797">
        <f>IF(F33&gt;=$B$12,"✅ ATTEINT","—")</f>
        <v/>
      </c>
      <c r="I68" s="2797" t="inlineStr">
        <is>
          <t>Phase 3+ — $60K/an</t>
        </is>
      </c>
      <c r="J68" s="2458" t="n"/>
      <c r="K68" s="2458" t="n"/>
      <c r="L68" s="2788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8" customHeight="1" s="1666">
      <c r="A69" s="2788" t="n"/>
      <c r="B69" s="2795" t="inlineStr">
        <is>
          <t>2041</t>
        </is>
      </c>
      <c r="C69" s="2796" t="n">
        <v>49</v>
      </c>
      <c r="D69" s="2796">
        <f>$B$7</f>
        <v/>
      </c>
      <c r="E69" s="2796">
        <f>(E33+$B$7)*(1+$B$9)</f>
        <v/>
      </c>
      <c r="F69" s="2796">
        <f>(F33+$B$7)*(1+$B$10)</f>
        <v/>
      </c>
      <c r="G69" s="2796">
        <f>(G33+$B$7)*(1+$B$11)</f>
        <v/>
      </c>
      <c r="H69" s="2796">
        <f>IF(F34&gt;=$B$12,"✅ ATTEINT","—")</f>
        <v/>
      </c>
      <c r="I69" s="2796" t="inlineStr">
        <is>
          <t>Phase 3+ — $60K/an</t>
        </is>
      </c>
      <c r="J69" s="2455" t="n"/>
      <c r="K69" s="2455" t="n"/>
      <c r="L69" s="2788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8" customHeight="1" s="1666">
      <c r="A70" s="2788" t="n"/>
      <c r="B70" s="2793" t="inlineStr">
        <is>
          <t>2042</t>
        </is>
      </c>
      <c r="C70" s="2797" t="n">
        <v>50</v>
      </c>
      <c r="D70" s="2797">
        <f>$B$7</f>
        <v/>
      </c>
      <c r="E70" s="2797">
        <f>(E34+$B$7)*(1+$B$9)</f>
        <v/>
      </c>
      <c r="F70" s="2797">
        <f>(F34+$B$7)*(1+$B$10)</f>
        <v/>
      </c>
      <c r="G70" s="2797">
        <f>(G34+$B$7)*(1+$B$11)</f>
        <v/>
      </c>
      <c r="H70" s="2797">
        <f>IF(F35&gt;=$B$12,"✅ ATTEINT","—")</f>
        <v/>
      </c>
      <c r="I70" s="2797" t="inlineStr">
        <is>
          <t>Phase 3+ — $60K/an</t>
        </is>
      </c>
      <c r="J70" s="2458" t="n"/>
      <c r="K70" s="2458" t="n"/>
      <c r="L70" s="2788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8" customHeight="1" s="1666">
      <c r="A71" s="2788" t="n"/>
      <c r="B71" s="2795" t="inlineStr">
        <is>
          <t>2043</t>
        </is>
      </c>
      <c r="C71" s="2796" t="n">
        <v>51</v>
      </c>
      <c r="D71" s="2796">
        <f>$B$7</f>
        <v/>
      </c>
      <c r="E71" s="2796">
        <f>(E70+$D$42)*(1+$D$45)</f>
        <v/>
      </c>
      <c r="F71" s="2796">
        <f>(F70+$D$42)*(1+$D$46)</f>
        <v/>
      </c>
      <c r="G71" s="2796">
        <f>(G70+$D$42)*(1+$D$47)</f>
        <v/>
      </c>
      <c r="H71" s="2796">
        <f>IF(F71&gt;=$D$48,"✅ ATTEINT","—")</f>
        <v/>
      </c>
      <c r="I71" s="2796" t="inlineStr">
        <is>
          <t>Phase 3+ — $60K/an</t>
        </is>
      </c>
      <c r="J71" s="2455" t="n"/>
      <c r="K71" s="2455" t="n"/>
      <c r="L71" s="2788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8" customHeight="1" s="1666">
      <c r="A72" s="2788" t="n"/>
      <c r="B72" s="2793" t="inlineStr">
        <is>
          <t>2044</t>
        </is>
      </c>
      <c r="C72" s="2797" t="n">
        <v>52</v>
      </c>
      <c r="D72" s="2797">
        <f>$B$7</f>
        <v/>
      </c>
      <c r="E72" s="2797">
        <f>(E71+$D$42)*(1+$D$45)</f>
        <v/>
      </c>
      <c r="F72" s="2797">
        <f>(F71+$D$42)*(1+$D$46)</f>
        <v/>
      </c>
      <c r="G72" s="2797">
        <f>(G71+$D$42)*(1+$D$47)</f>
        <v/>
      </c>
      <c r="H72" s="2797">
        <f>IF(F72&gt;=$D$48,"✅ ATTEINT","—")</f>
        <v/>
      </c>
      <c r="I72" s="2797" t="inlineStr">
        <is>
          <t>Phase 3+ — $60K/an</t>
        </is>
      </c>
      <c r="J72" s="2458" t="n"/>
      <c r="K72" s="2458" t="n"/>
      <c r="L72" s="2788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8" customHeight="1" s="1666">
      <c r="A73" s="2788" t="n"/>
      <c r="B73" s="2795" t="inlineStr">
        <is>
          <t>2045</t>
        </is>
      </c>
      <c r="C73" s="2796" t="n">
        <v>53</v>
      </c>
      <c r="D73" s="2796">
        <f>$B$7</f>
        <v/>
      </c>
      <c r="E73" s="2796">
        <f>(E72+$D$42)*(1+$D$45)</f>
        <v/>
      </c>
      <c r="F73" s="2796">
        <f>(F72+$D$42)*(1+$D$46)</f>
        <v/>
      </c>
      <c r="G73" s="2796">
        <f>(G72+$D$42)*(1+$D$47)</f>
        <v/>
      </c>
      <c r="H73" s="2796">
        <f>IF(F73&gt;=$D$48,"✅ ATTEINT","—")</f>
        <v/>
      </c>
      <c r="I73" s="2796" t="inlineStr">
        <is>
          <t>Phase 3+ — $60K/an</t>
        </is>
      </c>
      <c r="J73" s="2455" t="n"/>
      <c r="K73" s="2455" t="n"/>
      <c r="L73" s="2788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8" customHeight="1" s="1666">
      <c r="A74" s="2788" t="n"/>
      <c r="B74" s="2793" t="inlineStr">
        <is>
          <t>2046</t>
        </is>
      </c>
      <c r="C74" s="2797" t="n">
        <v>54</v>
      </c>
      <c r="D74" s="2797">
        <f>$B$7</f>
        <v/>
      </c>
      <c r="E74" s="2797">
        <f>(E73+$D$42)*(1+$D$45)</f>
        <v/>
      </c>
      <c r="F74" s="2797">
        <f>(F73+$D$42)*(1+$D$46)</f>
        <v/>
      </c>
      <c r="G74" s="2797">
        <f>(G73+$D$42)*(1+$D$47)</f>
        <v/>
      </c>
      <c r="H74" s="2797">
        <f>IF(F74&gt;=$D$48,"✅ ATTEINT","—")</f>
        <v/>
      </c>
      <c r="I74" s="2797" t="inlineStr">
        <is>
          <t>Phase 3+ — $60K/an</t>
        </is>
      </c>
      <c r="J74" s="2458" t="n"/>
      <c r="K74" s="2458" t="n"/>
      <c r="L74" s="2788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8" customHeight="1" s="1666">
      <c r="A75" s="2788" t="n"/>
      <c r="B75" s="2795" t="inlineStr">
        <is>
          <t>2047</t>
        </is>
      </c>
      <c r="C75" s="2796" t="n">
        <v>55</v>
      </c>
      <c r="D75" s="2796">
        <f>$B$7</f>
        <v/>
      </c>
      <c r="E75" s="2796">
        <f>(E74+$D$42)*(1+$D$45)</f>
        <v/>
      </c>
      <c r="F75" s="2796">
        <f>(F74+$D$42)*(1+$D$46)</f>
        <v/>
      </c>
      <c r="G75" s="2796">
        <f>(G74+$D$42)*(1+$D$47)</f>
        <v/>
      </c>
      <c r="H75" s="2796">
        <f>IF(F75&gt;=$D$48,"✅ ATTEINT","—")</f>
        <v/>
      </c>
      <c r="I75" s="2796" t="inlineStr">
        <is>
          <t>Phase 3+ — $60K/an</t>
        </is>
      </c>
      <c r="J75" s="2455" t="n"/>
      <c r="K75" s="2455" t="n"/>
      <c r="L75" s="2788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8" customHeight="1" s="1666">
      <c r="A76" s="2788" t="n"/>
      <c r="B76" s="2793" t="inlineStr">
        <is>
          <t>2048</t>
        </is>
      </c>
      <c r="C76" s="2797" t="n">
        <v>56</v>
      </c>
      <c r="D76" s="2797">
        <f>$B$7</f>
        <v/>
      </c>
      <c r="E76" s="2797">
        <f>(E75+$D$42)*(1+$D$45)</f>
        <v/>
      </c>
      <c r="F76" s="2797">
        <f>(F75+$D$42)*(1+$D$46)</f>
        <v/>
      </c>
      <c r="G76" s="2797">
        <f>(G75+$D$42)*(1+$D$47)</f>
        <v/>
      </c>
      <c r="H76" s="2797">
        <f>IF(F76&gt;=$D$48,"✅ ATTEINT","—")</f>
        <v/>
      </c>
      <c r="I76" s="2797" t="inlineStr">
        <is>
          <t>Phase 3+ — $60K/an</t>
        </is>
      </c>
      <c r="J76" s="2458" t="n"/>
      <c r="K76" s="2458" t="n"/>
      <c r="L76" s="2788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8" customHeight="1" s="1666">
      <c r="A77" s="2788" t="n"/>
      <c r="B77" s="2795" t="inlineStr">
        <is>
          <t>2049</t>
        </is>
      </c>
      <c r="C77" s="2796" t="n">
        <v>57</v>
      </c>
      <c r="D77" s="2796">
        <f>$B$7</f>
        <v/>
      </c>
      <c r="E77" s="2796">
        <f>(E76+$D$42)*(1+$D$45)</f>
        <v/>
      </c>
      <c r="F77" s="2796">
        <f>(F76+$D$42)*(1+$D$46)</f>
        <v/>
      </c>
      <c r="G77" s="2796">
        <f>(G76+$D$42)*(1+$D$47)</f>
        <v/>
      </c>
      <c r="H77" s="2796">
        <f>IF(F77&gt;=$D$48,"✅ ATTEINT","—")</f>
        <v/>
      </c>
      <c r="I77" s="2796" t="inlineStr">
        <is>
          <t>Phase 3+ — $60K/an</t>
        </is>
      </c>
      <c r="J77" s="2455" t="n"/>
      <c r="K77" s="2455" t="n"/>
      <c r="L77" s="2788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8" customHeight="1" s="1666">
      <c r="A78" s="2788" t="n"/>
      <c r="B78" s="2793" t="inlineStr">
        <is>
          <t>2050</t>
        </is>
      </c>
      <c r="C78" s="2797" t="n">
        <v>58</v>
      </c>
      <c r="D78" s="2797">
        <f>$B$7</f>
        <v/>
      </c>
      <c r="E78" s="2797">
        <f>(E77+$D$42)*(1+$D$45)</f>
        <v/>
      </c>
      <c r="F78" s="2797">
        <f>(F77+$D$42)*(1+$D$46)</f>
        <v/>
      </c>
      <c r="G78" s="2797">
        <f>(G77+$D$42)*(1+$D$47)</f>
        <v/>
      </c>
      <c r="H78" s="2797">
        <f>IF(F78&gt;=$D$48,"✅ ATTEINT","—")</f>
        <v/>
      </c>
      <c r="I78" s="2797" t="inlineStr">
        <is>
          <t>Phase 3+ — $60K/an</t>
        </is>
      </c>
      <c r="J78" s="2458" t="n"/>
      <c r="K78" s="2458" t="n"/>
      <c r="L78" s="2788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8" customHeight="1" s="1666">
      <c r="A79" s="2788" t="n"/>
      <c r="B79" s="2795" t="inlineStr">
        <is>
          <t>2051</t>
        </is>
      </c>
      <c r="C79" s="2796" t="n">
        <v>59</v>
      </c>
      <c r="D79" s="2796">
        <f>$B$7</f>
        <v/>
      </c>
      <c r="E79" s="2796">
        <f>(E78+$D$42)*(1+$D$45)</f>
        <v/>
      </c>
      <c r="F79" s="2796">
        <f>(F78+$D$42)*(1+$D$46)</f>
        <v/>
      </c>
      <c r="G79" s="2796">
        <f>(G78+$D$42)*(1+$D$47)</f>
        <v/>
      </c>
      <c r="H79" s="2796">
        <f>IF(F79&gt;=$D$48,"✅ ATTEINT","—")</f>
        <v/>
      </c>
      <c r="I79" s="2796" t="inlineStr">
        <is>
          <t>Phase 3+ — $60K/an</t>
        </is>
      </c>
      <c r="J79" s="2455" t="n"/>
      <c r="K79" s="2455" t="n"/>
      <c r="L79" s="2788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8" customHeight="1" s="1666">
      <c r="A80" s="2788" t="n"/>
      <c r="B80" s="2793" t="inlineStr">
        <is>
          <t>2052</t>
        </is>
      </c>
      <c r="C80" s="2797" t="n">
        <v>60</v>
      </c>
      <c r="D80" s="2797">
        <f>$B$7</f>
        <v/>
      </c>
      <c r="E80" s="2797">
        <f>(E79+$D$42)*(1+$D$45)</f>
        <v/>
      </c>
      <c r="F80" s="2797">
        <f>(F79+$D$42)*(1+$D$46)</f>
        <v/>
      </c>
      <c r="G80" s="2797">
        <f>(G79+$D$42)*(1+$D$47)</f>
        <v/>
      </c>
      <c r="H80" s="2797">
        <f>IF(F80&gt;=$D$48,"✅ ATTEINT","—")</f>
        <v/>
      </c>
      <c r="I80" s="2797" t="inlineStr">
        <is>
          <t>Phase 3+ — $60K/an</t>
        </is>
      </c>
      <c r="J80" s="2458" t="n"/>
      <c r="K80" s="2458" t="n"/>
      <c r="L80" s="2788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8" customHeight="1" s="1666">
      <c r="A81" s="2788" t="n"/>
      <c r="B81" s="2795" t="inlineStr">
        <is>
          <t>2053</t>
        </is>
      </c>
      <c r="C81" s="2796" t="n">
        <v>61</v>
      </c>
      <c r="D81" s="2796">
        <f>$B$7</f>
        <v/>
      </c>
      <c r="E81" s="2796">
        <f>(E80+$D$42)*(1+$D$45)</f>
        <v/>
      </c>
      <c r="F81" s="2796">
        <f>(F80+$D$42)*(1+$D$46)</f>
        <v/>
      </c>
      <c r="G81" s="2796">
        <f>(G80+$D$42)*(1+$D$47)</f>
        <v/>
      </c>
      <c r="H81" s="2796">
        <f>IF(F81&gt;=$D$48,"✅ ATTEINT","—")</f>
        <v/>
      </c>
      <c r="I81" s="2796" t="inlineStr">
        <is>
          <t>Phase 3+ — $60K/an</t>
        </is>
      </c>
      <c r="J81" s="2455" t="n"/>
      <c r="K81" s="2455" t="n"/>
      <c r="L81" s="2788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8" customHeight="1" s="1666">
      <c r="A82" s="2788" t="n"/>
      <c r="B82" s="2793" t="inlineStr">
        <is>
          <t>2054</t>
        </is>
      </c>
      <c r="C82" s="2797" t="n">
        <v>62</v>
      </c>
      <c r="D82" s="2797">
        <f>$B$7</f>
        <v/>
      </c>
      <c r="E82" s="2797">
        <f>(E81+$D$42)*(1+$D$45)</f>
        <v/>
      </c>
      <c r="F82" s="2797">
        <f>(F81+$D$42)*(1+$D$46)</f>
        <v/>
      </c>
      <c r="G82" s="2797">
        <f>(G81+$D$42)*(1+$D$47)</f>
        <v/>
      </c>
      <c r="H82" s="2797">
        <f>IF(F82&gt;=$D$48,"✅ ATTEINT","—")</f>
        <v/>
      </c>
      <c r="I82" s="2797" t="inlineStr">
        <is>
          <t>Phase 3+ — $60K/an</t>
        </is>
      </c>
      <c r="J82" s="2458" t="n"/>
      <c r="K82" s="2458" t="n"/>
      <c r="L82" s="2788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8" customHeight="1" s="1666">
      <c r="A83" s="2788" t="n"/>
      <c r="B83" s="2795" t="inlineStr">
        <is>
          <t>2055</t>
        </is>
      </c>
      <c r="C83" s="2796" t="n">
        <v>63</v>
      </c>
      <c r="D83" s="2796">
        <f>$B$7</f>
        <v/>
      </c>
      <c r="E83" s="2796">
        <f>(E47+$B$7)*(1+$B$9)</f>
        <v/>
      </c>
      <c r="F83" s="2796">
        <f>(F47+$B$7)*(1+$B$10)</f>
        <v/>
      </c>
      <c r="G83" s="2796">
        <f>(G47+$B$7)*(1+$B$11)</f>
        <v/>
      </c>
      <c r="H83" s="2796">
        <f>IF(F48&gt;=$B$12,"✅ ATTEINT","—")</f>
        <v/>
      </c>
      <c r="I83" s="2796" t="inlineStr">
        <is>
          <t>Phase 3+ — $60K/an</t>
        </is>
      </c>
      <c r="J83" s="2455" t="n"/>
      <c r="K83" s="2455" t="n"/>
      <c r="L83" s="2788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8" customHeight="1" s="1666">
      <c r="A84" s="2788" t="n"/>
      <c r="B84" s="2793" t="inlineStr">
        <is>
          <t>2056</t>
        </is>
      </c>
      <c r="C84" s="2797" t="n">
        <v>64</v>
      </c>
      <c r="D84" s="2797">
        <f>$B$7</f>
        <v/>
      </c>
      <c r="E84" s="2797">
        <f>(E48+$B$7)*(1+$B$9)</f>
        <v/>
      </c>
      <c r="F84" s="2797">
        <f>(F48+$B$7)*(1+$B$10)</f>
        <v/>
      </c>
      <c r="G84" s="2797">
        <f>(G48+$B$7)*(1+$B$11)</f>
        <v/>
      </c>
      <c r="H84" s="2797">
        <f>IF(F49&gt;=$B$12,"✅ ATTEINT","—")</f>
        <v/>
      </c>
      <c r="I84" s="2797" t="inlineStr">
        <is>
          <t>Phase 3+ — $60K/an</t>
        </is>
      </c>
      <c r="J84" s="2458" t="n"/>
      <c r="K84" s="2458" t="n"/>
      <c r="L84" s="2788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8" customHeight="1" s="1666">
      <c r="A85" s="2788" t="n"/>
      <c r="B85" s="2795" t="inlineStr">
        <is>
          <t>2057</t>
        </is>
      </c>
      <c r="C85" s="2796" t="n">
        <v>65</v>
      </c>
      <c r="D85" s="2796">
        <f>$B$7</f>
        <v/>
      </c>
      <c r="E85" s="2796">
        <f>(E49+$B$7)*(1+$B$9)</f>
        <v/>
      </c>
      <c r="F85" s="2796">
        <f>(F49+$B$7)*(1+$B$10)</f>
        <v/>
      </c>
      <c r="G85" s="2796">
        <f>(G49+$B$7)*(1+$B$11)</f>
        <v/>
      </c>
      <c r="H85" s="2796">
        <f>IF(F50&gt;=$B$12,"✅ ATTEINT","—")</f>
        <v/>
      </c>
      <c r="I85" s="2796" t="inlineStr">
        <is>
          <t>Phase 3+ — $60K/an</t>
        </is>
      </c>
      <c r="J85" s="2796">
        <f>IFERROR(F50*0.04/12,0)</f>
        <v/>
      </c>
      <c r="K85" s="2455" t="n"/>
      <c r="L85" s="2788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8" customHeight="1" s="1666">
      <c r="A86" s="2788" t="n"/>
      <c r="B86" s="2793" t="inlineStr">
        <is>
          <t>2058</t>
        </is>
      </c>
      <c r="C86" s="2797" t="n">
        <v>66</v>
      </c>
      <c r="D86" s="2797">
        <f>$B$7</f>
        <v/>
      </c>
      <c r="E86" s="2797">
        <f>(E50+$B$7)*(1+$B$9)</f>
        <v/>
      </c>
      <c r="F86" s="2797">
        <f>(F50+$B$7)*(1+$B$10)</f>
        <v/>
      </c>
      <c r="G86" s="2797">
        <f>(G50+$B$7)*(1+$B$11)</f>
        <v/>
      </c>
      <c r="H86" s="2797">
        <f>IF(F51&gt;=$B$12,"✅ ATTEINT","—")</f>
        <v/>
      </c>
      <c r="I86" s="2797" t="inlineStr">
        <is>
          <t>Phase 3+ — $60K/an</t>
        </is>
      </c>
      <c r="J86" s="2797">
        <f>IFERROR(F51*0.04,0)</f>
        <v/>
      </c>
      <c r="K86" s="2458" t="n"/>
      <c r="L86" s="2788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8" customHeight="1" s="1666">
      <c r="A87" s="2788" t="n"/>
      <c r="B87" s="2795" t="inlineStr">
        <is>
          <t>2059</t>
        </is>
      </c>
      <c r="C87" s="2796" t="n">
        <v>67</v>
      </c>
      <c r="D87" s="2796">
        <f>$B$7</f>
        <v/>
      </c>
      <c r="E87" s="2796">
        <f>(E51+$B$7)*(1+$B$9)</f>
        <v/>
      </c>
      <c r="F87" s="2796">
        <f>(F51+$B$7)*(1+$B$10)</f>
        <v/>
      </c>
      <c r="G87" s="2796">
        <f>(G51+$B$7)*(1+$B$11)</f>
        <v/>
      </c>
      <c r="H87" s="2796">
        <f>IF(F52&gt;=$B$12,"✅ ATTEINT","—")</f>
        <v/>
      </c>
      <c r="I87" s="2796" t="inlineStr">
        <is>
          <t>Phase 3+ — $60K/an</t>
        </is>
      </c>
      <c r="J87" s="2796">
        <f>IFERROR(F52*0.04,0)</f>
        <v/>
      </c>
      <c r="K87" s="2455" t="n"/>
      <c r="L87" s="2788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8" customHeight="1" s="1666">
      <c r="A88" s="2788" t="n"/>
      <c r="B88" s="2793" t="inlineStr">
        <is>
          <t>2060</t>
        </is>
      </c>
      <c r="C88" s="2797" t="n">
        <v>68</v>
      </c>
      <c r="D88" s="2797">
        <f>$B$7</f>
        <v/>
      </c>
      <c r="E88" s="2797">
        <f>(E52+$B$7)*(1+$B$9)</f>
        <v/>
      </c>
      <c r="F88" s="2797">
        <f>(F52+$B$7)*(1+$B$10)</f>
        <v/>
      </c>
      <c r="G88" s="2797">
        <f>(G52+$B$7)*(1+$B$11)</f>
        <v/>
      </c>
      <c r="H88" s="2797">
        <f>IF(F53&gt;=$B$12,"✅ ATTEINT","—")</f>
        <v/>
      </c>
      <c r="I88" s="2797" t="inlineStr">
        <is>
          <t>Phase 3+ — $60K/an</t>
        </is>
      </c>
      <c r="J88" s="2797">
        <f>IFERROR(F53*0.04,0)</f>
        <v/>
      </c>
      <c r="K88" s="2458" t="n"/>
      <c r="L88" s="2788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8" customHeight="1" s="1666">
      <c r="A89" s="2788" t="n"/>
      <c r="B89" s="2795" t="inlineStr">
        <is>
          <t>2061</t>
        </is>
      </c>
      <c r="C89" s="2796" t="n">
        <v>69</v>
      </c>
      <c r="D89" s="2796">
        <f>$B$7</f>
        <v/>
      </c>
      <c r="E89" s="2796">
        <f>IF(E88&lt;$B$12,"—","✅ ATTEINT")</f>
        <v/>
      </c>
      <c r="F89" s="2796">
        <f>IF(F88&lt;$B$12,"—","✅ ATTEINT")</f>
        <v/>
      </c>
      <c r="G89" s="2796">
        <f>IF(G88&lt;$B$12,"—","✅ ATTEINT")</f>
        <v/>
      </c>
      <c r="H89" s="2796">
        <f>IF(F54&gt;=$B$12,"✅ ATTEINT","—")</f>
        <v/>
      </c>
      <c r="I89" s="2796" t="inlineStr">
        <is>
          <t>Phase 3+ — $60K/an</t>
        </is>
      </c>
      <c r="J89" s="2796">
        <f>IFERROR(F54*0.04,0)</f>
        <v/>
      </c>
      <c r="K89" s="2455" t="n"/>
      <c r="L89" s="2788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8" customHeight="1" s="1666">
      <c r="A90" s="2788" t="n"/>
      <c r="B90" s="2793" t="inlineStr">
        <is>
          <t>2062</t>
        </is>
      </c>
      <c r="C90" s="2797" t="n">
        <v>70</v>
      </c>
      <c r="D90" s="2797">
        <f>$B$7</f>
        <v/>
      </c>
      <c r="E90" s="2797">
        <f>(E54+$B$7)*(1+$B$9)</f>
        <v/>
      </c>
      <c r="F90" s="2797">
        <f>(F54+$B$7)*(1+$B$10)</f>
        <v/>
      </c>
      <c r="G90" s="2797">
        <f>(G54+$B$7)*(1+$B$11)</f>
        <v/>
      </c>
      <c r="H90" s="2797">
        <f>IF(F55&gt;=$B$12,"✅ ATTEINT","—")</f>
        <v/>
      </c>
      <c r="I90" s="2797" t="inlineStr">
        <is>
          <t>Phase 3+ — $60K/an</t>
        </is>
      </c>
      <c r="J90" s="2797">
        <f>IFERROR(F55*0.04,0)</f>
        <v/>
      </c>
      <c r="K90" s="2458" t="n"/>
      <c r="L90" s="2788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8" customHeight="1" s="1666">
      <c r="A91" s="2788" t="n"/>
      <c r="B91" s="2795" t="inlineStr">
        <is>
          <t>2063</t>
        </is>
      </c>
      <c r="C91" s="2796" t="n">
        <v>71</v>
      </c>
      <c r="D91" s="2796">
        <f>$B$7</f>
        <v/>
      </c>
      <c r="E91" s="2796">
        <f>(E55+$B$7)*(1+$B$9)</f>
        <v/>
      </c>
      <c r="F91" s="2796">
        <f>(F55+$B$7)*(1+$B$10)</f>
        <v/>
      </c>
      <c r="G91" s="2796">
        <f>(G55+$B$7)*(1+$B$11)</f>
        <v/>
      </c>
      <c r="H91" s="2796">
        <f>IF(F56&gt;=$B$12,"✅ ATTEINT","—")</f>
        <v/>
      </c>
      <c r="I91" s="2796" t="inlineStr">
        <is>
          <t>Phase 3+ — $60K/an</t>
        </is>
      </c>
      <c r="J91" s="2796">
        <f>IFERROR(F56*0.04,0)</f>
        <v/>
      </c>
      <c r="K91" s="2455" t="n"/>
      <c r="L91" s="2788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8" customHeight="1" s="1666">
      <c r="A92" s="2788" t="n"/>
      <c r="B92" s="2793" t="inlineStr">
        <is>
          <t>2064</t>
        </is>
      </c>
      <c r="C92" s="2797" t="n">
        <v>72</v>
      </c>
      <c r="D92" s="2797">
        <f>$B$7</f>
        <v/>
      </c>
      <c r="E92" s="2797">
        <f>(E56+$B$7)*(1+$B$9)</f>
        <v/>
      </c>
      <c r="F92" s="2797">
        <f>(F56+$B$7)*(1+$B$10)</f>
        <v/>
      </c>
      <c r="G92" s="2797">
        <f>(G56+$B$7)*(1+$B$11)</f>
        <v/>
      </c>
      <c r="H92" s="2797">
        <f>IF(F57&gt;=$B$12,"✅ ATTEINT","—")</f>
        <v/>
      </c>
      <c r="I92" s="2797" t="inlineStr">
        <is>
          <t>Phase 3+ — $60K/an</t>
        </is>
      </c>
      <c r="J92" s="2797">
        <f>IFERROR(F57*0.04,0)</f>
        <v/>
      </c>
      <c r="K92" s="2458" t="n"/>
      <c r="L92" s="2788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8" customHeight="1" s="1666">
      <c r="A93" s="2788" t="n"/>
      <c r="B93" s="2795" t="inlineStr">
        <is>
          <t>2065</t>
        </is>
      </c>
      <c r="C93" s="2796" t="n">
        <v>73</v>
      </c>
      <c r="D93" s="2796">
        <f>$B$7</f>
        <v/>
      </c>
      <c r="E93" s="2796">
        <f>(E57+$B$7)*(1+$B$9)</f>
        <v/>
      </c>
      <c r="F93" s="2796">
        <f>(F57+$B$7)*(1+$B$10)</f>
        <v/>
      </c>
      <c r="G93" s="2796">
        <f>(G57+$B$7)*(1+$B$11)</f>
        <v/>
      </c>
      <c r="H93" s="2796">
        <f>IF(F58&gt;=$B$12,"✅ ATTEINT","—")</f>
        <v/>
      </c>
      <c r="I93" s="2796" t="inlineStr">
        <is>
          <t>Phase 3+ — $60K/an</t>
        </is>
      </c>
      <c r="J93" s="2796">
        <f>IFERROR(F58*0.04,0)</f>
        <v/>
      </c>
      <c r="K93" s="2455" t="n"/>
      <c r="L93" s="2788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8" customHeight="1" s="1666">
      <c r="A94" s="2788" t="n"/>
      <c r="B94" s="2776" t="n"/>
      <c r="C94" s="2800" t="n"/>
      <c r="D94" s="2776" t="n"/>
      <c r="E94" s="2776" t="n"/>
      <c r="F94" s="2776" t="n"/>
      <c r="G94" s="2776" t="n"/>
      <c r="H94" s="2776" t="n"/>
      <c r="I94" s="2788" t="n"/>
      <c r="J94" s="2788" t="n"/>
      <c r="K94" s="2788" t="n"/>
      <c r="L94" s="2788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8" customHeight="1" s="1666">
      <c r="A95" s="2813" t="inlineStr">
        <is>
          <t>🎯  RÉSUMÉ — À 65 ANS</t>
        </is>
      </c>
      <c r="J95" s="2363" t="n"/>
      <c r="K95" s="2455" t="n"/>
      <c r="L95" s="2788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8" customHeight="1" s="1666">
      <c r="A96" s="2789" t="n"/>
      <c r="B96" s="2814" t="inlineStr">
        <is>
          <t>📊  RÉSUMÉ — Quand est-ce que j'atteins $2.1M?</t>
        </is>
      </c>
      <c r="C96" s="2815" t="n"/>
      <c r="D96" s="2797">
        <f>E50</f>
        <v/>
      </c>
      <c r="E96" s="2815" t="n"/>
      <c r="F96" s="2815" t="n"/>
      <c r="G96" s="2815" t="n"/>
      <c r="H96" s="2815" t="n"/>
      <c r="I96" s="2458" t="n"/>
      <c r="J96" s="2458" t="n"/>
      <c r="K96" s="2458" t="n"/>
      <c r="L96" s="2788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8" customHeight="1" s="1666">
      <c r="A97" s="2789" t="n"/>
      <c r="B97" s="2816" t="inlineStr">
        <is>
          <t>Scénario PESSIMISTE (6%/an)</t>
        </is>
      </c>
      <c r="C97" s="2817">
        <f t="array" ref="C97:C97">IFERROR(INDEX(B19:B58,MATCH(TRUE(),E19:E58&gt;=$B$12,0)),"Après 2065")</f>
        <v/>
      </c>
      <c r="D97" s="2818" t="inlineStr">
        <is>
          <t>Valeur projetée →</t>
        </is>
      </c>
      <c r="E97" s="2819">
        <f t="array" ref="E97:E97">IFERROR(INDEX(E19:E58,MATCH(TRUE(),E19:E58&gt;=$B$12,0)),0)</f>
        <v/>
      </c>
      <c r="F97" s="2820" t="inlineStr">
        <is>
          <t>—</t>
        </is>
      </c>
      <c r="G97" s="2821" t="n"/>
      <c r="H97" s="2821" t="n"/>
      <c r="I97" s="2455" t="n"/>
      <c r="J97" s="2455" t="n"/>
      <c r="K97" s="2455" t="n"/>
      <c r="L97" s="2788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8" customHeight="1" s="1666">
      <c r="A98" s="2789" t="n"/>
      <c r="B98" s="2822" t="inlineStr">
        <is>
          <t>Scénario RÉALISTE (8%/an)</t>
        </is>
      </c>
      <c r="C98" s="2823">
        <f t="array" ref="C98:C98">IFERROR(INDEX(B19:B58,MATCH(TRUE(),F19:F58&gt;=$B$12,0)),"Après 2065")</f>
        <v/>
      </c>
      <c r="D98" s="2824" t="inlineStr">
        <is>
          <t>Valeur projetée →</t>
        </is>
      </c>
      <c r="E98" s="2825">
        <f t="array" ref="E98:E98">IFERROR(INDEX(F19:F58,MATCH(TRUE(),F19:F58&gt;=$B$12,0)),0)</f>
        <v/>
      </c>
      <c r="F98" s="2826" t="inlineStr">
        <is>
          <t>—</t>
        </is>
      </c>
      <c r="G98" s="2463" t="n"/>
      <c r="H98" s="2463" t="n"/>
      <c r="I98" s="2458" t="n"/>
      <c r="J98" s="2458" t="n"/>
      <c r="K98" s="2458" t="n"/>
      <c r="L98" s="2788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8" customHeight="1" s="1666">
      <c r="A99" s="2789" t="n"/>
      <c r="B99" s="2827" t="inlineStr">
        <is>
          <t>Scénario OPTIMISTE (10%/an)</t>
        </is>
      </c>
      <c r="C99" s="2828">
        <f t="array" ref="C99:C99">IFERROR(INDEX(B19:B58,MATCH(TRUE(),G19:G58&gt;=$B$12,0)),"Après 2065")</f>
        <v/>
      </c>
      <c r="D99" s="2818" t="inlineStr">
        <is>
          <t>Valeur projetée →</t>
        </is>
      </c>
      <c r="E99" s="2829">
        <f t="array" ref="E99:E99">IFERROR(INDEX(G19:G58,MATCH(TRUE(),G19:G58&gt;=$B$12,0)),0)</f>
        <v/>
      </c>
      <c r="F99" s="2830" t="inlineStr">
        <is>
          <t>—</t>
        </is>
      </c>
      <c r="G99" s="2831" t="n"/>
      <c r="H99" s="2831" t="n"/>
      <c r="I99" s="2455" t="n"/>
      <c r="J99" s="2455" t="n"/>
      <c r="K99" s="2455" t="n"/>
      <c r="L99" s="2788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4.25" customHeight="1" s="1666">
      <c r="A100" s="2788" t="n"/>
      <c r="B100" s="2832" t="inlineStr">
        <is>
          <t>📈  PROJECTION FI — SCÉNARIOS RÉELS  ·  Avec et Sans Maison 2030  ·  Impact modélisé précisément</t>
        </is>
      </c>
      <c r="C100" s="2833" t="n"/>
      <c r="D100" s="2833">
        <f>IF(F50&gt;=$B$12,"✅ OUI - OBJECTIF DÉPASSÉ!","❌ DÉFICIT: $"&amp;TEXT($B$12-F50,"#,##0"))</f>
        <v/>
      </c>
      <c r="E100" s="2833" t="n"/>
      <c r="F100" s="2833" t="n"/>
      <c r="G100" s="2833" t="n"/>
      <c r="H100" s="2833" t="n"/>
      <c r="I100" s="2833" t="n"/>
      <c r="J100" s="2833" t="n"/>
      <c r="K100" s="2833" t="n"/>
      <c r="L100" s="2834" t="n"/>
      <c r="M100" s="1777" t="n"/>
      <c r="N100" s="1777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5" customHeight="1" s="1666">
      <c r="A101" s="2789" t="n"/>
      <c r="B101" s="2835" t="inlineStr">
        <is>
          <t>Scénario A (gauche) = tu achètes maison 2030 : RAP -$60K REER · $100K hors portfolio · hypothèque $1,222/mois · contributions réduites</t>
        </is>
      </c>
      <c r="C101" s="2836">
        <f>D13*0.04</f>
        <v/>
      </c>
      <c r="D101" s="2837" t="inlineStr">
        <is>
          <t>$/an</t>
        </is>
      </c>
      <c r="E101" s="2838">
        <f>D13*0.04/12</f>
        <v/>
      </c>
      <c r="F101" s="2837" t="inlineStr">
        <is>
          <t>$/mois portefeuille + RRQ →</t>
        </is>
      </c>
      <c r="G101" s="2839">
        <f>D13*0.04/12+1200</f>
        <v/>
      </c>
      <c r="H101" s="2840" t="inlineStr">
        <is>
          <t>$/mois total</t>
        </is>
      </c>
      <c r="I101" s="2788" t="n"/>
      <c r="J101" s="2788" t="n"/>
      <c r="K101" s="2788" t="n"/>
      <c r="L101" s="2788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4.25" customHeight="1" s="1666">
      <c r="A102" s="2788" t="n"/>
      <c r="B102" s="2841" t="inlineStr">
        <is>
          <t>Scénario B (droite) = tu n'achètes PAS de maison : contributions maximales maintenues · portfolio grandit sans interruption</t>
        </is>
      </c>
      <c r="C102" s="2788" t="n"/>
      <c r="D102" s="2788" t="n"/>
      <c r="E102" s="2788" t="n"/>
      <c r="F102" s="2788" t="n"/>
      <c r="G102" s="2788" t="n"/>
      <c r="H102" s="2788" t="n"/>
      <c r="I102" s="2788" t="n"/>
      <c r="J102" s="2788" t="n"/>
      <c r="K102" s="2788" t="n"/>
      <c r="L102" s="2788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4.25" customHeight="1" s="1666">
      <c r="A103" s="2842" t="inlineStr">
        <is>
          <t>🏠  IMPACT MAISON 2028 — Retrait RAP $60K + FHSA $40K = $100K</t>
        </is>
      </c>
      <c r="B103" s="2788" t="n"/>
      <c r="C103" s="2788" t="n"/>
      <c r="D103" s="2788" t="n"/>
      <c r="E103" s="2788" t="n"/>
      <c r="F103" s="2788" t="n"/>
      <c r="G103" s="2788" t="n"/>
      <c r="H103" s="2788" t="n"/>
      <c r="I103" s="2788" t="n"/>
      <c r="J103" s="2788" t="n"/>
      <c r="K103" s="2788" t="n"/>
      <c r="L103" s="2788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8.75" customHeight="1" s="1666">
      <c r="A104" s="2788" t="n"/>
      <c r="B104" s="2843" t="inlineStr">
        <is>
          <t>⚙️  PARAMÈTRES — Cellules JAUNES = modifier · Noir = calculé</t>
        </is>
      </c>
      <c r="C104" s="2844" t="inlineStr">
        <is>
          <t>Atteinte $2.1M AVEC maison</t>
        </is>
      </c>
      <c r="D104" s="2844" t="inlineStr">
        <is>
          <t>Atteinte $2.1M SANS maison</t>
        </is>
      </c>
      <c r="E104" s="2844" t="inlineStr">
        <is>
          <t>Coût d'opportunité (années)</t>
        </is>
      </c>
      <c r="F104" s="2845" t="n"/>
      <c r="G104" s="2845" t="n"/>
      <c r="H104" s="2845" t="n"/>
      <c r="I104" s="2845" t="n"/>
      <c r="J104" s="2845" t="n"/>
      <c r="K104" s="2845" t="n"/>
      <c r="L104" s="284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21.75" customHeight="1" s="1666">
      <c r="A105" s="2788" t="n"/>
      <c r="B105" s="1921" t="inlineStr">
        <is>
          <t>🚀  SCÉNARIO C — ACCÉLÉRATION  ·  Et si tu montes à $5K/mois d'ici 2028 ?</t>
        </is>
      </c>
      <c r="C105" s="2846" t="inlineStr">
        <is>
          <t>Lié PORTEFEUILLE</t>
        </is>
      </c>
      <c r="D105" s="2847">
        <f>'📈 PORTEFEUILLE'!L70</f>
        <v/>
      </c>
      <c r="E105" s="2847">
        <f>'📈 PORTEFEUILLE'!L70</f>
        <v/>
      </c>
      <c r="F105" s="2848" t="inlineStr">
        <is>
          <t>Live depuis dump</t>
        </is>
      </c>
      <c r="G105" s="2849" t="n"/>
      <c r="H105" s="2849" t="n"/>
      <c r="I105" s="2849" t="n"/>
      <c r="J105" s="2849" t="n"/>
      <c r="K105" s="2849" t="n"/>
      <c r="L105" s="2849" t="n"/>
      <c r="M105" s="1922" t="n"/>
      <c r="N105" s="1922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21.75" customHeight="1" s="1666">
      <c r="A106" s="2788" t="n"/>
      <c r="B106" s="2850" t="inlineStr">
        <is>
          <t>Hypothèse: Salaire augmente ou Nunavik prime additionnelle → contributions passent de $3,500 à $5,000/mois en 2028. Pas de maison. Comparaison vs Scénario B baseline.</t>
        </is>
      </c>
      <c r="C106" s="2850" t="inlineStr">
        <is>
          <t>$3,500/mois × 12</t>
        </is>
      </c>
      <c r="D106" s="2851" t="n">
        <v>42000</v>
      </c>
      <c r="E106" s="2851" t="n">
        <v>42000</v>
      </c>
      <c r="F106" s="2852" t="inlineStr">
        <is>
          <t>,500/mois × 12 = 2,000/an</t>
        </is>
      </c>
      <c r="G106" s="2788" t="n"/>
      <c r="H106" s="2788" t="n"/>
      <c r="I106" s="2788" t="n"/>
      <c r="J106" s="2788" t="n"/>
      <c r="K106" s="2788" t="n"/>
      <c r="L106" s="2788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21.75" customHeight="1" s="1666">
      <c r="A107" s="2788" t="n"/>
      <c r="B107" s="2853" t="inlineStr">
        <is>
          <t>Contributions 2030+ AVEC maison</t>
        </is>
      </c>
      <c r="C107" s="2850" t="inlineStr">
        <is>
          <t>Après hypoth. + RAP</t>
        </is>
      </c>
      <c r="D107" s="2851" t="n">
        <v>24000</v>
      </c>
      <c r="E107" s="2854" t="inlineStr">
        <is>
          <t>↑ Environ 1-2 ans de délai selon scénario</t>
        </is>
      </c>
      <c r="F107" s="2852" t="inlineStr">
        <is>
          <t>≈ $2,000/mois net après maison</t>
        </is>
      </c>
      <c r="G107" s="2788" t="n"/>
      <c r="H107" s="2788" t="n"/>
      <c r="I107" s="2788" t="n"/>
      <c r="J107" s="2788" t="n"/>
      <c r="K107" s="2788" t="n"/>
      <c r="L107" s="2788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4.25" customHeight="1" s="1666">
      <c r="A108" s="2788" t="n"/>
      <c r="B108" s="2035" t="inlineStr">
        <is>
          <t>PARAMÈTRE</t>
        </is>
      </c>
      <c r="C108" s="2731" t="inlineStr">
        <is>
          <t>SCÉNARIO B
(baseline $3,500)</t>
        </is>
      </c>
      <c r="D108" s="2026" t="inlineStr">
        <is>
          <t>SCÉNARIO C
(accéléré $5,000)</t>
        </is>
      </c>
      <c r="E108" s="2855" t="n">
        <v>60000</v>
      </c>
      <c r="F108" s="2852" t="inlineStr">
        <is>
          <t>≈ $4,500/mois optimiste LT</t>
        </is>
      </c>
      <c r="G108" s="2788" t="n"/>
      <c r="H108" s="2788" t="n"/>
      <c r="I108" s="2788" t="n"/>
      <c r="J108" s="2788" t="n"/>
      <c r="K108" s="2788" t="n"/>
      <c r="L108" s="2788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4.25" customHeight="1" s="1666">
      <c r="A109" s="2856" t="inlineStr">
        <is>
          <t>📊  SENSIBILITÉ TAUX — Âge d'atteinte $2.1M selon rendement</t>
        </is>
      </c>
      <c r="B109" s="1886" t="inlineStr">
        <is>
          <t>Contributions 2026-2027</t>
        </is>
      </c>
      <c r="C109" s="2857" t="inlineStr">
        <is>
          <t>$3,500/mois = $42K/an</t>
        </is>
      </c>
      <c r="D109" s="2858" t="inlineStr">
        <is>
          <t>$3,500/mois = $42K/an</t>
        </is>
      </c>
      <c r="E109" s="2859" t="inlineStr">
        <is>
          <t>—</t>
        </is>
      </c>
      <c r="F109" s="2852" t="inlineStr">
        <is>
          <t>Identique pour comparaison équitable</t>
        </is>
      </c>
      <c r="G109" s="2788" t="n"/>
      <c r="H109" s="2788" t="n"/>
      <c r="I109" s="2788" t="n"/>
      <c r="J109" s="2788" t="n"/>
      <c r="K109" s="2788" t="n"/>
      <c r="L109" s="2788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8.75" customHeight="1" s="1666">
      <c r="A110" s="2788" t="n"/>
      <c r="B110" s="1886" t="inlineStr">
        <is>
          <t>Contributions 2028+</t>
        </is>
      </c>
      <c r="C110" s="2857" t="inlineStr">
        <is>
          <t>$3,500/mois = $42K/an</t>
        </is>
      </c>
      <c r="D110" s="2858" t="inlineStr">
        <is>
          <t>$5,000/mois = $60K/an</t>
        </is>
      </c>
      <c r="E110" s="2860" t="inlineStr">
        <is>
          <t>+$18K/an</t>
        </is>
      </c>
      <c r="F110" s="2861" t="n"/>
      <c r="G110" s="2788" t="n"/>
      <c r="H110" s="2788" t="n"/>
      <c r="I110" s="2788" t="n"/>
      <c r="J110" s="2788" t="n"/>
      <c r="K110" s="2788" t="n"/>
      <c r="L110" s="2788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4.25" customHeight="1" s="1666">
      <c r="A111" s="2788" t="n"/>
      <c r="B111" s="2862" t="inlineStr">
        <is>
          <t>Portfolio @2035 (8%)</t>
        </is>
      </c>
      <c r="C111" s="2857" t="inlineStr">
        <is>
          <t>~$885K</t>
        </is>
      </c>
      <c r="D111" s="2858" t="inlineStr">
        <is>
          <t>~$1,050K (estimé)</t>
        </is>
      </c>
      <c r="E111" s="2860" t="inlineStr">
        <is>
          <t>+$165K</t>
        </is>
      </c>
      <c r="F111" s="2863" t="n"/>
      <c r="G111" s="2788" t="n"/>
      <c r="H111" s="2788" t="n"/>
      <c r="I111" s="2788" t="n"/>
      <c r="J111" s="2788" t="n"/>
      <c r="K111" s="2788" t="n"/>
      <c r="L111" s="2788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4.25" customHeight="1" s="1666">
      <c r="A112" s="2788" t="n"/>
      <c r="B112" s="2862" t="inlineStr">
        <is>
          <t>Portfolio @2040 (8%)</t>
        </is>
      </c>
      <c r="C112" s="2857" t="inlineStr">
        <is>
          <t>~$1,617K</t>
        </is>
      </c>
      <c r="D112" s="2864" t="inlineStr">
        <is>
          <t>~$2,050K (estimé)</t>
        </is>
      </c>
      <c r="E112" s="2865" t="inlineStr">
        <is>
          <t>+$433K</t>
        </is>
      </c>
      <c r="F112" s="2863" t="n"/>
      <c r="G112" s="2788" t="n"/>
      <c r="H112" s="2788" t="n"/>
      <c r="I112" s="2788" t="n"/>
      <c r="J112" s="2788" t="n"/>
      <c r="K112" s="2788" t="n"/>
      <c r="L112" s="2788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4.25" customHeight="1" s="1666">
      <c r="A113" s="2788" t="n"/>
      <c r="B113" s="2862" t="inlineStr">
        <is>
          <t>FI $2.1M atteint (8%)</t>
        </is>
      </c>
      <c r="C113" s="2857" t="inlineStr">
        <is>
          <t>2043 (âge 51)</t>
        </is>
      </c>
      <c r="D113" s="2866" t="n">
        <v>60000</v>
      </c>
      <c r="E113" s="2865" t="inlineStr">
        <is>
          <t>-3 ans</t>
        </is>
      </c>
      <c r="F113" s="2867" t="inlineStr">
        <is>
          <t>Retire $60K REER → hors portfolio temporairement</t>
        </is>
      </c>
      <c r="G113" s="2788" t="n"/>
      <c r="H113" s="2788" t="n"/>
      <c r="I113" s="2788" t="n"/>
      <c r="J113" s="2788" t="n"/>
      <c r="K113" s="2788" t="n"/>
      <c r="L113" s="2788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4.25" customHeight="1" s="1666">
      <c r="A114" s="2788" t="n"/>
      <c r="B114" s="2862" t="inlineStr">
        <is>
          <t>Portfolio @FI (8%)</t>
        </is>
      </c>
      <c r="C114" s="2857" t="inlineStr">
        <is>
          <t>$2.1M</t>
        </is>
      </c>
      <c r="D114" s="2866" t="inlineStr">
        <is>
          <t>$2.1M+</t>
        </is>
      </c>
      <c r="E114" s="2868" t="inlineStr">
        <is>
          <t>≥ plancher</t>
        </is>
      </c>
      <c r="F114" s="2863" t="inlineStr">
        <is>
          <t>Réintègre dans REER (compté dans contrib)</t>
        </is>
      </c>
      <c r="G114" s="2788" t="n"/>
      <c r="H114" s="2788" t="n"/>
      <c r="I114" s="2788" t="n"/>
      <c r="J114" s="2788" t="n"/>
      <c r="K114" s="2788" t="n"/>
      <c r="L114" s="2788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4.25" customHeight="1" s="1666">
      <c r="A115" s="2788" t="n"/>
      <c r="B115" s="2862" t="inlineStr">
        <is>
          <t>Verdict</t>
        </is>
      </c>
      <c r="C115" s="2857" t="inlineStr">
        <is>
          <t>✅ Solide</t>
        </is>
      </c>
      <c r="D115" s="2866" t="inlineStr">
        <is>
          <t>🚀 FI à 48 — 3 ans plus tôt</t>
        </is>
      </c>
      <c r="E115" s="2868" t="inlineStr">
        <is>
          <t>3 ans de liberté</t>
        </is>
      </c>
      <c r="F115" s="2863" t="inlineStr">
        <is>
          <t>Depuis MAISON 2030+ tab</t>
        </is>
      </c>
      <c r="G115" s="2788" t="n"/>
      <c r="H115" s="2788" t="n"/>
      <c r="I115" s="2788" t="n"/>
      <c r="J115" s="2788" t="n"/>
      <c r="K115" s="2788" t="n"/>
      <c r="L115" s="2788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4.25" customHeight="1" s="1666">
      <c r="A116" s="2788" t="n"/>
      <c r="B116" s="2869" t="inlineStr">
        <is>
          <t>Objectif FI (plancher)</t>
        </is>
      </c>
      <c r="C116" s="2870" t="inlineStr">
        <is>
          <t>Règle 4% · $7K/mois</t>
        </is>
      </c>
      <c r="D116" s="2851" t="n">
        <v>2100000</v>
      </c>
      <c r="E116" s="2851" t="n">
        <v>2100000</v>
      </c>
      <c r="F116" s="2852" t="inlineStr">
        <is>
          <t>$2.1M = plancher, pas plafond</t>
        </is>
      </c>
      <c r="G116" s="2788" t="n"/>
      <c r="H116" s="2788" t="n"/>
      <c r="I116" s="2788" t="n"/>
      <c r="J116" s="2788" t="n"/>
      <c r="K116" s="2788" t="n"/>
      <c r="L116" s="2788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39.75" customHeight="1" s="1666">
      <c r="A117" s="2788" t="n"/>
      <c r="B117" s="2871" t="inlineStr">
        <is>
          <t>💡 LEVIER CLÉ : Chaque $500/mois de contribution supplémentaire ≈ 0.5-1 an de FI avancé. À $140K salaire, $5K/mois = 43% du salaire net estimé. Faisable si Nunavik prime augmente ou si dépenses restent stables.</t>
        </is>
      </c>
      <c r="C117" s="2788" t="n"/>
      <c r="D117" s="2788" t="n"/>
      <c r="E117" s="2788" t="n"/>
      <c r="F117" s="2788" t="n"/>
      <c r="G117" s="2788" t="n"/>
      <c r="H117" s="2788" t="n"/>
      <c r="I117" s="2788" t="n"/>
      <c r="J117" s="2788" t="n"/>
      <c r="K117" s="2788" t="n"/>
      <c r="L117" s="2788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4.25" customHeight="1" s="1666">
      <c r="A118" s="2788" t="n"/>
      <c r="B118" s="2788" t="n"/>
      <c r="C118" s="2788" t="n"/>
      <c r="D118" s="2788" t="n"/>
      <c r="E118" s="2788" t="n"/>
      <c r="F118" s="2788" t="n"/>
      <c r="G118" s="2788" t="n"/>
      <c r="H118" s="2788" t="n"/>
      <c r="I118" s="2788" t="n"/>
      <c r="J118" s="2788" t="n"/>
      <c r="K118" s="2788" t="n"/>
      <c r="L118" s="2788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4.25" customHeight="1" s="1666">
      <c r="A119" s="2788" t="n"/>
      <c r="B119" s="2788" t="n"/>
      <c r="C119" s="2788" t="n"/>
      <c r="D119" s="2872" t="inlineStr">
        <is>
          <t>🏠  SCÉNARIO A — AVEC MAISON 2030</t>
        </is>
      </c>
      <c r="E119" s="2873" t="n"/>
      <c r="F119" s="2873" t="n"/>
      <c r="G119" s="2873" t="n"/>
      <c r="H119" s="2788" t="n"/>
      <c r="I119" s="2874" t="inlineStr">
        <is>
          <t>📈  SCÉNARIO B — SANS MAISON</t>
        </is>
      </c>
      <c r="J119" s="2875" t="n"/>
      <c r="K119" s="2875" t="n"/>
      <c r="L119" s="2875" t="n"/>
      <c r="M119" s="2876" t="inlineStr">
        <is>
          <t>📊 ANALYSE</t>
        </is>
      </c>
      <c r="N119" s="1777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4.25" customHeight="1" s="1666">
      <c r="A120" s="2788" t="n"/>
      <c r="B120" s="2877" t="inlineStr">
        <is>
          <t>ANNÉE</t>
        </is>
      </c>
      <c r="C120" s="2877" t="inlineStr">
        <is>
          <t>ÂGE</t>
        </is>
      </c>
      <c r="D120" s="2877" t="inlineStr">
        <is>
          <t>CONTRIB/AN</t>
        </is>
      </c>
      <c r="E120" s="2877" t="inlineStr">
        <is>
          <t>VAL 8%
RÉALISTE</t>
        </is>
      </c>
      <c r="F120" s="2877" t="inlineStr">
        <is>
          <t>VAL 6%
PESSIMISTE</t>
        </is>
      </c>
      <c r="G120" s="2877" t="inlineStr">
        <is>
          <t>VAL 10%
OPTIMISTE</t>
        </is>
      </c>
      <c r="H120" s="2877" t="inlineStr">
        <is>
          <t>│</t>
        </is>
      </c>
      <c r="I120" s="2877" t="inlineStr">
        <is>
          <t>CONTRIB/AN</t>
        </is>
      </c>
      <c r="J120" s="2877" t="inlineStr">
        <is>
          <t>VAL 8%
RÉALISTE</t>
        </is>
      </c>
      <c r="K120" s="2877" t="inlineStr">
        <is>
          <t>VAL 6%
PESSIMISTE</t>
        </is>
      </c>
      <c r="L120" s="2877" t="inlineStr">
        <is>
          <t>VAL 10%
OPTIMISTE</t>
        </is>
      </c>
      <c r="M120" s="2877" t="inlineStr">
        <is>
          <t>AVANTAGE
B vs A</t>
        </is>
      </c>
      <c r="N120" s="2877" t="inlineStr">
        <is>
          <t>STATUT
OBJECTIF</t>
        </is>
      </c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4.25" customHeight="1" s="1666">
      <c r="A121" s="2788" t="n"/>
      <c r="B121" s="2878" t="n">
        <v>2026</v>
      </c>
      <c r="C121" s="2879" t="n">
        <v>34</v>
      </c>
      <c r="D121" s="2880">
        <f>$D$106</f>
        <v/>
      </c>
      <c r="E121" s="2881">
        <f>($D$105)*(1+$B$10)+$D$106</f>
        <v/>
      </c>
      <c r="F121" s="2880">
        <f>($D$105)*(1+$B$9)+$D$106</f>
        <v/>
      </c>
      <c r="G121" s="2880">
        <f>($D$105)*(1+$B$11)+$D$106</f>
        <v/>
      </c>
      <c r="H121" s="2882" t="inlineStr">
        <is>
          <t>│</t>
        </is>
      </c>
      <c r="I121" s="2883">
        <f>$E$106</f>
        <v/>
      </c>
      <c r="J121" s="2884">
        <f>($E$105)*(1+$B$10)+$E$106</f>
        <v/>
      </c>
      <c r="K121" s="2883">
        <f>($E$105)*(1+$B$9)+$E$106</f>
        <v/>
      </c>
      <c r="L121" s="2883">
        <f>($E$105)*(1+$B$11)+$E$106</f>
        <v/>
      </c>
      <c r="M121" s="2885">
        <f>J121-E121</f>
        <v/>
      </c>
      <c r="N121" s="2886">
        <f>IF(AND(E121&gt;=$D$116,J121&gt;=$D$116),"✅ LES 2",IF(E121&gt;=$D$116,"🏠 A seul",IF(J121&gt;=$D$116,"📈 B seul","—")))</f>
        <v/>
      </c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4.25" customHeight="1" s="1666">
      <c r="A122" s="2788" t="n"/>
      <c r="B122" s="2878" t="n">
        <v>2027</v>
      </c>
      <c r="C122" s="2879" t="n">
        <v>35</v>
      </c>
      <c r="D122" s="2880">
        <f>$D$106</f>
        <v/>
      </c>
      <c r="E122" s="2881">
        <f>E121*(1+$B$10)+$D$106</f>
        <v/>
      </c>
      <c r="F122" s="2880">
        <f>F121*(1+$B$9)+$D$106</f>
        <v/>
      </c>
      <c r="G122" s="2880">
        <f>G121*(1+$B$11)+$D$106</f>
        <v/>
      </c>
      <c r="H122" s="2882" t="inlineStr">
        <is>
          <t>│</t>
        </is>
      </c>
      <c r="I122" s="2883">
        <f>$E$106</f>
        <v/>
      </c>
      <c r="J122" s="2884">
        <f>J121*(1+$B$10)+$E$106</f>
        <v/>
      </c>
      <c r="K122" s="2883">
        <f>K121*(1+$B$9)+$E$106</f>
        <v/>
      </c>
      <c r="L122" s="2883">
        <f>L121*(1+$B$11)+$E$106</f>
        <v/>
      </c>
      <c r="M122" s="2885">
        <f>J122-E122</f>
        <v/>
      </c>
      <c r="N122" s="2886">
        <f>IF(AND(E122&gt;=$D$116,J122&gt;=$D$116),"✅ LES 2",IF(E122&gt;=$D$116,"🏠 A seul",IF(J122&gt;=$D$116,"📈 B seul","—")))</f>
        <v/>
      </c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4.25" customHeight="1" s="1666">
      <c r="A123" s="2788" t="n"/>
      <c r="B123" s="2878" t="n">
        <v>2028</v>
      </c>
      <c r="C123" s="2879" t="n">
        <v>36</v>
      </c>
      <c r="D123" s="2880">
        <f>$D$106</f>
        <v/>
      </c>
      <c r="E123" s="2881">
        <f>E122*(1+$B$10)+$D$106</f>
        <v/>
      </c>
      <c r="F123" s="2880">
        <f>F122*(1+$B$9)+$D$106</f>
        <v/>
      </c>
      <c r="G123" s="2880">
        <f>G122*(1+$B$11)+$D$106</f>
        <v/>
      </c>
      <c r="H123" s="2882" t="inlineStr">
        <is>
          <t>│</t>
        </is>
      </c>
      <c r="I123" s="2883">
        <f>$E$106</f>
        <v/>
      </c>
      <c r="J123" s="2884">
        <f>J122*(1+$B$10)+$E$106</f>
        <v/>
      </c>
      <c r="K123" s="2883">
        <f>K122*(1+$B$9)+$E$106</f>
        <v/>
      </c>
      <c r="L123" s="2883">
        <f>L122*(1+$B$11)+$E$106</f>
        <v/>
      </c>
      <c r="M123" s="2885">
        <f>J123-E123</f>
        <v/>
      </c>
      <c r="N123" s="2886">
        <f>IF(AND(E123&gt;=$D$116,J123&gt;=$D$116),"✅ LES 2",IF(E123&gt;=$D$116,"🏠 A seul",IF(J123&gt;=$D$116,"📈 B seul","—")))</f>
        <v/>
      </c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4.25" customHeight="1" s="1666">
      <c r="A124" s="2788" t="n"/>
      <c r="B124" s="2878" t="n">
        <v>2029</v>
      </c>
      <c r="C124" s="2879" t="n">
        <v>37</v>
      </c>
      <c r="D124" s="2880">
        <f>$D$106</f>
        <v/>
      </c>
      <c r="E124" s="2881">
        <f>E123*(1+$B$10)+$D$106</f>
        <v/>
      </c>
      <c r="F124" s="2880">
        <f>F123*(1+$B$9)+$D$106</f>
        <v/>
      </c>
      <c r="G124" s="2880">
        <f>G123*(1+$B$11)+$D$106</f>
        <v/>
      </c>
      <c r="H124" s="2882" t="inlineStr">
        <is>
          <t>│</t>
        </is>
      </c>
      <c r="I124" s="2883">
        <f>$E$106</f>
        <v/>
      </c>
      <c r="J124" s="2884">
        <f>J123*(1+$B$10)+$E$106</f>
        <v/>
      </c>
      <c r="K124" s="2883">
        <f>K123*(1+$B$9)+$E$106</f>
        <v/>
      </c>
      <c r="L124" s="2883">
        <f>L123*(1+$B$11)+$E$106</f>
        <v/>
      </c>
      <c r="M124" s="2885">
        <f>J124-E124</f>
        <v/>
      </c>
      <c r="N124" s="2886">
        <f>IF(AND(E124&gt;=$D$116,J124&gt;=$D$116),"✅ LES 2",IF(E124&gt;=$D$116,"🏠 A seul",IF(J124&gt;=$D$116,"📈 B seul","—")))</f>
        <v/>
      </c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4.25" customHeight="1" s="1666">
      <c r="A125" s="2788" t="n"/>
      <c r="B125" s="2887" t="inlineStr">
        <is>
          <t>2030 🏠</t>
        </is>
      </c>
      <c r="C125" s="2879" t="n">
        <v>38</v>
      </c>
      <c r="D125" s="2888">
        <f>$D$107</f>
        <v/>
      </c>
      <c r="E125" s="2889">
        <f>(E124-$D$113)*(1+$B$10)+$D$107</f>
        <v/>
      </c>
      <c r="F125" s="2888">
        <f>(F124-$D$113)*(1+$B$9)+$D$107</f>
        <v/>
      </c>
      <c r="G125" s="2888">
        <f>(G124-$D$113)*(1+$B$11)+$D$107</f>
        <v/>
      </c>
      <c r="H125" s="2882" t="inlineStr">
        <is>
          <t>│</t>
        </is>
      </c>
      <c r="I125" s="2890">
        <f>$E$108</f>
        <v/>
      </c>
      <c r="J125" s="2891">
        <f>J124*(1+$B$10)+$E$108</f>
        <v/>
      </c>
      <c r="K125" s="2890">
        <f>K124*(1+$B$9)+$E$108</f>
        <v/>
      </c>
      <c r="L125" s="2890">
        <f>L124*(1+$B$11)+$E$108</f>
        <v/>
      </c>
      <c r="M125" s="2892">
        <f>J125-E125</f>
        <v/>
      </c>
      <c r="N125" s="2893">
        <f>IF(AND(E125&gt;=$D$116,J125&gt;=$D$116),"✅ LES 2",IF(E125&gt;=$D$116,"🏠 A seul",IF(J125&gt;=$D$116,"📈 B seul","—")))</f>
        <v/>
      </c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B126" s="2878" t="n">
        <v>2031</v>
      </c>
      <c r="C126" s="2879" t="n">
        <v>39</v>
      </c>
      <c r="D126" s="2880">
        <f>$D$107</f>
        <v/>
      </c>
      <c r="E126" s="2881">
        <f>E125*(1+$B$10)+$D$107</f>
        <v/>
      </c>
      <c r="F126" s="2880">
        <f>F125*(1+$B$9)+$D$107</f>
        <v/>
      </c>
      <c r="G126" s="2880">
        <f>G125*(1+$B$11)+$D$107</f>
        <v/>
      </c>
      <c r="H126" s="2882" t="inlineStr">
        <is>
          <t>│</t>
        </is>
      </c>
      <c r="I126" s="2883">
        <f>$E$108</f>
        <v/>
      </c>
      <c r="J126" s="2884">
        <f>J125*(1+$B$10)+$E$108</f>
        <v/>
      </c>
      <c r="K126" s="2883">
        <f>K125*(1+$B$9)+$E$108</f>
        <v/>
      </c>
      <c r="L126" s="2883">
        <f>L125*(1+$B$11)+$E$108</f>
        <v/>
      </c>
      <c r="M126" s="2885">
        <f>J126-E126</f>
        <v/>
      </c>
      <c r="N126" s="2886">
        <f>IF(AND(E126&gt;=$D$116,J126&gt;=$D$116),"✅ LES 2",IF(E126&gt;=$D$116,"🏠 A seul",IF(J126&gt;=$D$116,"📈 B seul","—")))</f>
        <v/>
      </c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B127" s="2878" t="n">
        <v>2032</v>
      </c>
      <c r="C127" s="2879" t="n">
        <v>40</v>
      </c>
      <c r="D127" s="2880">
        <f>$D$107</f>
        <v/>
      </c>
      <c r="E127" s="2881">
        <f>E126*(1+$B$10)+$D$107</f>
        <v/>
      </c>
      <c r="F127" s="2880">
        <f>F126*(1+$B$9)+$D$107</f>
        <v/>
      </c>
      <c r="G127" s="2880">
        <f>G126*(1+$B$11)+$D$107</f>
        <v/>
      </c>
      <c r="H127" s="2882" t="inlineStr">
        <is>
          <t>│</t>
        </is>
      </c>
      <c r="I127" s="2883">
        <f>$E$108</f>
        <v/>
      </c>
      <c r="J127" s="2884">
        <f>J126*(1+$B$10)+$E$108</f>
        <v/>
      </c>
      <c r="K127" s="2883">
        <f>K126*(1+$B$9)+$E$108</f>
        <v/>
      </c>
      <c r="L127" s="2883">
        <f>L126*(1+$B$11)+$E$108</f>
        <v/>
      </c>
      <c r="M127" s="2885">
        <f>J127-E127</f>
        <v/>
      </c>
      <c r="N127" s="2886">
        <f>IF(AND(E127&gt;=$D$116,J127&gt;=$D$116),"✅ LES 2",IF(E127&gt;=$D$116,"🏠 A seul",IF(J127&gt;=$D$116,"📈 B seul","—")))</f>
        <v/>
      </c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9.5" customHeight="1" s="1666">
      <c r="A128" s="2759" t="inlineStr">
        <is>
          <t>💡  RECALIBRAGE OBJECTIF RÉALISTE  ·  Inflation incluse</t>
        </is>
      </c>
      <c r="B128" s="2878" t="n">
        <v>2033</v>
      </c>
      <c r="C128" s="2879" t="n">
        <v>41</v>
      </c>
      <c r="D128" s="2880">
        <f>$D$107</f>
        <v/>
      </c>
      <c r="E128" s="2881">
        <f>E127*(1+$B$10)+$D$107</f>
        <v/>
      </c>
      <c r="F128" s="2880">
        <f>F127*(1+$B$9)+$D$107</f>
        <v/>
      </c>
      <c r="G128" s="2880">
        <f>G127*(1+$B$11)+$D$107</f>
        <v/>
      </c>
      <c r="H128" s="2882" t="inlineStr">
        <is>
          <t>│</t>
        </is>
      </c>
      <c r="I128" s="2883">
        <f>$E$108</f>
        <v/>
      </c>
      <c r="J128" s="2884">
        <f>J127*(1+$B$10)+$E$108</f>
        <v/>
      </c>
      <c r="K128" s="2883">
        <f>K127*(1+$B$9)+$E$108</f>
        <v/>
      </c>
      <c r="L128" s="2883">
        <f>L127*(1+$B$11)+$E$108</f>
        <v/>
      </c>
      <c r="M128" s="2885">
        <f>J128-E128</f>
        <v/>
      </c>
      <c r="N128" s="2886">
        <f>IF(AND(E128&gt;=$D$116,J128&gt;=$D$116),"✅ LES 2",IF(E128&gt;=$D$116,"🏠 A seul",IF(J128&gt;=$D$116,"📈 B seul","—")))</f>
        <v/>
      </c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21.75" customHeight="1" s="1666">
      <c r="A129" s="2894" t="inlineStr">
        <is>
          <t>MÉTRIQUE</t>
        </is>
      </c>
      <c r="B129" s="2878" t="n">
        <v>2034</v>
      </c>
      <c r="C129" s="2879" t="n">
        <v>42</v>
      </c>
      <c r="D129" s="2880">
        <f>$D$107</f>
        <v/>
      </c>
      <c r="E129" s="2881">
        <f>E128*(1+$B$10)+$D$107</f>
        <v/>
      </c>
      <c r="F129" s="2880">
        <f>F128*(1+$B$9)+$D$107</f>
        <v/>
      </c>
      <c r="G129" s="2880">
        <f>G128*(1+$B$11)+$D$107</f>
        <v/>
      </c>
      <c r="H129" s="2882" t="inlineStr">
        <is>
          <t>│</t>
        </is>
      </c>
      <c r="I129" s="2883">
        <f>$E$108</f>
        <v/>
      </c>
      <c r="J129" s="2884">
        <f>J128*(1+$B$10)+$E$108</f>
        <v/>
      </c>
      <c r="K129" s="2883">
        <f>K128*(1+$B$9)+$E$108</f>
        <v/>
      </c>
      <c r="L129" s="2883">
        <f>L128*(1+$B$11)+$E$108</f>
        <v/>
      </c>
      <c r="M129" s="2885">
        <f>J129-E129</f>
        <v/>
      </c>
      <c r="N129" s="2886">
        <f>IF(AND(E129&gt;=$D$116,J129&gt;=$D$116),"✅ LES 2",IF(E129&gt;=$D$116,"🏠 A seul",IF(J129&gt;=$D$116,"📈 B seul","—")))</f>
        <v/>
      </c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4.25" customHeight="1" s="1666">
      <c r="A130" s="2895" t="inlineStr">
        <is>
          <t>Objectif actuel (nominal)</t>
        </is>
      </c>
      <c r="B130" s="2878" t="n">
        <v>2035</v>
      </c>
      <c r="C130" s="2879" t="n">
        <v>43</v>
      </c>
      <c r="D130" s="2880">
        <f>$D$107</f>
        <v/>
      </c>
      <c r="E130" s="2881">
        <f>E129*(1+$B$10)+$D$107</f>
        <v/>
      </c>
      <c r="F130" s="2880">
        <f>F129*(1+$B$9)+$D$107</f>
        <v/>
      </c>
      <c r="G130" s="2880">
        <f>G129*(1+$B$11)+$D$107</f>
        <v/>
      </c>
      <c r="H130" s="2882" t="inlineStr">
        <is>
          <t>│</t>
        </is>
      </c>
      <c r="I130" s="2883">
        <f>$E$108</f>
        <v/>
      </c>
      <c r="J130" s="2884">
        <f>J129*(1+$B$10)+$E$108</f>
        <v/>
      </c>
      <c r="K130" s="2883">
        <f>K129*(1+$B$9)+$E$108</f>
        <v/>
      </c>
      <c r="L130" s="2883">
        <f>L129*(1+$B$11)+$E$108</f>
        <v/>
      </c>
      <c r="M130" s="2885">
        <f>J130-E130</f>
        <v/>
      </c>
      <c r="N130" s="2886">
        <f>IF(AND(E130&gt;=$D$116,J130&gt;=$D$116),"✅ LES 2",IF(E130&gt;=$D$116,"🏠 A seul",IF(J130&gt;=$D$116,"📈 B seul","—")))</f>
        <v/>
      </c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4.25" customHeight="1" s="1666">
      <c r="A131" s="1865" t="inlineStr">
        <is>
          <t>Inflation 30 ans @2.5%/an</t>
        </is>
      </c>
      <c r="B131" s="2878" t="n">
        <v>2036</v>
      </c>
      <c r="C131" s="2879" t="n">
        <v>44</v>
      </c>
      <c r="D131" s="2880">
        <f>$D$107</f>
        <v/>
      </c>
      <c r="E131" s="2881">
        <f>E130*(1+$B$10)+$D$107</f>
        <v/>
      </c>
      <c r="F131" s="2880">
        <f>F130*(1+$B$9)+$D$107</f>
        <v/>
      </c>
      <c r="G131" s="2880">
        <f>G130*(1+$B$11)+$D$107</f>
        <v/>
      </c>
      <c r="H131" s="2882" t="inlineStr">
        <is>
          <t>│</t>
        </is>
      </c>
      <c r="I131" s="2883">
        <f>$E$108</f>
        <v/>
      </c>
      <c r="J131" s="2884">
        <f>J130*(1+$B$10)+$E$108</f>
        <v/>
      </c>
      <c r="K131" s="2883">
        <f>K130*(1+$B$9)+$E$108</f>
        <v/>
      </c>
      <c r="L131" s="2883">
        <f>L130*(1+$B$11)+$E$108</f>
        <v/>
      </c>
      <c r="M131" s="2885">
        <f>J131-E131</f>
        <v/>
      </c>
      <c r="N131" s="2886">
        <f>IF(AND(E131&gt;=$D$116,J131&gt;=$D$116),"✅ LES 2",IF(E131&gt;=$D$116,"🏠 A seul",IF(J131&gt;=$D$116,"📈 B seul","—")))</f>
        <v/>
      </c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4.25" customHeight="1" s="1666">
      <c r="A132" s="2895" t="inlineStr">
        <is>
          <t>Objectif recalibré (réel)</t>
        </is>
      </c>
      <c r="B132" s="2878" t="n">
        <v>2037</v>
      </c>
      <c r="C132" s="2879" t="n">
        <v>45</v>
      </c>
      <c r="D132" s="2880">
        <f>$D$107</f>
        <v/>
      </c>
      <c r="E132" s="2881">
        <f>E131*(1+$B$10)+$D$107</f>
        <v/>
      </c>
      <c r="F132" s="2880">
        <f>F131*(1+$B$9)+$D$107</f>
        <v/>
      </c>
      <c r="G132" s="2880">
        <f>G131*(1+$B$11)+$D$107</f>
        <v/>
      </c>
      <c r="H132" s="2882" t="inlineStr">
        <is>
          <t>│</t>
        </is>
      </c>
      <c r="I132" s="2883">
        <f>$E$108</f>
        <v/>
      </c>
      <c r="J132" s="2884">
        <f>J131*(1+$B$10)+$E$108</f>
        <v/>
      </c>
      <c r="K132" s="2883">
        <f>K131*(1+$B$9)+$E$108</f>
        <v/>
      </c>
      <c r="L132" s="2883">
        <f>L131*(1+$B$11)+$E$108</f>
        <v/>
      </c>
      <c r="M132" s="2885">
        <f>J132-E132</f>
        <v/>
      </c>
      <c r="N132" s="2886">
        <f>IF(AND(E132&gt;=$D$116,J132&gt;=$D$116),"✅ LES 2",IF(E132&gt;=$D$116,"🏠 A seul",IF(J132&gt;=$D$116,"📈 B seul","—")))</f>
        <v/>
      </c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26.25" customHeight="1" s="1666">
      <c r="A133" s="2896" t="inlineStr">
        <is>
          <t>Avec RRQ ~$1,400/mois</t>
        </is>
      </c>
      <c r="B133" s="2878" t="n">
        <v>2038</v>
      </c>
      <c r="C133" s="2879" t="n">
        <v>46</v>
      </c>
      <c r="D133" s="2880">
        <f>$D$107</f>
        <v/>
      </c>
      <c r="E133" s="2881">
        <f>E132*(1+$B$10)+$D$107</f>
        <v/>
      </c>
      <c r="F133" s="2880">
        <f>F132*(1+$B$9)+$D$107</f>
        <v/>
      </c>
      <c r="G133" s="2880">
        <f>G132*(1+$B$11)+$D$107</f>
        <v/>
      </c>
      <c r="H133" s="2882" t="inlineStr">
        <is>
          <t>│</t>
        </is>
      </c>
      <c r="I133" s="2883">
        <f>$E$108</f>
        <v/>
      </c>
      <c r="J133" s="2884">
        <f>J132*(1+$B$10)+$E$108</f>
        <v/>
      </c>
      <c r="K133" s="2883">
        <f>K132*(1+$B$9)+$E$108</f>
        <v/>
      </c>
      <c r="L133" s="2883">
        <f>L132*(1+$B$11)+$E$108</f>
        <v/>
      </c>
      <c r="M133" s="2885">
        <f>J133-E133</f>
        <v/>
      </c>
      <c r="N133" s="2886">
        <f>IF(AND(E133&gt;=$D$116,J133&gt;=$D$116),"✅ LES 2",IF(E133&gt;=$D$116,"🏠 A seul",IF(J133&gt;=$D$116,"📈 B seul","—")))</f>
        <v/>
      </c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4.25" customHeight="1" s="1666">
      <c r="A134" s="2895" t="inlineStr">
        <is>
          <t>Portfolio cible ajusté</t>
        </is>
      </c>
      <c r="B134" s="2878" t="n">
        <v>2039</v>
      </c>
      <c r="C134" s="2879" t="n">
        <v>47</v>
      </c>
      <c r="D134" s="2880">
        <f>$D$107</f>
        <v/>
      </c>
      <c r="E134" s="2881">
        <f>E133*(1+$B$10)+$D$107</f>
        <v/>
      </c>
      <c r="F134" s="2880">
        <f>F133*(1+$B$9)+$D$107</f>
        <v/>
      </c>
      <c r="G134" s="2880">
        <f>G133*(1+$B$11)+$D$107</f>
        <v/>
      </c>
      <c r="H134" s="2882" t="inlineStr">
        <is>
          <t>│</t>
        </is>
      </c>
      <c r="I134" s="2883">
        <f>$E$108</f>
        <v/>
      </c>
      <c r="J134" s="2884">
        <f>J133*(1+$B$10)+$E$108</f>
        <v/>
      </c>
      <c r="K134" s="2883">
        <f>K133*(1+$B$9)+$E$108</f>
        <v/>
      </c>
      <c r="L134" s="2883">
        <f>L133*(1+$B$11)+$E$108</f>
        <v/>
      </c>
      <c r="M134" s="2885">
        <f>J134-E134</f>
        <v/>
      </c>
      <c r="N134" s="2886">
        <f>IF(AND(E134&gt;=$D$116,J134&gt;=$D$116),"✅ LES 2",IF(E134&gt;=$D$116,"🏠 A seul",IF(J134&gt;=$D$116,"📈 B seul","—")))</f>
        <v/>
      </c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26.25" customHeight="1" s="1666">
      <c r="A135" s="2896" t="inlineStr">
        <is>
          <t>Scénario bullcase (10%)</t>
        </is>
      </c>
      <c r="B135" s="2878" t="n">
        <v>2040</v>
      </c>
      <c r="C135" s="2879" t="n">
        <v>48</v>
      </c>
      <c r="D135" s="2897">
        <f>$D$107</f>
        <v/>
      </c>
      <c r="E135" s="2898">
        <f>E134*(1+$B$10)+$D$107</f>
        <v/>
      </c>
      <c r="F135" s="2897">
        <f>F134*(1+$B$9)+$D$107</f>
        <v/>
      </c>
      <c r="G135" s="2897">
        <f>G134*(1+$B$11)+$D$107</f>
        <v/>
      </c>
      <c r="H135" s="2882" t="inlineStr">
        <is>
          <t>│</t>
        </is>
      </c>
      <c r="I135" s="2899">
        <f>$E$108</f>
        <v/>
      </c>
      <c r="J135" s="2900">
        <f>J134*(1+$B$10)+$E$108</f>
        <v/>
      </c>
      <c r="K135" s="2899">
        <f>K134*(1+$B$9)+$E$108</f>
        <v/>
      </c>
      <c r="L135" s="2899">
        <f>L134*(1+$B$11)+$E$108</f>
        <v/>
      </c>
      <c r="M135" s="2901">
        <f>J135-E135</f>
        <v/>
      </c>
      <c r="N135" s="2902">
        <f>IF(AND(E135&gt;=$D$116,J135&gt;=$D$116),"✅ LES 2",IF(E135&gt;=$D$116,"🏠 A seul",IF(J135&gt;=$D$116,"📈 B seul","—")))</f>
        <v/>
      </c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4.25" customHeight="1" s="1666">
      <c r="A136" s="2674" t="inlineStr">
        <is>
          <t>Conclusion</t>
        </is>
      </c>
      <c r="B136" s="2878" t="n">
        <v>2041</v>
      </c>
      <c r="C136" s="2879" t="n">
        <v>49</v>
      </c>
      <c r="D136" s="2897">
        <f>$D$107</f>
        <v/>
      </c>
      <c r="E136" s="2898">
        <f>E135*(1+$B$10)+$D$107</f>
        <v/>
      </c>
      <c r="F136" s="2897">
        <f>F135*(1+$B$9)+$D$107</f>
        <v/>
      </c>
      <c r="G136" s="2897">
        <f>G135*(1+$B$11)+$D$107</f>
        <v/>
      </c>
      <c r="H136" s="2882" t="inlineStr">
        <is>
          <t>│</t>
        </is>
      </c>
      <c r="I136" s="2899">
        <f>$E$108</f>
        <v/>
      </c>
      <c r="J136" s="2900">
        <f>J135*(1+$B$10)+$E$108</f>
        <v/>
      </c>
      <c r="K136" s="2899">
        <f>K135*(1+$B$9)+$E$108</f>
        <v/>
      </c>
      <c r="L136" s="2899">
        <f>L135*(1+$B$11)+$E$108</f>
        <v/>
      </c>
      <c r="M136" s="2901">
        <f>J136-E136</f>
        <v/>
      </c>
      <c r="N136" s="2902">
        <f>IF(AND(E136&gt;=$D$116,J136&gt;=$D$116),"✅ LES 2",IF(E136&gt;=$D$116,"🏠 A seul",IF(J136&gt;=$D$116,"📈 B seul","—")))</f>
        <v/>
      </c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B137" s="2878" t="n">
        <v>2042</v>
      </c>
      <c r="C137" s="2879" t="n">
        <v>50</v>
      </c>
      <c r="D137" s="2897">
        <f>$D$107</f>
        <v/>
      </c>
      <c r="E137" s="2898">
        <f>E136*(1+$B$10)+$D$107</f>
        <v/>
      </c>
      <c r="F137" s="2897">
        <f>F136*(1+$B$9)+$D$107</f>
        <v/>
      </c>
      <c r="G137" s="2897">
        <f>G136*(1+$B$11)+$D$107</f>
        <v/>
      </c>
      <c r="H137" s="2882" t="inlineStr">
        <is>
          <t>│</t>
        </is>
      </c>
      <c r="I137" s="2899">
        <f>$E$108</f>
        <v/>
      </c>
      <c r="J137" s="2900">
        <f>J136*(1+$B$10)+$E$108</f>
        <v/>
      </c>
      <c r="K137" s="2899">
        <f>K136*(1+$B$9)+$E$108</f>
        <v/>
      </c>
      <c r="L137" s="2899">
        <f>L136*(1+$B$11)+$E$108</f>
        <v/>
      </c>
      <c r="M137" s="2901">
        <f>J137-E137</f>
        <v/>
      </c>
      <c r="N137" s="2902">
        <f>IF(AND(E137&gt;=$D$116,J137&gt;=$D$116),"✅ LES 2",IF(E137&gt;=$D$116,"🏠 A seul",IF(J137&gt;=$D$116,"📈 B seul","—")))</f>
        <v/>
      </c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B138" s="2878" t="n">
        <v>2043</v>
      </c>
      <c r="C138" s="2879" t="n">
        <v>51</v>
      </c>
      <c r="D138" s="2897">
        <f>$D$107</f>
        <v/>
      </c>
      <c r="E138" s="2898">
        <f>E137*(1+$B$10)+$D$107</f>
        <v/>
      </c>
      <c r="F138" s="2897">
        <f>F137*(1+$B$9)+$D$107</f>
        <v/>
      </c>
      <c r="G138" s="2897">
        <f>G137*(1+$B$11)+$D$107</f>
        <v/>
      </c>
      <c r="H138" s="2882" t="inlineStr">
        <is>
          <t>│</t>
        </is>
      </c>
      <c r="I138" s="2899">
        <f>$E$108</f>
        <v/>
      </c>
      <c r="J138" s="2900">
        <f>J137*(1+$B$10)+$E$108</f>
        <v/>
      </c>
      <c r="K138" s="2899">
        <f>K137*(1+$B$9)+$E$108</f>
        <v/>
      </c>
      <c r="L138" s="2899">
        <f>L137*(1+$B$11)+$E$108</f>
        <v/>
      </c>
      <c r="M138" s="2901">
        <f>J138-E138</f>
        <v/>
      </c>
      <c r="N138" s="2902">
        <f>IF(AND(E138&gt;=$D$116,J138&gt;=$D$116),"✅ LES 2",IF(E138&gt;=$D$116,"🏠 A seul",IF(J138&gt;=$D$116,"📈 B seul","—")))</f>
        <v/>
      </c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B139" s="2878" t="n">
        <v>2044</v>
      </c>
      <c r="C139" s="2879" t="n">
        <v>52</v>
      </c>
      <c r="D139" s="2897">
        <f>$D$107</f>
        <v/>
      </c>
      <c r="E139" s="2898">
        <f>E138*(1+$B$10)+$D$107</f>
        <v/>
      </c>
      <c r="F139" s="2897">
        <f>F138*(1+$B$9)+$D$107</f>
        <v/>
      </c>
      <c r="G139" s="2897">
        <f>G138*(1+$B$11)+$D$107</f>
        <v/>
      </c>
      <c r="H139" s="2882" t="inlineStr">
        <is>
          <t>│</t>
        </is>
      </c>
      <c r="I139" s="2899">
        <f>$E$108</f>
        <v/>
      </c>
      <c r="J139" s="2900">
        <f>J138*(1+$B$10)+$E$108</f>
        <v/>
      </c>
      <c r="K139" s="2899">
        <f>K138*(1+$B$9)+$E$108</f>
        <v/>
      </c>
      <c r="L139" s="2899">
        <f>L138*(1+$B$11)+$E$108</f>
        <v/>
      </c>
      <c r="M139" s="2901">
        <f>J139-E139</f>
        <v/>
      </c>
      <c r="N139" s="2902">
        <f>IF(AND(E139&gt;=$D$116,J139&gt;=$D$116),"✅ LES 2",IF(E139&gt;=$D$116,"🏠 A seul",IF(J139&gt;=$D$116,"📈 B seul","—")))</f>
        <v/>
      </c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B140" s="2878" t="n">
        <v>2045</v>
      </c>
      <c r="C140" s="2879" t="n">
        <v>53</v>
      </c>
      <c r="D140" s="2897">
        <f>$D$107</f>
        <v/>
      </c>
      <c r="E140" s="2898">
        <f>E139*(1+$B$10)+$D$107</f>
        <v/>
      </c>
      <c r="F140" s="2897">
        <f>F139*(1+$B$9)+$D$107</f>
        <v/>
      </c>
      <c r="G140" s="2897">
        <f>G139*(1+$B$11)+$D$107</f>
        <v/>
      </c>
      <c r="H140" s="2882" t="inlineStr">
        <is>
          <t>│</t>
        </is>
      </c>
      <c r="I140" s="2899">
        <f>$E$108</f>
        <v/>
      </c>
      <c r="J140" s="2900">
        <f>J139*(1+$B$10)+$E$108</f>
        <v/>
      </c>
      <c r="K140" s="2899">
        <f>K139*(1+$B$9)+$E$108</f>
        <v/>
      </c>
      <c r="L140" s="2899">
        <f>L139*(1+$B$11)+$E$108</f>
        <v/>
      </c>
      <c r="M140" s="2901">
        <f>J140-E140</f>
        <v/>
      </c>
      <c r="N140" s="2902">
        <f>IF(AND(E140&gt;=$D$116,J140&gt;=$D$116),"✅ LES 2",IF(E140&gt;=$D$116,"🏠 A seul",IF(J140&gt;=$D$116,"📈 B seul","—")))</f>
        <v/>
      </c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B142" s="2843" t="inlineStr">
        <is>
          <t>📊  RÉSUMÉ ANALYTIQUE  ·  Ce que les chiffres disent vraiment</t>
        </is>
      </c>
      <c r="C142" s="2903" t="n"/>
      <c r="D142" s="2903" t="n"/>
      <c r="E142" s="2903" t="n"/>
      <c r="F142" s="2903" t="n"/>
      <c r="G142" s="2903" t="n"/>
      <c r="H142" s="2903" t="n"/>
      <c r="I142" s="2903" t="n"/>
      <c r="J142" s="2903" t="n"/>
      <c r="K142" s="2903" t="n"/>
      <c r="L142" s="2903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B143" s="2853" t="inlineStr">
        <is>
          <t>Portfolio A @50 ans (8%)</t>
        </is>
      </c>
      <c r="D143" s="2904">
        <f>E140</f>
        <v/>
      </c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B144" s="2853" t="inlineStr">
        <is>
          <t>Portfolio B @50 ans (8%)</t>
        </is>
      </c>
      <c r="D144" s="2904">
        <f>J140</f>
        <v/>
      </c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B145" s="2853" t="inlineStr">
        <is>
          <t>Avantage B vs A à 50 ans (8%)</t>
        </is>
      </c>
      <c r="D145" s="2905">
        <f>J140-E140</f>
        <v/>
      </c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B146" s="2853" t="inlineStr">
        <is>
          <t>Portfolio A @50 (pess. 6%)</t>
        </is>
      </c>
      <c r="D146" s="2904">
        <f>F140</f>
        <v/>
      </c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B147" s="2853" t="inlineStr">
        <is>
          <t>Portfolio B @50 (pess. 6%)</t>
        </is>
      </c>
      <c r="D147" s="2904">
        <f>K140</f>
        <v/>
      </c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B148" s="2853" t="inlineStr">
        <is>
          <t>Verdict 50 ans réaliste</t>
        </is>
      </c>
      <c r="D148" s="2906">
        <f>IF(E140&gt;=$D$116,"✅ A atteint FI","🔴 A sous $2.1M")&amp;" · "&amp;IF(J140&gt;=$D$116,"✅ B atteint FI","🔴 B sous $2.1M")</f>
        <v/>
      </c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B149" s="2907" t="inlineStr">
        <is>
          <t>📅 DATES FI ESTIMÉES</t>
        </is>
      </c>
      <c r="D149" s="2908" t="inlineStr">
        <is>
          <t>🏠 A — ~2050 (âge 58)</t>
        </is>
      </c>
      <c r="J149" s="2909" t="inlineStr">
        <is>
          <t>📈 B — 2043 (âge 51)</t>
        </is>
      </c>
      <c r="M149" s="2910" t="inlineStr">
        <is>
          <t>~7 ans d'écart</t>
        </is>
      </c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79.5" customHeight="1" s="1666">
      <c r="B150" s="2871" t="inlineStr">
        <is>
          <t>💡 INSIGHT CLÉ — Ce que les chiffres disent précisément :
Scénario B (sans maison) atteint .1M en 2043 (âge 51). Scénario A (avec maison @K/mois contrib) atteint .1M vers ~2050 (âge 58). Coût réel de la maison = ~7 ans de liberté. Question : est-ce que la maison vaut 7 ans de liberté supplémentaire ? Si tu augmentes les contributions A à K/mois post-maison, l'écart se réduit à ~4 ans. Modifier D107 pour tester.</t>
        </is>
      </c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B152" s="2850" t="inlineStr">
        <is>
          <t>⚠️ HYPOTHÈSES MAISON A : RAP $60K retiré du REER en 2030 · Contributions post-maison = $2,000/mois (salaire net − hypo $1,222 − RAP $333 − vie $700 ≈ $1,800-2,200). Ajuster $D param si ta situation change.</t>
        </is>
      </c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21.75" customHeight="1" s="1666">
      <c r="B155" s="2911" t="inlineStr">
        <is>
          <t>💰  IMPACT ARC — $12,720/an réinvesti · Effet sur la date FI</t>
        </is>
      </c>
      <c r="C155" s="2912" t="n"/>
      <c r="D155" s="2912" t="n"/>
      <c r="E155" s="2912" t="n"/>
      <c r="F155" s="2912" t="n"/>
      <c r="G155" s="2912" t="n"/>
      <c r="H155" s="2912" t="n"/>
      <c r="I155" s="2912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B156" s="2913" t="inlineStr">
        <is>
          <t>Cotisation REER /an</t>
        </is>
      </c>
      <c r="C156" s="2914" t="n">
        <v>24000</v>
      </c>
      <c r="D156" s="2915" t="inlineStr">
        <is>
          <t>← $2,000/mois × 12</t>
        </is>
      </c>
      <c r="E156" s="2916" t="n"/>
      <c r="F156" s="2916" t="n"/>
      <c r="G156" s="2916" t="n"/>
      <c r="H156" s="2916" t="n"/>
      <c r="I156" s="2916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B157" s="2913" t="inlineStr">
        <is>
          <t>Taux marginal QC</t>
        </is>
      </c>
      <c r="C157" s="2917">
        <f>CONFIG!B11</f>
        <v/>
      </c>
      <c r="D157" s="2915" t="inlineStr">
        <is>
          <t>← auto · 52.98%</t>
        </is>
      </c>
      <c r="E157" s="2916" t="n"/>
      <c r="F157" s="2916" t="n"/>
      <c r="G157" s="2916" t="n"/>
      <c r="H157" s="2916" t="n"/>
      <c r="I157" s="2916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B158" s="2913" t="inlineStr">
        <is>
          <t>Remboursement ARC /an</t>
        </is>
      </c>
      <c r="C158" s="2918">
        <f>C156*CONFIG!B11</f>
        <v/>
      </c>
      <c r="D158" s="2915" t="inlineStr">
        <is>
          <t>← Ce que l'ARC retourne · ~$12,720/an</t>
        </is>
      </c>
      <c r="E158" s="2916" t="n"/>
      <c r="F158" s="2916" t="n"/>
      <c r="G158" s="2916" t="n"/>
      <c r="H158" s="2916" t="n"/>
      <c r="I158" s="2916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B159" s="2913" t="inlineStr">
        <is>
          <t>Remboursement ARC /mois</t>
        </is>
      </c>
      <c r="C159" s="2918">
        <f>C158/12</f>
        <v/>
      </c>
      <c r="D159" s="2915" t="inlineStr">
        <is>
          <t>← Équivalent mensuel · ~$1,060/mois</t>
        </is>
      </c>
      <c r="E159" s="2916" t="n"/>
      <c r="F159" s="2916" t="n"/>
      <c r="G159" s="2916" t="n"/>
      <c r="H159" s="2916" t="n"/>
      <c r="I159" s="2916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B160" s="2913" t="inlineStr">
        <is>
          <t>Valeur ARC composé @20 ans</t>
        </is>
      </c>
      <c r="C160" s="2918">
        <f>C158*((1.08^20-1)/0.08)</f>
        <v/>
      </c>
      <c r="D160" s="2915" t="inlineStr">
        <is>
          <t>← Si $12,720 réinvesti/an pendant 20 ans @8% → capital additionnel</t>
        </is>
      </c>
      <c r="E160" s="2916" t="n"/>
      <c r="F160" s="2916" t="n"/>
      <c r="G160" s="2916" t="n"/>
      <c r="H160" s="2916" t="n"/>
      <c r="I160" s="2916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B161" s="2913" t="inlineStr">
        <is>
          <t>Impact date FI estimé</t>
        </is>
      </c>
      <c r="C161" s="2919" t="inlineStr">
        <is>
          <t>~6-12 mois avancé</t>
        </is>
      </c>
      <c r="D161" s="2915" t="inlineStr">
        <is>
          <t>← ARC réinvesti = accélérateur · réel dépend allocation (FHSA &gt; TFSA &gt; REER)</t>
        </is>
      </c>
      <c r="E161" s="2916" t="n"/>
      <c r="F161" s="2916" t="n"/>
      <c r="G161" s="2916" t="n"/>
      <c r="H161" s="2916" t="n"/>
      <c r="I161" s="2916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B162" s="2913" t="inlineStr">
        <is>
          <t>STRATÉGIE OPTIMALE ARC</t>
        </is>
      </c>
      <c r="C162" s="2919" t="inlineStr">
        <is>
          <t>FHSA si room → TFSA → REER</t>
        </is>
      </c>
      <c r="D162" s="2915" t="inlineStr">
        <is>
          <t>⬜ Recevoir ARC avril N+1 → verser immédiatement · Ne JAMAIS laisser en compte ordinaire</t>
        </is>
      </c>
      <c r="E162" s="2916" t="n"/>
      <c r="F162" s="2916" t="n"/>
      <c r="G162" s="2916" t="n"/>
      <c r="H162" s="2916" t="n"/>
      <c r="I162" s="2916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5.75" customHeight="1" s="1666"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5.75" customHeight="1" s="1666"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5.75" customHeight="1" s="1666"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5.75" customHeight="1" s="1666"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5.75" customHeight="1" s="1666"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5.75" customHeight="1" s="1666"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5.75" customHeight="1" s="1666"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5.75" customHeight="1" s="1666"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5.75" customHeight="1" s="1666"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5.75" customHeight="1" s="1666"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5.75" customHeight="1" s="1666"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5.75" customHeight="1" s="1666"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5.75" customHeight="1" s="1666"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5.75" customHeight="1" s="1666"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5.75" customHeight="1" s="1666"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5.75" customHeight="1" s="1666"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5.75" customHeight="1" s="1666"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5.75" customHeight="1" s="1666">
      <c r="P324" s="1665" t="n"/>
      <c r="Q324" s="1665" t="n"/>
      <c r="R324" s="1665" t="n"/>
      <c r="S324" s="1665" t="n"/>
      <c r="T324" s="1665" t="n"/>
      <c r="U324" s="1665" t="n"/>
      <c r="V324" s="1665" t="n"/>
      <c r="W324" s="1665" t="n"/>
      <c r="X324" s="1665" t="n"/>
      <c r="Y324" s="1665" t="n"/>
      <c r="Z324" s="1665" t="n"/>
    </row>
    <row r="325" ht="15.75" customHeight="1" s="1666">
      <c r="P325" s="1665" t="n"/>
      <c r="Q325" s="1665" t="n"/>
      <c r="R325" s="1665" t="n"/>
      <c r="S325" s="1665" t="n"/>
      <c r="T325" s="1665" t="n"/>
      <c r="U325" s="1665" t="n"/>
      <c r="V325" s="1665" t="n"/>
      <c r="W325" s="1665" t="n"/>
      <c r="X325" s="1665" t="n"/>
      <c r="Y325" s="1665" t="n"/>
      <c r="Z325" s="1665" t="n"/>
    </row>
    <row r="326" ht="15.75" customHeight="1" s="1666">
      <c r="P326" s="1665" t="n"/>
      <c r="Q326" s="1665" t="n"/>
      <c r="R326" s="1665" t="n"/>
      <c r="S326" s="1665" t="n"/>
      <c r="T326" s="1665" t="n"/>
      <c r="U326" s="1665" t="n"/>
      <c r="V326" s="1665" t="n"/>
      <c r="W326" s="1665" t="n"/>
      <c r="X326" s="1665" t="n"/>
      <c r="Y326" s="1665" t="n"/>
      <c r="Z326" s="1665" t="n"/>
    </row>
    <row r="327" ht="15.75" customHeight="1" s="1666">
      <c r="P327" s="1665" t="n"/>
      <c r="Q327" s="1665" t="n"/>
      <c r="R327" s="1665" t="n"/>
      <c r="S327" s="1665" t="n"/>
      <c r="T327" s="1665" t="n"/>
      <c r="U327" s="1665" t="n"/>
      <c r="V327" s="1665" t="n"/>
      <c r="W327" s="1665" t="n"/>
      <c r="X327" s="1665" t="n"/>
      <c r="Y327" s="1665" t="n"/>
      <c r="Z327" s="1665" t="n"/>
    </row>
    <row r="328" ht="15.75" customHeight="1" s="1666">
      <c r="P328" s="1665" t="n"/>
      <c r="Q328" s="1665" t="n"/>
      <c r="R328" s="1665" t="n"/>
      <c r="S328" s="1665" t="n"/>
      <c r="T328" s="1665" t="n"/>
      <c r="U328" s="1665" t="n"/>
      <c r="V328" s="1665" t="n"/>
      <c r="W328" s="1665" t="n"/>
      <c r="X328" s="1665" t="n"/>
      <c r="Y328" s="1665" t="n"/>
      <c r="Z328" s="1665" t="n"/>
    </row>
    <row r="329" ht="15.75" customHeight="1" s="1666">
      <c r="P329" s="1665" t="n"/>
      <c r="Q329" s="1665" t="n"/>
      <c r="R329" s="1665" t="n"/>
      <c r="S329" s="1665" t="n"/>
      <c r="T329" s="1665" t="n"/>
      <c r="U329" s="1665" t="n"/>
      <c r="V329" s="1665" t="n"/>
      <c r="W329" s="1665" t="n"/>
      <c r="X329" s="1665" t="n"/>
      <c r="Y329" s="1665" t="n"/>
      <c r="Z329" s="1665" t="n"/>
    </row>
    <row r="330" ht="15.75" customHeight="1" s="1666">
      <c r="P330" s="1665" t="n"/>
      <c r="Q330" s="1665" t="n"/>
      <c r="R330" s="1665" t="n"/>
      <c r="S330" s="1665" t="n"/>
      <c r="T330" s="1665" t="n"/>
      <c r="U330" s="1665" t="n"/>
      <c r="V330" s="1665" t="n"/>
      <c r="W330" s="1665" t="n"/>
      <c r="X330" s="1665" t="n"/>
      <c r="Y330" s="1665" t="n"/>
      <c r="Z330" s="1665" t="n"/>
    </row>
    <row r="331" ht="15.75" customHeight="1" s="1666">
      <c r="P331" s="1665" t="n"/>
      <c r="Q331" s="1665" t="n"/>
      <c r="R331" s="1665" t="n"/>
      <c r="S331" s="1665" t="n"/>
      <c r="T331" s="1665" t="n"/>
      <c r="U331" s="1665" t="n"/>
      <c r="V331" s="1665" t="n"/>
      <c r="W331" s="1665" t="n"/>
      <c r="X331" s="1665" t="n"/>
      <c r="Y331" s="1665" t="n"/>
      <c r="Z331" s="1665" t="n"/>
    </row>
    <row r="332" ht="15.75" customHeight="1" s="1666">
      <c r="P332" s="1665" t="n"/>
      <c r="Q332" s="1665" t="n"/>
      <c r="R332" s="1665" t="n"/>
      <c r="S332" s="1665" t="n"/>
      <c r="T332" s="1665" t="n"/>
      <c r="U332" s="1665" t="n"/>
      <c r="V332" s="1665" t="n"/>
      <c r="W332" s="1665" t="n"/>
      <c r="X332" s="1665" t="n"/>
      <c r="Y332" s="1665" t="n"/>
      <c r="Z332" s="1665" t="n"/>
    </row>
    <row r="333" ht="15.75" customHeight="1" s="1666">
      <c r="P333" s="1665" t="n"/>
      <c r="Q333" s="1665" t="n"/>
      <c r="R333" s="1665" t="n"/>
      <c r="S333" s="1665" t="n"/>
      <c r="T333" s="1665" t="n"/>
      <c r="U333" s="1665" t="n"/>
      <c r="V333" s="1665" t="n"/>
      <c r="W333" s="1665" t="n"/>
      <c r="X333" s="1665" t="n"/>
      <c r="Y333" s="1665" t="n"/>
      <c r="Z333" s="1665" t="n"/>
    </row>
    <row r="334" ht="15.75" customHeight="1" s="1666">
      <c r="P334" s="1665" t="n"/>
      <c r="Q334" s="1665" t="n"/>
      <c r="R334" s="1665" t="n"/>
      <c r="S334" s="1665" t="n"/>
      <c r="T334" s="1665" t="n"/>
      <c r="U334" s="1665" t="n"/>
      <c r="V334" s="1665" t="n"/>
      <c r="W334" s="1665" t="n"/>
      <c r="X334" s="1665" t="n"/>
      <c r="Y334" s="1665" t="n"/>
      <c r="Z334" s="1665" t="n"/>
    </row>
    <row r="335" ht="15.75" customHeight="1" s="1666">
      <c r="P335" s="1665" t="n"/>
      <c r="Q335" s="1665" t="n"/>
      <c r="R335" s="1665" t="n"/>
      <c r="S335" s="1665" t="n"/>
      <c r="T335" s="1665" t="n"/>
      <c r="U335" s="1665" t="n"/>
      <c r="V335" s="1665" t="n"/>
      <c r="W335" s="1665" t="n"/>
      <c r="X335" s="1665" t="n"/>
      <c r="Y335" s="1665" t="n"/>
      <c r="Z335" s="1665" t="n"/>
    </row>
    <row r="336" ht="15.75" customHeight="1" s="1666">
      <c r="P336" s="1665" t="n"/>
      <c r="Q336" s="1665" t="n"/>
      <c r="R336" s="1665" t="n"/>
      <c r="S336" s="1665" t="n"/>
      <c r="T336" s="1665" t="n"/>
      <c r="U336" s="1665" t="n"/>
      <c r="V336" s="1665" t="n"/>
      <c r="W336" s="1665" t="n"/>
      <c r="X336" s="1665" t="n"/>
      <c r="Y336" s="1665" t="n"/>
      <c r="Z336" s="1665" t="n"/>
    </row>
    <row r="337" ht="15.75" customHeight="1" s="1666">
      <c r="P337" s="1665" t="n"/>
      <c r="Q337" s="1665" t="n"/>
      <c r="R337" s="1665" t="n"/>
      <c r="S337" s="1665" t="n"/>
      <c r="T337" s="1665" t="n"/>
      <c r="U337" s="1665" t="n"/>
      <c r="V337" s="1665" t="n"/>
      <c r="W337" s="1665" t="n"/>
      <c r="X337" s="1665" t="n"/>
      <c r="Y337" s="1665" t="n"/>
      <c r="Z337" s="1665" t="n"/>
    </row>
    <row r="338" ht="15.75" customHeight="1" s="1666">
      <c r="P338" s="1665" t="n"/>
      <c r="Q338" s="1665" t="n"/>
      <c r="R338" s="1665" t="n"/>
      <c r="S338" s="1665" t="n"/>
      <c r="T338" s="1665" t="n"/>
      <c r="U338" s="1665" t="n"/>
      <c r="V338" s="1665" t="n"/>
      <c r="W338" s="1665" t="n"/>
      <c r="X338" s="1665" t="n"/>
      <c r="Y338" s="1665" t="n"/>
      <c r="Z338" s="1665" t="n"/>
    </row>
    <row r="339" ht="15.75" customHeight="1" s="1666">
      <c r="P339" s="1665" t="n"/>
      <c r="Q339" s="1665" t="n"/>
      <c r="R339" s="1665" t="n"/>
      <c r="S339" s="1665" t="n"/>
      <c r="T339" s="1665" t="n"/>
      <c r="U339" s="1665" t="n"/>
      <c r="V339" s="1665" t="n"/>
      <c r="W339" s="1665" t="n"/>
      <c r="X339" s="1665" t="n"/>
      <c r="Y339" s="1665" t="n"/>
      <c r="Z339" s="1665" t="n"/>
    </row>
    <row r="340" ht="15.75" customHeight="1" s="1666">
      <c r="P340" s="1665" t="n"/>
      <c r="Q340" s="1665" t="n"/>
      <c r="R340" s="1665" t="n"/>
      <c r="S340" s="1665" t="n"/>
      <c r="T340" s="1665" t="n"/>
      <c r="U340" s="1665" t="n"/>
      <c r="V340" s="1665" t="n"/>
      <c r="W340" s="1665" t="n"/>
      <c r="X340" s="1665" t="n"/>
      <c r="Y340" s="1665" t="n"/>
      <c r="Z340" s="1665" t="n"/>
    </row>
    <row r="341" ht="15.75" customHeight="1" s="1666">
      <c r="P341" s="1665" t="n"/>
      <c r="Q341" s="1665" t="n"/>
      <c r="R341" s="1665" t="n"/>
      <c r="S341" s="1665" t="n"/>
      <c r="T341" s="1665" t="n"/>
      <c r="U341" s="1665" t="n"/>
      <c r="V341" s="1665" t="n"/>
      <c r="W341" s="1665" t="n"/>
      <c r="X341" s="1665" t="n"/>
      <c r="Y341" s="1665" t="n"/>
      <c r="Z341" s="1665" t="n"/>
    </row>
    <row r="342" ht="15.75" customHeight="1" s="1666">
      <c r="P342" s="1665" t="n"/>
      <c r="Q342" s="1665" t="n"/>
      <c r="R342" s="1665" t="n"/>
      <c r="S342" s="1665" t="n"/>
      <c r="T342" s="1665" t="n"/>
      <c r="U342" s="1665" t="n"/>
      <c r="V342" s="1665" t="n"/>
      <c r="W342" s="1665" t="n"/>
      <c r="X342" s="1665" t="n"/>
      <c r="Y342" s="1665" t="n"/>
      <c r="Z342" s="1665" t="n"/>
    </row>
    <row r="343" ht="15.75" customHeight="1" s="1666">
      <c r="P343" s="1665" t="n"/>
      <c r="Q343" s="1665" t="n"/>
      <c r="R343" s="1665" t="n"/>
      <c r="S343" s="1665" t="n"/>
      <c r="T343" s="1665" t="n"/>
      <c r="U343" s="1665" t="n"/>
      <c r="V343" s="1665" t="n"/>
      <c r="W343" s="1665" t="n"/>
      <c r="X343" s="1665" t="n"/>
      <c r="Y343" s="1665" t="n"/>
      <c r="Z343" s="1665" t="n"/>
    </row>
    <row r="344" ht="15.75" customHeight="1" s="1666">
      <c r="P344" s="1665" t="n"/>
      <c r="Q344" s="1665" t="n"/>
      <c r="R344" s="1665" t="n"/>
      <c r="S344" s="1665" t="n"/>
      <c r="T344" s="1665" t="n"/>
      <c r="U344" s="1665" t="n"/>
      <c r="V344" s="1665" t="n"/>
      <c r="W344" s="1665" t="n"/>
      <c r="X344" s="1665" t="n"/>
      <c r="Y344" s="1665" t="n"/>
      <c r="Z344" s="1665" t="n"/>
    </row>
    <row r="345" ht="15.75" customHeight="1" s="1666">
      <c r="P345" s="1665" t="n"/>
      <c r="Q345" s="1665" t="n"/>
      <c r="R345" s="1665" t="n"/>
      <c r="S345" s="1665" t="n"/>
      <c r="T345" s="1665" t="n"/>
      <c r="U345" s="1665" t="n"/>
      <c r="V345" s="1665" t="n"/>
      <c r="W345" s="1665" t="n"/>
      <c r="X345" s="1665" t="n"/>
      <c r="Y345" s="1665" t="n"/>
      <c r="Z345" s="1665" t="n"/>
    </row>
    <row r="346" ht="15.75" customHeight="1" s="1666">
      <c r="P346" s="1665" t="n"/>
      <c r="Q346" s="1665" t="n"/>
      <c r="R346" s="1665" t="n"/>
      <c r="S346" s="1665" t="n"/>
      <c r="T346" s="1665" t="n"/>
      <c r="U346" s="1665" t="n"/>
      <c r="V346" s="1665" t="n"/>
      <c r="W346" s="1665" t="n"/>
      <c r="X346" s="1665" t="n"/>
      <c r="Y346" s="1665" t="n"/>
      <c r="Z346" s="1665" t="n"/>
    </row>
    <row r="347" ht="15.75" customHeight="1" s="1666">
      <c r="P347" s="1665" t="n"/>
      <c r="Q347" s="1665" t="n"/>
      <c r="R347" s="1665" t="n"/>
      <c r="S347" s="1665" t="n"/>
      <c r="T347" s="1665" t="n"/>
      <c r="U347" s="1665" t="n"/>
      <c r="V347" s="1665" t="n"/>
      <c r="W347" s="1665" t="n"/>
      <c r="X347" s="1665" t="n"/>
      <c r="Y347" s="1665" t="n"/>
      <c r="Z347" s="1665" t="n"/>
    </row>
    <row r="348" ht="15.75" customHeight="1" s="1666">
      <c r="P348" s="1665" t="n"/>
      <c r="Q348" s="1665" t="n"/>
      <c r="R348" s="1665" t="n"/>
      <c r="S348" s="1665" t="n"/>
      <c r="T348" s="1665" t="n"/>
      <c r="U348" s="1665" t="n"/>
      <c r="V348" s="1665" t="n"/>
      <c r="W348" s="1665" t="n"/>
      <c r="X348" s="1665" t="n"/>
      <c r="Y348" s="1665" t="n"/>
      <c r="Z348" s="1665" t="n"/>
    </row>
    <row r="349" ht="15.75" customHeight="1" s="1666">
      <c r="P349" s="1665" t="n"/>
      <c r="Q349" s="1665" t="n"/>
      <c r="R349" s="1665" t="n"/>
      <c r="S349" s="1665" t="n"/>
      <c r="T349" s="1665" t="n"/>
      <c r="U349" s="1665" t="n"/>
      <c r="V349" s="1665" t="n"/>
      <c r="W349" s="1665" t="n"/>
      <c r="X349" s="1665" t="n"/>
      <c r="Y349" s="1665" t="n"/>
      <c r="Z349" s="1665" t="n"/>
    </row>
    <row r="350" ht="15.75" customHeight="1" s="1666">
      <c r="P350" s="1665" t="n"/>
      <c r="Q350" s="1665" t="n"/>
      <c r="R350" s="1665" t="n"/>
      <c r="S350" s="1665" t="n"/>
      <c r="T350" s="1665" t="n"/>
      <c r="U350" s="1665" t="n"/>
      <c r="V350" s="1665" t="n"/>
      <c r="W350" s="1665" t="n"/>
      <c r="X350" s="1665" t="n"/>
      <c r="Y350" s="1665" t="n"/>
      <c r="Z350" s="1665" t="n"/>
    </row>
    <row r="351" ht="15.75" customHeight="1" s="1666">
      <c r="P351" s="1665" t="n"/>
      <c r="Q351" s="1665" t="n"/>
      <c r="R351" s="1665" t="n"/>
      <c r="S351" s="1665" t="n"/>
      <c r="T351" s="1665" t="n"/>
      <c r="U351" s="1665" t="n"/>
      <c r="V351" s="1665" t="n"/>
      <c r="W351" s="1665" t="n"/>
      <c r="X351" s="1665" t="n"/>
      <c r="Y351" s="1665" t="n"/>
      <c r="Z351" s="1665" t="n"/>
    </row>
    <row r="352" ht="15.75" customHeight="1" s="1666">
      <c r="P352" s="1665" t="n"/>
      <c r="Q352" s="1665" t="n"/>
      <c r="R352" s="1665" t="n"/>
      <c r="S352" s="1665" t="n"/>
      <c r="T352" s="1665" t="n"/>
      <c r="U352" s="1665" t="n"/>
      <c r="V352" s="1665" t="n"/>
      <c r="W352" s="1665" t="n"/>
      <c r="X352" s="1665" t="n"/>
      <c r="Y352" s="1665" t="n"/>
      <c r="Z352" s="1665" t="n"/>
    </row>
    <row r="353" ht="15.75" customHeight="1" s="1666">
      <c r="P353" s="1665" t="n"/>
      <c r="Q353" s="1665" t="n"/>
      <c r="R353" s="1665" t="n"/>
      <c r="S353" s="1665" t="n"/>
      <c r="T353" s="1665" t="n"/>
      <c r="U353" s="1665" t="n"/>
      <c r="V353" s="1665" t="n"/>
      <c r="W353" s="1665" t="n"/>
      <c r="X353" s="1665" t="n"/>
      <c r="Y353" s="1665" t="n"/>
      <c r="Z353" s="1665" t="n"/>
    </row>
    <row r="354" ht="15.75" customHeight="1" s="1666">
      <c r="P354" s="1665" t="n"/>
      <c r="Q354" s="1665" t="n"/>
      <c r="R354" s="1665" t="n"/>
      <c r="S354" s="1665" t="n"/>
      <c r="T354" s="1665" t="n"/>
      <c r="U354" s="1665" t="n"/>
      <c r="V354" s="1665" t="n"/>
      <c r="W354" s="1665" t="n"/>
      <c r="X354" s="1665" t="n"/>
      <c r="Y354" s="1665" t="n"/>
      <c r="Z354" s="1665" t="n"/>
    </row>
    <row r="355" ht="15.75" customHeight="1" s="1666">
      <c r="P355" s="1665" t="n"/>
      <c r="Q355" s="1665" t="n"/>
      <c r="R355" s="1665" t="n"/>
      <c r="S355" s="1665" t="n"/>
      <c r="T355" s="1665" t="n"/>
      <c r="U355" s="1665" t="n"/>
      <c r="V355" s="1665" t="n"/>
      <c r="W355" s="1665" t="n"/>
      <c r="X355" s="1665" t="n"/>
      <c r="Y355" s="1665" t="n"/>
      <c r="Z355" s="1665" t="n"/>
    </row>
    <row r="356" ht="15.75" customHeight="1" s="1666">
      <c r="P356" s="1665" t="n"/>
      <c r="Q356" s="1665" t="n"/>
      <c r="R356" s="1665" t="n"/>
      <c r="S356" s="1665" t="n"/>
      <c r="T356" s="1665" t="n"/>
      <c r="U356" s="1665" t="n"/>
      <c r="V356" s="1665" t="n"/>
      <c r="W356" s="1665" t="n"/>
      <c r="X356" s="1665" t="n"/>
      <c r="Y356" s="1665" t="n"/>
      <c r="Z356" s="1665" t="n"/>
    </row>
    <row r="357" ht="15.75" customHeight="1" s="1666">
      <c r="P357" s="1665" t="n"/>
      <c r="Q357" s="1665" t="n"/>
      <c r="R357" s="1665" t="n"/>
      <c r="S357" s="1665" t="n"/>
      <c r="T357" s="1665" t="n"/>
      <c r="U357" s="1665" t="n"/>
      <c r="V357" s="1665" t="n"/>
      <c r="W357" s="1665" t="n"/>
      <c r="X357" s="1665" t="n"/>
      <c r="Y357" s="1665" t="n"/>
      <c r="Z357" s="1665" t="n"/>
    </row>
    <row r="358" ht="15.75" customHeight="1" s="1666">
      <c r="P358" s="1665" t="n"/>
      <c r="Q358" s="1665" t="n"/>
      <c r="R358" s="1665" t="n"/>
      <c r="S358" s="1665" t="n"/>
      <c r="T358" s="1665" t="n"/>
      <c r="U358" s="1665" t="n"/>
      <c r="V358" s="1665" t="n"/>
      <c r="W358" s="1665" t="n"/>
      <c r="X358" s="1665" t="n"/>
      <c r="Y358" s="1665" t="n"/>
      <c r="Z358" s="1665" t="n"/>
    </row>
    <row r="359" ht="15.75" customHeight="1" s="1666">
      <c r="P359" s="1665" t="n"/>
      <c r="Q359" s="1665" t="n"/>
      <c r="R359" s="1665" t="n"/>
      <c r="S359" s="1665" t="n"/>
      <c r="T359" s="1665" t="n"/>
      <c r="U359" s="1665" t="n"/>
      <c r="V359" s="1665" t="n"/>
      <c r="W359" s="1665" t="n"/>
      <c r="X359" s="1665" t="n"/>
      <c r="Y359" s="1665" t="n"/>
      <c r="Z359" s="1665" t="n"/>
    </row>
    <row r="360" ht="15.75" customHeight="1" s="1666">
      <c r="P360" s="1665" t="n"/>
      <c r="Q360" s="1665" t="n"/>
      <c r="R360" s="1665" t="n"/>
      <c r="S360" s="1665" t="n"/>
      <c r="T360" s="1665" t="n"/>
      <c r="U360" s="1665" t="n"/>
      <c r="V360" s="1665" t="n"/>
      <c r="W360" s="1665" t="n"/>
      <c r="X360" s="1665" t="n"/>
      <c r="Y360" s="1665" t="n"/>
      <c r="Z360" s="1665" t="n"/>
    </row>
    <row r="361" ht="15.75" customHeight="1" s="1666">
      <c r="P361" s="1665" t="n"/>
      <c r="Q361" s="1665" t="n"/>
      <c r="R361" s="1665" t="n"/>
      <c r="S361" s="1665" t="n"/>
      <c r="T361" s="1665" t="n"/>
      <c r="U361" s="1665" t="n"/>
      <c r="V361" s="1665" t="n"/>
      <c r="W361" s="1665" t="n"/>
      <c r="X361" s="1665" t="n"/>
      <c r="Y361" s="1665" t="n"/>
      <c r="Z361" s="1665" t="n"/>
    </row>
    <row r="362" ht="15.75" customHeight="1" s="1666">
      <c r="P362" s="1665" t="n"/>
      <c r="Q362" s="1665" t="n"/>
      <c r="R362" s="1665" t="n"/>
      <c r="S362" s="1665" t="n"/>
      <c r="T362" s="1665" t="n"/>
      <c r="U362" s="1665" t="n"/>
      <c r="V362" s="1665" t="n"/>
      <c r="W362" s="1665" t="n"/>
      <c r="X362" s="1665" t="n"/>
      <c r="Y362" s="1665" t="n"/>
      <c r="Z362" s="1665" t="n"/>
    </row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5">
    <mergeCell ref="A16:F16"/>
    <mergeCell ref="A1:J1"/>
    <mergeCell ref="A2:F2"/>
    <mergeCell ref="A17:J17"/>
    <mergeCell ref="A4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B1:Z10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14.43359375" defaultRowHeight="15" zeroHeight="0" outlineLevelRow="0"/>
  <cols>
    <col width="2" customWidth="1" style="1665" min="1" max="1"/>
    <col width="12" customWidth="1" style="1665" min="2" max="2"/>
    <col width="20" customWidth="1" style="1665" min="3" max="3"/>
    <col width="12" customWidth="1" style="1665" min="4" max="7"/>
    <col width="14" customWidth="1" style="1665" min="8" max="8"/>
    <col width="8.710000000000001" customWidth="1" style="1665" min="9" max="10"/>
  </cols>
  <sheetData>
    <row r="1" ht="27.75" customHeight="1" s="1666">
      <c r="B1" s="2920" t="inlineStr">
        <is>
          <t>📓  HISTORIQUE &amp; SUIVI  ·  Transactions · Benchmark · Calendrier Earnings</t>
        </is>
      </c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5" customHeight="1" s="1666"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9.5" customHeight="1" s="1666">
      <c r="B3" s="2665" t="inlineStr">
        <is>
          <t>📋  LOG TRANSACTIONS  ·  Saisir après chaque achat/vente Questrade</t>
        </is>
      </c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B4" s="1690" t="inlineStr">
        <is>
          <t>DATE</t>
        </is>
      </c>
      <c r="C4" s="1690" t="inlineStr">
        <is>
          <t>TICKER</t>
        </is>
      </c>
      <c r="D4" s="1690" t="inlineStr">
        <is>
          <t>COMPTE</t>
        </is>
      </c>
      <c r="E4" s="1690" t="inlineStr">
        <is>
          <t>QTÉ</t>
        </is>
      </c>
      <c r="F4" s="1690" t="inlineStr">
        <is>
          <t>PRIX CAD</t>
        </is>
      </c>
      <c r="G4" s="1690" t="inlineStr">
        <is>
          <t>TOTAL CAD</t>
        </is>
      </c>
      <c r="H4" s="1690" t="inlineStr">
        <is>
          <t>NOTE</t>
        </is>
      </c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B5" s="2691" t="inlineStr">
        <is>
          <t>📋  LOG COMPLET  ·  Toutes transactions exécutées · Source: Questrade</t>
        </is>
      </c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9.5" customHeight="1" s="1666">
      <c r="B6" s="2921" t="inlineStr">
        <is>
          <t>DATE</t>
        </is>
      </c>
      <c r="C6" s="2922" t="inlineStr">
        <is>
          <t>TICKER</t>
        </is>
      </c>
      <c r="D6" s="2922" t="inlineStr">
        <is>
          <t>COMPTE</t>
        </is>
      </c>
      <c r="E6" s="2922" t="inlineStr">
        <is>
          <t>ACTION</t>
        </is>
      </c>
      <c r="F6" s="2922" t="inlineStr">
        <is>
          <t>QTÉ</t>
        </is>
      </c>
      <c r="G6" s="2922" t="inlineStr">
        <is>
          <t>PRIX</t>
        </is>
      </c>
      <c r="H6" s="2923" t="inlineStr">
        <is>
          <t>TOTAL CAD</t>
        </is>
      </c>
      <c r="I6" s="2924" t="inlineStr">
        <is>
          <t>NOTE</t>
        </is>
      </c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8" customHeight="1" s="1666">
      <c r="B7" s="2925" t="inlineStr">
        <is>
          <t>── 11 mars 2026  ·  8 trades ──</t>
        </is>
      </c>
      <c r="C7" s="1978" t="n"/>
      <c r="D7" s="1978" t="n"/>
      <c r="E7" s="1978" t="n"/>
      <c r="F7" s="1978" t="n"/>
      <c r="G7" s="1978" t="n"/>
      <c r="H7" s="1978" t="n"/>
      <c r="I7" s="1979" t="n"/>
      <c r="J7" s="2926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8" customHeight="1" s="1666">
      <c r="B8" s="2927" t="inlineStr">
        <is>
          <t>2026-03-11</t>
        </is>
      </c>
      <c r="C8" s="2928" t="inlineStr">
        <is>
          <t>PLZ.UN.TO</t>
        </is>
      </c>
      <c r="D8" s="2929" t="inlineStr">
        <is>
          <t>TFSA</t>
        </is>
      </c>
      <c r="E8" s="2929" t="inlineStr">
        <is>
          <t>🔴 VENDU</t>
        </is>
      </c>
      <c r="F8" s="2930" t="inlineStr">
        <is>
          <t>961u</t>
        </is>
      </c>
      <c r="G8" s="2930" t="inlineStr">
        <is>
          <t>$4.26 CAD</t>
        </is>
      </c>
      <c r="H8" s="2930" t="inlineStr">
        <is>
          <t>$4,094 CAD</t>
        </is>
      </c>
      <c r="I8" s="2931" t="inlineStr">
        <is>
          <t>T4→T1 · gain +17% · REIT → IA · 13h33</t>
        </is>
      </c>
      <c r="J8" s="2932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8" customHeight="1" s="1666">
      <c r="B9" s="2933" t="inlineStr">
        <is>
          <t>2026-03-11</t>
        </is>
      </c>
      <c r="C9" s="2934" t="inlineStr">
        <is>
          <t>REI.UN.TO</t>
        </is>
      </c>
      <c r="D9" s="2935" t="inlineStr">
        <is>
          <t>TFSA</t>
        </is>
      </c>
      <c r="E9" s="2935" t="inlineStr">
        <is>
          <t>🔴 VENDU</t>
        </is>
      </c>
      <c r="F9" s="2936" t="inlineStr">
        <is>
          <t>332u</t>
        </is>
      </c>
      <c r="G9" s="2936" t="inlineStr">
        <is>
          <t>$19.02 CAD</t>
        </is>
      </c>
      <c r="H9" s="2936" t="inlineStr">
        <is>
          <t>$6,315 CAD</t>
        </is>
      </c>
      <c r="I9" s="2937" t="inlineStr">
        <is>
          <t>T4→T1 · pression taux · 13h54</t>
        </is>
      </c>
      <c r="J9" s="2926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8" customHeight="1" s="1666">
      <c r="B10" s="2927" t="inlineStr">
        <is>
          <t>2026-03-11</t>
        </is>
      </c>
      <c r="C10" s="2928" t="inlineStr">
        <is>
          <t>AVGO</t>
        </is>
      </c>
      <c r="D10" s="2929" t="inlineStr">
        <is>
          <t>TFSA</t>
        </is>
      </c>
      <c r="E10" s="2929" t="inlineStr">
        <is>
          <t>🟢 ACHETÉ</t>
        </is>
      </c>
      <c r="F10" s="2930" t="inlineStr">
        <is>
          <t>6u</t>
        </is>
      </c>
      <c r="G10" s="2930" t="inlineStr">
        <is>
          <t>$340.65 USD</t>
        </is>
      </c>
      <c r="H10" s="2930" t="inlineStr">
        <is>
          <t>~$2,772 CAD</t>
        </is>
      </c>
      <c r="I10" s="2931" t="inlineStr">
        <is>
          <t>T4→T1 · IA chips · 13h34</t>
        </is>
      </c>
      <c r="J10" s="2932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8" customHeight="1" s="1666">
      <c r="B11" s="2933" t="inlineStr">
        <is>
          <t>2026-03-11</t>
        </is>
      </c>
      <c r="C11" s="2934" t="inlineStr">
        <is>
          <t>GEV</t>
        </is>
      </c>
      <c r="D11" s="2935" t="inlineStr">
        <is>
          <t>TFSA</t>
        </is>
      </c>
      <c r="E11" s="2935" t="inlineStr">
        <is>
          <t>🟢 ACHETÉ</t>
        </is>
      </c>
      <c r="F11" s="2936" t="inlineStr">
        <is>
          <t>1u</t>
        </is>
      </c>
      <c r="G11" s="2936" t="inlineStr">
        <is>
          <t>$844.18 USD</t>
        </is>
      </c>
      <c r="H11" s="2936" t="inlineStr">
        <is>
          <t>~$1,145 CAD</t>
        </is>
      </c>
      <c r="I11" s="2937" t="inlineStr">
        <is>
          <t>T4→T1 · énergie IA · 13h37</t>
        </is>
      </c>
      <c r="J11" s="2926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8" customHeight="1" s="1666">
      <c r="B12" s="2927" t="inlineStr">
        <is>
          <t>2026-03-11</t>
        </is>
      </c>
      <c r="C12" s="2928" t="inlineStr">
        <is>
          <t>SMH</t>
        </is>
      </c>
      <c r="D12" s="2929" t="inlineStr">
        <is>
          <t>TFSA</t>
        </is>
      </c>
      <c r="E12" s="2929" t="inlineStr">
        <is>
          <t>🟢 ACHETÉ</t>
        </is>
      </c>
      <c r="F12" s="2930" t="inlineStr">
        <is>
          <t>5u</t>
        </is>
      </c>
      <c r="G12" s="2930" t="inlineStr">
        <is>
          <t>$400.33 USD</t>
        </is>
      </c>
      <c r="H12" s="2930" t="inlineStr">
        <is>
          <t>~$2,715 CAD</t>
        </is>
      </c>
      <c r="I12" s="2931" t="inlineStr">
        <is>
          <t>semis · dip · 13h55 1ère tranche</t>
        </is>
      </c>
      <c r="J12" s="2932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8" customHeight="1" s="1666">
      <c r="B13" s="2933" t="inlineStr">
        <is>
          <t>2026-03-11</t>
        </is>
      </c>
      <c r="C13" s="2934" t="inlineStr">
        <is>
          <t>SMH</t>
        </is>
      </c>
      <c r="D13" s="2935" t="inlineStr">
        <is>
          <t>TFSA</t>
        </is>
      </c>
      <c r="E13" s="2935" t="inlineStr">
        <is>
          <t>🟢 ACHETÉ</t>
        </is>
      </c>
      <c r="F13" s="2936" t="inlineStr">
        <is>
          <t>5u</t>
        </is>
      </c>
      <c r="G13" s="2936" t="inlineStr">
        <is>
          <t>$400.67 USD</t>
        </is>
      </c>
      <c r="H13" s="2936" t="inlineStr">
        <is>
          <t>~$2,719 CAD</t>
        </is>
      </c>
      <c r="I13" s="2937" t="inlineStr">
        <is>
          <t>semis · 14h02 2e tranche</t>
        </is>
      </c>
      <c r="J13" s="2926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8" customHeight="1" s="1666">
      <c r="B14" s="2927" t="inlineStr">
        <is>
          <t>2026-03-11</t>
        </is>
      </c>
      <c r="C14" s="2928" t="inlineStr">
        <is>
          <t>AVGO</t>
        </is>
      </c>
      <c r="D14" s="2929" t="inlineStr">
        <is>
          <t>TFSA</t>
        </is>
      </c>
      <c r="E14" s="2929" t="inlineStr">
        <is>
          <t>🟢 ACHETÉ</t>
        </is>
      </c>
      <c r="F14" s="2930" t="inlineStr">
        <is>
          <t>1u</t>
        </is>
      </c>
      <c r="G14" s="2930" t="inlineStr">
        <is>
          <t>$340.19 USD</t>
        </is>
      </c>
      <c r="H14" s="2930" t="inlineStr">
        <is>
          <t>~$461 CAD</t>
        </is>
      </c>
      <c r="I14" s="2931" t="inlineStr">
        <is>
          <t>soir 15h15 · settle</t>
        </is>
      </c>
      <c r="J14" s="2932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8" customHeight="1" s="1666">
      <c r="B15" s="2933" t="inlineStr">
        <is>
          <t>2026-03-11</t>
        </is>
      </c>
      <c r="C15" s="2934" t="inlineStr">
        <is>
          <t>GEV</t>
        </is>
      </c>
      <c r="D15" s="2935" t="inlineStr">
        <is>
          <t>TFSA</t>
        </is>
      </c>
      <c r="E15" s="2935" t="inlineStr">
        <is>
          <t>🟢 ACHETÉ</t>
        </is>
      </c>
      <c r="F15" s="2936" t="inlineStr">
        <is>
          <t>~0.37u</t>
        </is>
      </c>
      <c r="G15" s="2936" t="inlineStr">
        <is>
          <t>$843.80 USD</t>
        </is>
      </c>
      <c r="H15" s="2936" t="inlineStr">
        <is>
          <t>~$425 CAD</t>
        </is>
      </c>
      <c r="I15" s="2937" t="inlineStr">
        <is>
          <t>soir 15h53 · $313.42 order · fract.</t>
        </is>
      </c>
      <c r="J15" s="2926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8" customHeight="1" s="1666">
      <c r="B16" s="2938" t="inlineStr">
        <is>
          <t>── 9 mars 2026 · REER cleanup ──</t>
        </is>
      </c>
      <c r="C16" s="1978" t="n"/>
      <c r="D16" s="1978" t="n"/>
      <c r="E16" s="1978" t="n"/>
      <c r="F16" s="1978" t="n"/>
      <c r="G16" s="1978" t="n"/>
      <c r="H16" s="1978" t="n"/>
      <c r="I16" s="1979" t="n"/>
      <c r="J16" s="2932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8" customHeight="1" s="1666">
      <c r="B17" s="2933" t="inlineStr">
        <is>
          <t>2026-03-09</t>
        </is>
      </c>
      <c r="C17" s="2934" t="inlineStr">
        <is>
          <t>XEI.TO</t>
        </is>
      </c>
      <c r="D17" s="2935" t="inlineStr">
        <is>
          <t>REER</t>
        </is>
      </c>
      <c r="E17" s="2935" t="inlineStr">
        <is>
          <t>🔴 VENDU</t>
        </is>
      </c>
      <c r="F17" s="2936" t="inlineStr">
        <is>
          <t>3u</t>
        </is>
      </c>
      <c r="G17" s="2936" t="inlineStr">
        <is>
          <t>$35.40 CAD</t>
        </is>
      </c>
      <c r="H17" s="2936" t="inlineStr">
        <is>
          <t>$106 CAD</t>
        </is>
      </c>
      <c r="I17" s="2937" t="inlineStr">
        <is>
          <t>REER cleanup → SCHD</t>
        </is>
      </c>
      <c r="J17" s="2926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8" customHeight="1" s="1666">
      <c r="B18" s="2927" t="inlineStr">
        <is>
          <t>2026-03-09</t>
        </is>
      </c>
      <c r="C18" s="2928" t="inlineStr">
        <is>
          <t>ZEQT.TO</t>
        </is>
      </c>
      <c r="D18" s="2929" t="inlineStr">
        <is>
          <t>REER</t>
        </is>
      </c>
      <c r="E18" s="2929" t="inlineStr">
        <is>
          <t>🔴 VENDU</t>
        </is>
      </c>
      <c r="F18" s="2930" t="inlineStr">
        <is>
          <t>3u</t>
        </is>
      </c>
      <c r="G18" s="2930" t="inlineStr">
        <is>
          <t>$20.44 CAD</t>
        </is>
      </c>
      <c r="H18" s="2930" t="inlineStr">
        <is>
          <t>$61 CAD</t>
        </is>
      </c>
      <c r="I18" s="2931" t="inlineStr">
        <is>
          <t>REER cleanup → SCHD</t>
        </is>
      </c>
      <c r="J18" s="2932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8" customHeight="1" s="1666">
      <c r="B19" s="2933" t="inlineStr">
        <is>
          <t>2026-03-09</t>
        </is>
      </c>
      <c r="C19" s="2934" t="inlineStr">
        <is>
          <t>XRE.TO</t>
        </is>
      </c>
      <c r="D19" s="2935" t="inlineStr">
        <is>
          <t>REER</t>
        </is>
      </c>
      <c r="E19" s="2935" t="inlineStr">
        <is>
          <t>🔴 VENDU</t>
        </is>
      </c>
      <c r="F19" s="2936" t="inlineStr">
        <is>
          <t>3u</t>
        </is>
      </c>
      <c r="G19" s="2936" t="inlineStr">
        <is>
          <t>$15.60 CAD</t>
        </is>
      </c>
      <c r="H19" s="2936" t="inlineStr">
        <is>
          <t>$47 CAD</t>
        </is>
      </c>
      <c r="I19" s="2937" t="inlineStr">
        <is>
          <t>REER cleanup → SCHD</t>
        </is>
      </c>
      <c r="J19" s="2926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8" customHeight="1" s="1666">
      <c r="B20" s="2927" t="inlineStr">
        <is>
          <t>2026-03-09</t>
        </is>
      </c>
      <c r="C20" s="2928" t="inlineStr">
        <is>
          <t>SCHD</t>
        </is>
      </c>
      <c r="D20" s="2929" t="inlineStr">
        <is>
          <t>REER</t>
        </is>
      </c>
      <c r="E20" s="2929" t="inlineStr">
        <is>
          <t>🟢 ACHETÉ</t>
        </is>
      </c>
      <c r="F20" s="2930" t="inlineStr">
        <is>
          <t>~2.83u</t>
        </is>
      </c>
      <c r="G20" s="2930" t="inlineStr">
        <is>
          <t>$30.88 USD</t>
        </is>
      </c>
      <c r="H20" s="2930" t="inlineStr">
        <is>
          <t>~$118 CAD</t>
        </is>
      </c>
      <c r="I20" s="2931" t="inlineStr">
        <is>
          <t>1ère tranche REER · $87.42 order · 13h19</t>
        </is>
      </c>
      <c r="J20" s="2932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8" customHeight="1" s="1666">
      <c r="B21" s="2933" t="inlineStr">
        <is>
          <t>2026-03-09</t>
        </is>
      </c>
      <c r="C21" s="2934" t="inlineStr">
        <is>
          <t>SCHD</t>
        </is>
      </c>
      <c r="D21" s="2935" t="inlineStr">
        <is>
          <t>REER</t>
        </is>
      </c>
      <c r="E21" s="2935" t="inlineStr">
        <is>
          <t>🟢 ACHETÉ</t>
        </is>
      </c>
      <c r="F21" s="2936" t="inlineStr">
        <is>
          <t>~2.47u</t>
        </is>
      </c>
      <c r="G21" s="2936" t="inlineStr">
        <is>
          <t>$30.94 USD</t>
        </is>
      </c>
      <c r="H21" s="2936" t="inlineStr">
        <is>
          <t>~$104 CAD</t>
        </is>
      </c>
      <c r="I21" s="2937" t="inlineStr">
        <is>
          <t>2e tranche REER · $76.55 order · 16h32</t>
        </is>
      </c>
      <c r="J21" s="2926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8" customHeight="1" s="1666">
      <c r="B22" s="2938" t="inlineStr">
        <is>
          <t>── 9 mars 2026 · FHSA migrations ──</t>
        </is>
      </c>
      <c r="C22" s="1978" t="n"/>
      <c r="D22" s="1978" t="n"/>
      <c r="E22" s="1978" t="n"/>
      <c r="F22" s="1978" t="n"/>
      <c r="G22" s="1978" t="n"/>
      <c r="H22" s="1978" t="n"/>
      <c r="I22" s="1979" t="n"/>
      <c r="J22" s="2932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8" customHeight="1" s="1666">
      <c r="B23" s="2933" t="inlineStr">
        <is>
          <t>2026-03-09</t>
        </is>
      </c>
      <c r="C23" s="1978" t="n"/>
      <c r="D23" s="1978" t="n"/>
      <c r="E23" s="1978" t="n"/>
      <c r="F23" s="1978" t="n"/>
      <c r="G23" s="1978" t="n"/>
      <c r="H23" s="1979" t="n"/>
      <c r="I23" s="2937" t="inlineStr">
        <is>
          <t>Allied REIT soldé FHSA</t>
        </is>
      </c>
      <c r="J23" s="2926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8" customHeight="1" s="1666">
      <c r="B24" s="2927" t="inlineStr">
        <is>
          <t>2026-03-09</t>
        </is>
      </c>
      <c r="C24" s="2928" t="inlineStr">
        <is>
          <t>CIAI.TO</t>
        </is>
      </c>
      <c r="D24" s="2929" t="inlineStr">
        <is>
          <t>FHSA</t>
        </is>
      </c>
      <c r="E24" s="2929" t="inlineStr">
        <is>
          <t>🔴 VENDU</t>
        </is>
      </c>
      <c r="F24" s="2930" t="inlineStr">
        <is>
          <t>30u</t>
        </is>
      </c>
      <c r="G24" s="2930" t="inlineStr">
        <is>
          <t>$31.05 CAD</t>
        </is>
      </c>
      <c r="H24" s="2930" t="inlineStr">
        <is>
          <t>$932 CAD</t>
        </is>
      </c>
      <c r="I24" s="2931" t="inlineStr">
        <is>
          <t>AI ETF soldé FHSA → VFV</t>
        </is>
      </c>
      <c r="J24" s="2932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8" customHeight="1" s="1666">
      <c r="B25" s="2933" t="inlineStr">
        <is>
          <t>2026-03-09</t>
        </is>
      </c>
      <c r="C25" s="1979" t="n"/>
      <c r="D25" s="2935" t="inlineStr">
        <is>
          <t>FHSA</t>
        </is>
      </c>
      <c r="E25" s="2935" t="inlineStr">
        <is>
          <t>🔴 VENDU</t>
        </is>
      </c>
      <c r="F25" s="2936" t="inlineStr">
        <is>
          <t>15u</t>
        </is>
      </c>
      <c r="G25" s="2936" t="inlineStr">
        <is>
          <t>$15.58 CAD</t>
        </is>
      </c>
      <c r="H25" s="2936" t="inlineStr">
        <is>
          <t>$234 CAD</t>
        </is>
      </c>
      <c r="I25" s="2937" t="inlineStr">
        <is>
          <t>REIT ETF soldé FHSA</t>
        </is>
      </c>
      <c r="J25" s="2926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8" customHeight="1" s="1666">
      <c r="B26" s="2927" t="inlineStr">
        <is>
          <t>2026-03-09</t>
        </is>
      </c>
      <c r="C26" s="1979" t="n"/>
      <c r="D26" s="2929" t="inlineStr">
        <is>
          <t>FHSA</t>
        </is>
      </c>
      <c r="E26" s="2929" t="inlineStr">
        <is>
          <t>🔴 VENDU</t>
        </is>
      </c>
      <c r="F26" s="2930" t="inlineStr">
        <is>
          <t>28u</t>
        </is>
      </c>
      <c r="G26" s="2930" t="inlineStr">
        <is>
          <t>$20.48 CAD</t>
        </is>
      </c>
      <c r="H26" s="2930" t="inlineStr">
        <is>
          <t>$573 CAD</t>
        </is>
      </c>
      <c r="I26" s="2931" t="inlineStr">
        <is>
          <t>migration → XEQT FHSA</t>
        </is>
      </c>
      <c r="J26" s="2932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8" customHeight="1" s="1666">
      <c r="B27" s="2933" t="inlineStr">
        <is>
          <t>2026-03-09</t>
        </is>
      </c>
      <c r="C27" s="1979" t="n"/>
      <c r="D27" s="2935" t="inlineStr">
        <is>
          <t>FHSA</t>
        </is>
      </c>
      <c r="E27" s="2935" t="inlineStr">
        <is>
          <t>🔴 VENDU</t>
        </is>
      </c>
      <c r="F27" s="2936" t="inlineStr">
        <is>
          <t>10u</t>
        </is>
      </c>
      <c r="G27" s="2936" t="inlineStr">
        <is>
          <t>$168.26 CAD</t>
        </is>
      </c>
      <c r="H27" s="2936" t="inlineStr">
        <is>
          <t>$1,683 CAD</t>
        </is>
      </c>
      <c r="I27" s="2937" t="inlineStr">
        <is>
          <t>migration → QQQM FHSA</t>
        </is>
      </c>
      <c r="J27" s="2926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8" customHeight="1" s="1666">
      <c r="B28" s="2927" t="inlineStr">
        <is>
          <t>2026-03-09</t>
        </is>
      </c>
      <c r="C28" s="2928" t="inlineStr">
        <is>
          <t>VDY.TO</t>
        </is>
      </c>
      <c r="D28" s="2929" t="inlineStr">
        <is>
          <t>FHSA</t>
        </is>
      </c>
      <c r="E28" s="2929" t="inlineStr">
        <is>
          <t>🔴 VENDU</t>
        </is>
      </c>
      <c r="F28" s="2930" t="inlineStr">
        <is>
          <t>10u</t>
        </is>
      </c>
      <c r="G28" s="2930" t="inlineStr">
        <is>
          <t>$65.56 CAD</t>
        </is>
      </c>
      <c r="H28" s="2930" t="inlineStr">
        <is>
          <t>$656 CAD</t>
        </is>
      </c>
      <c r="I28" s="2931" t="inlineStr">
        <is>
          <t>migration → XEI FHSA</t>
        </is>
      </c>
      <c r="J28" s="2932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8" customHeight="1" s="1666">
      <c r="B29" s="2933" t="inlineStr">
        <is>
          <t>2026-03-09</t>
        </is>
      </c>
      <c r="C29" s="1978" t="n"/>
      <c r="D29" s="1978" t="n"/>
      <c r="E29" s="1978" t="n"/>
      <c r="F29" s="1978" t="n"/>
      <c r="G29" s="1978" t="n"/>
      <c r="H29" s="1979" t="n"/>
      <c r="I29" s="2937" t="inlineStr">
        <is>
          <t>FHSA +8u 12h21</t>
        </is>
      </c>
      <c r="J29" s="2926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8" customHeight="1" s="1666">
      <c r="B30" s="2927" t="inlineStr">
        <is>
          <t>2026-03-09</t>
        </is>
      </c>
      <c r="C30" s="2928" t="inlineStr">
        <is>
          <t>VFV.TO</t>
        </is>
      </c>
      <c r="D30" s="1979" t="n"/>
      <c r="E30" s="2929" t="inlineStr">
        <is>
          <t>🟢 ACHETÉ</t>
        </is>
      </c>
      <c r="F30" s="2930" t="inlineStr">
        <is>
          <t>2u</t>
        </is>
      </c>
      <c r="G30" s="2930" t="inlineStr">
        <is>
          <t>$161.78 CAD</t>
        </is>
      </c>
      <c r="H30" s="2930" t="inlineStr">
        <is>
          <t>$324 CAD</t>
        </is>
      </c>
      <c r="I30" s="2931" t="inlineStr">
        <is>
          <t>FHSA +2u 13h54</t>
        </is>
      </c>
      <c r="J30" s="2932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8" customHeight="1" s="1666">
      <c r="B31" s="2933" t="inlineStr">
        <is>
          <t>2026-03-09</t>
        </is>
      </c>
      <c r="C31" s="2934" t="inlineStr">
        <is>
          <t>XEQT.TO</t>
        </is>
      </c>
      <c r="D31" s="1979" t="n"/>
      <c r="E31" s="2935" t="inlineStr">
        <is>
          <t>🟢 ACHETÉ</t>
        </is>
      </c>
      <c r="F31" s="2936" t="inlineStr">
        <is>
          <t>15u</t>
        </is>
      </c>
      <c r="G31" s="2936" t="inlineStr">
        <is>
          <t>$40.06 CAD</t>
        </is>
      </c>
      <c r="H31" s="2936" t="inlineStr">
        <is>
          <t>$601 CAD</t>
        </is>
      </c>
      <c r="I31" s="2937" t="inlineStr">
        <is>
          <t>FHSA +15u post-ZEQT</t>
        </is>
      </c>
      <c r="J31" s="2926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8" customHeight="1" s="1666">
      <c r="B32" s="2927" t="inlineStr">
        <is>
          <t>2026-03-09</t>
        </is>
      </c>
      <c r="C32" s="2928" t="inlineStr">
        <is>
          <t>QQQM</t>
        </is>
      </c>
      <c r="D32" s="1979" t="n"/>
      <c r="E32" s="2929" t="inlineStr">
        <is>
          <t>🟢 ACHETÉ</t>
        </is>
      </c>
      <c r="F32" s="2930" t="inlineStr">
        <is>
          <t>~5.31u</t>
        </is>
      </c>
      <c r="G32" s="2930" t="inlineStr">
        <is>
          <t>$247.41 USD</t>
        </is>
      </c>
      <c r="H32" s="2930" t="inlineStr">
        <is>
          <t>~$1,783 CAD</t>
        </is>
      </c>
      <c r="I32" s="2931" t="inlineStr">
        <is>
          <t>FHSA $1,314 order post-ZQQ</t>
        </is>
      </c>
      <c r="J32" s="2932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8" customHeight="1" s="1666">
      <c r="B33" s="2933" t="inlineStr">
        <is>
          <t>2026-03-09</t>
        </is>
      </c>
      <c r="C33" s="2934" t="inlineStr">
        <is>
          <t>XEI.TO</t>
        </is>
      </c>
      <c r="D33" s="1979" t="n"/>
      <c r="E33" s="2935" t="inlineStr">
        <is>
          <t>🟢 ACHETÉ</t>
        </is>
      </c>
      <c r="F33" s="2936" t="inlineStr">
        <is>
          <t>19u</t>
        </is>
      </c>
      <c r="G33" s="2936" t="inlineStr">
        <is>
          <t>$35.43 CAD</t>
        </is>
      </c>
      <c r="H33" s="2936" t="inlineStr">
        <is>
          <t>$673 CAD</t>
        </is>
      </c>
      <c r="I33" s="2937" t="inlineStr">
        <is>
          <t>FHSA +19u post-VDY</t>
        </is>
      </c>
      <c r="J33" s="2926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8" customHeight="1" s="1666">
      <c r="B34" s="2938" t="inlineStr">
        <is>
          <t>── 9 mars 2026 · TFSA — Liquidations / Rotations ──</t>
        </is>
      </c>
      <c r="C34" s="1978" t="n"/>
      <c r="D34" s="1978" t="n"/>
      <c r="E34" s="1978" t="n"/>
      <c r="F34" s="1978" t="n"/>
      <c r="G34" s="1978" t="n"/>
      <c r="H34" s="1978" t="n"/>
      <c r="I34" s="1979" t="n"/>
      <c r="J34" s="2932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8" customHeight="1" s="1666">
      <c r="B35" s="2933" t="inlineStr">
        <is>
          <t>2026-03-09</t>
        </is>
      </c>
      <c r="C35" s="2934" t="inlineStr">
        <is>
          <t>AP.UN.TO</t>
        </is>
      </c>
      <c r="D35" s="1979" t="n"/>
      <c r="E35" s="2935" t="inlineStr">
        <is>
          <t>🔴 VENDU</t>
        </is>
      </c>
      <c r="F35" s="2936" t="inlineStr">
        <is>
          <t>62u</t>
        </is>
      </c>
      <c r="G35" s="2936" t="inlineStr">
        <is>
          <t>$8.89 CAD</t>
        </is>
      </c>
      <c r="H35" s="2936" t="inlineStr">
        <is>
          <t>$551 CAD</t>
        </is>
      </c>
      <c r="I35" s="2937" t="inlineStr">
        <is>
          <t>Allied REIT soldé TFSA</t>
        </is>
      </c>
      <c r="J35" s="2926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8" customHeight="1" s="1666">
      <c r="B36" s="2927" t="inlineStr">
        <is>
          <t>2026-03-09</t>
        </is>
      </c>
      <c r="C36" s="2928" t="inlineStr">
        <is>
          <t>CIAI.TO</t>
        </is>
      </c>
      <c r="D36" s="1979" t="n"/>
      <c r="E36" s="2929" t="inlineStr">
        <is>
          <t>🔴 VENDU</t>
        </is>
      </c>
      <c r="F36" s="2930" t="inlineStr">
        <is>
          <t>55u</t>
        </is>
      </c>
      <c r="G36" s="2930" t="inlineStr">
        <is>
          <t>$31.04 CAD</t>
        </is>
      </c>
      <c r="H36" s="2930" t="inlineStr">
        <is>
          <t>$1,707 CAD</t>
        </is>
      </c>
      <c r="I36" s="2931" t="inlineStr">
        <is>
          <t>AI ETF soldé → T1 direct</t>
        </is>
      </c>
      <c r="J36" s="2932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8" customHeight="1" s="1666">
      <c r="B37" s="2933" t="inlineStr">
        <is>
          <t>2026-03-09</t>
        </is>
      </c>
      <c r="C37" s="2934" t="inlineStr">
        <is>
          <t>HLIT.TO</t>
        </is>
      </c>
      <c r="D37" s="2935" t="inlineStr">
        <is>
          <t>TFSA</t>
        </is>
      </c>
      <c r="E37" s="2935" t="inlineStr">
        <is>
          <t>🔴 VENDU</t>
        </is>
      </c>
      <c r="F37" s="2936" t="inlineStr">
        <is>
          <t>22u</t>
        </is>
      </c>
      <c r="G37" s="2936" t="inlineStr">
        <is>
          <t>$22.00 CAD</t>
        </is>
      </c>
      <c r="H37" s="2936" t="inlineStr">
        <is>
          <t>$484 CAD</t>
        </is>
      </c>
      <c r="I37" s="2937" t="inlineStr">
        <is>
          <t>Lithium ETF · thèse morte</t>
        </is>
      </c>
      <c r="J37" s="2926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8" customHeight="1" s="1666">
      <c r="B38" s="2927" t="inlineStr">
        <is>
          <t>2026-03-09</t>
        </is>
      </c>
      <c r="C38" s="2928" t="inlineStr">
        <is>
          <t>INTC</t>
        </is>
      </c>
      <c r="D38" s="2929" t="inlineStr">
        <is>
          <t>TFSA</t>
        </is>
      </c>
      <c r="E38" s="2929" t="inlineStr">
        <is>
          <t>🔴 VENDU</t>
        </is>
      </c>
      <c r="F38" s="2930" t="inlineStr">
        <is>
          <t>12u</t>
        </is>
      </c>
      <c r="G38" s="2930" t="inlineStr">
        <is>
          <t>$44.16 USD</t>
        </is>
      </c>
      <c r="H38" s="2930" t="inlineStr">
        <is>
          <t>~$715 CAD</t>
        </is>
      </c>
      <c r="I38" s="2931" t="inlineStr">
        <is>
          <t>12h02 · 1ère tranche</t>
        </is>
      </c>
      <c r="J38" s="2932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8" customHeight="1" s="1666">
      <c r="B39" s="2933" t="inlineStr">
        <is>
          <t>2026-03-09</t>
        </is>
      </c>
      <c r="C39" s="2934" t="inlineStr">
        <is>
          <t>INTC</t>
        </is>
      </c>
      <c r="D39" s="2935" t="inlineStr">
        <is>
          <t>TFSA</t>
        </is>
      </c>
      <c r="E39" s="2935" t="inlineStr">
        <is>
          <t>🔴 VENDU</t>
        </is>
      </c>
      <c r="F39" s="2936" t="inlineStr">
        <is>
          <t>12u</t>
        </is>
      </c>
      <c r="G39" s="2936" t="inlineStr">
        <is>
          <t>$44.34 USD</t>
        </is>
      </c>
      <c r="H39" s="2936" t="inlineStr">
        <is>
          <t>~$716 CAD</t>
        </is>
      </c>
      <c r="I39" s="2937" t="inlineStr">
        <is>
          <t>12h33 · 2e tranche · soldé complet</t>
        </is>
      </c>
      <c r="J39" s="2926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8" customHeight="1" s="1666">
      <c r="B40" s="2927" t="inlineStr">
        <is>
          <t>2026-03-09</t>
        </is>
      </c>
      <c r="C40" s="2928" t="inlineStr">
        <is>
          <t>NANC</t>
        </is>
      </c>
      <c r="D40" s="2929" t="inlineStr">
        <is>
          <t>TFSA</t>
        </is>
      </c>
      <c r="E40" s="2929" t="inlineStr">
        <is>
          <t>🔴 VENDU</t>
        </is>
      </c>
      <c r="F40" s="2930" t="inlineStr">
        <is>
          <t>10u</t>
        </is>
      </c>
      <c r="G40" s="2930" t="inlineStr">
        <is>
          <t>$43.69 USD</t>
        </is>
      </c>
      <c r="H40" s="2930" t="inlineStr">
        <is>
          <t>~$593 CAD</t>
        </is>
      </c>
      <c r="I40" s="2931" t="inlineStr">
        <is>
          <t>ETF politique soldé</t>
        </is>
      </c>
      <c r="J40" s="2932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8" customHeight="1" s="1666">
      <c r="B41" s="2933" t="inlineStr">
        <is>
          <t>2026-03-09</t>
        </is>
      </c>
      <c r="C41" s="2934" t="inlineStr">
        <is>
          <t>BABA</t>
        </is>
      </c>
      <c r="D41" s="2935" t="inlineStr">
        <is>
          <t>TFSA</t>
        </is>
      </c>
      <c r="E41" s="2935" t="inlineStr">
        <is>
          <t>🔴 VENDU</t>
        </is>
      </c>
      <c r="F41" s="2936" t="inlineStr">
        <is>
          <t>2u</t>
        </is>
      </c>
      <c r="G41" s="2936" t="inlineStr">
        <is>
          <t>$131.58 USD</t>
        </is>
      </c>
      <c r="H41" s="2936" t="inlineStr">
        <is>
          <t>~$357 CAD</t>
        </is>
      </c>
      <c r="I41" s="2937" t="inlineStr">
        <is>
          <t>Alibaba soldé · géopolitique</t>
        </is>
      </c>
      <c r="J41" s="2926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B42" s="2927" t="inlineStr">
        <is>
          <t>2026-03-09</t>
        </is>
      </c>
      <c r="C42" s="2928" t="inlineStr">
        <is>
          <t>TOT.TO</t>
        </is>
      </c>
      <c r="D42" s="2929" t="inlineStr">
        <is>
          <t>TFSA</t>
        </is>
      </c>
      <c r="E42" s="2929" t="inlineStr">
        <is>
          <t>🔴 VENDU</t>
        </is>
      </c>
      <c r="F42" s="2930" t="inlineStr">
        <is>
          <t>30u</t>
        </is>
      </c>
      <c r="G42" s="2930" t="inlineStr">
        <is>
          <t>$18.85 CAD</t>
        </is>
      </c>
      <c r="H42" s="2930" t="inlineStr">
        <is>
          <t>$565 CAD</t>
        </is>
      </c>
      <c r="I42" s="2931" t="inlineStr">
        <is>
          <t>Total Energy soldé (rachat 03 mars vendu 09)</t>
        </is>
      </c>
      <c r="J42" s="2932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8" customHeight="1" s="1666">
      <c r="B43" s="2933" t="inlineStr">
        <is>
          <t>2026-03-09</t>
        </is>
      </c>
      <c r="C43" s="2934" t="inlineStr">
        <is>
          <t>TSLA.TO</t>
        </is>
      </c>
      <c r="D43" s="2935" t="inlineStr">
        <is>
          <t>TFSA</t>
        </is>
      </c>
      <c r="E43" s="2935" t="inlineStr">
        <is>
          <t>🔴 VENDU</t>
        </is>
      </c>
      <c r="F43" s="2936" t="inlineStr">
        <is>
          <t>13u</t>
        </is>
      </c>
      <c r="G43" s="2936" t="inlineStr">
        <is>
          <t>$34.22 CAD</t>
        </is>
      </c>
      <c r="H43" s="2936" t="inlineStr">
        <is>
          <t>$445 CAD</t>
        </is>
      </c>
      <c r="I43" s="2937" t="inlineStr">
        <is>
          <t>migré → TSLA USD</t>
        </is>
      </c>
      <c r="J43" s="2926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8" customHeight="1" s="1666">
      <c r="B44" s="2927" t="inlineStr">
        <is>
          <t>2026-03-09</t>
        </is>
      </c>
      <c r="C44" s="2928" t="inlineStr">
        <is>
          <t>XRE.TO</t>
        </is>
      </c>
      <c r="D44" s="2929" t="inlineStr">
        <is>
          <t>TFSA</t>
        </is>
      </c>
      <c r="E44" s="2929" t="inlineStr">
        <is>
          <t>🔴 VENDU</t>
        </is>
      </c>
      <c r="F44" s="2930" t="inlineStr">
        <is>
          <t>19u</t>
        </is>
      </c>
      <c r="G44" s="2930" t="inlineStr">
        <is>
          <t>$15.58 CAD</t>
        </is>
      </c>
      <c r="H44" s="2930" t="inlineStr">
        <is>
          <t>$296 CAD</t>
        </is>
      </c>
      <c r="I44" s="2931" t="inlineStr">
        <is>
          <t>REIT ETF liquidé</t>
        </is>
      </c>
      <c r="J44" s="2932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8" customHeight="1" s="1666">
      <c r="B45" s="2933" t="inlineStr">
        <is>
          <t>2026-03-09</t>
        </is>
      </c>
      <c r="C45" s="2934" t="inlineStr">
        <is>
          <t>VUN.TO</t>
        </is>
      </c>
      <c r="D45" s="2935" t="inlineStr">
        <is>
          <t>TFSA</t>
        </is>
      </c>
      <c r="E45" s="2935" t="inlineStr">
        <is>
          <t>🔴 VENDU</t>
        </is>
      </c>
      <c r="F45" s="2936" t="inlineStr">
        <is>
          <t>16u</t>
        </is>
      </c>
      <c r="G45" s="2936" t="inlineStr">
        <is>
          <t>$121.79 CAD</t>
        </is>
      </c>
      <c r="H45" s="2936" t="inlineStr">
        <is>
          <t>$1,949 CAD</t>
        </is>
      </c>
      <c r="I45" s="2937" t="inlineStr">
        <is>
          <t>migration → VFV.TO</t>
        </is>
      </c>
      <c r="J45" s="2926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8" customHeight="1" s="1666">
      <c r="B46" s="2927" t="inlineStr">
        <is>
          <t>2026-03-09</t>
        </is>
      </c>
      <c r="C46" s="2928" t="inlineStr">
        <is>
          <t>VDY.TO</t>
        </is>
      </c>
      <c r="D46" s="2929" t="inlineStr">
        <is>
          <t>TFSA</t>
        </is>
      </c>
      <c r="E46" s="2929" t="inlineStr">
        <is>
          <t>🔴 VENDU</t>
        </is>
      </c>
      <c r="F46" s="2930" t="inlineStr">
        <is>
          <t>16u</t>
        </is>
      </c>
      <c r="G46" s="2930" t="inlineStr">
        <is>
          <t>$65.47 CAD</t>
        </is>
      </c>
      <c r="H46" s="2930" t="inlineStr">
        <is>
          <t>$1,048 CAD</t>
        </is>
      </c>
      <c r="I46" s="2931" t="inlineStr">
        <is>
          <t>migration → XEI.TO</t>
        </is>
      </c>
      <c r="J46" s="2932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8" customHeight="1" s="1666">
      <c r="B47" s="2933" t="inlineStr">
        <is>
          <t>2026-03-09</t>
        </is>
      </c>
      <c r="C47" s="2934" t="inlineStr">
        <is>
          <t>ZEQT.TO</t>
        </is>
      </c>
      <c r="D47" s="2935" t="inlineStr">
        <is>
          <t>TFSA</t>
        </is>
      </c>
      <c r="E47" s="2935" t="inlineStr">
        <is>
          <t>🔴 VENDU</t>
        </is>
      </c>
      <c r="F47" s="2936" t="inlineStr">
        <is>
          <t>45u</t>
        </is>
      </c>
      <c r="G47" s="2936" t="inlineStr">
        <is>
          <t>$20.42 CAD</t>
        </is>
      </c>
      <c r="H47" s="2936" t="inlineStr">
        <is>
          <t>$919 CAD</t>
        </is>
      </c>
      <c r="I47" s="2937" t="inlineStr">
        <is>
          <t>migration → XEQT.TO</t>
        </is>
      </c>
      <c r="J47" s="2926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8" customHeight="1" s="1666">
      <c r="B48" s="2927" t="inlineStr">
        <is>
          <t>2026-03-09</t>
        </is>
      </c>
      <c r="C48" s="2928" t="inlineStr">
        <is>
          <t>ZQQ.TO</t>
        </is>
      </c>
      <c r="D48" s="2929" t="inlineStr">
        <is>
          <t>TFSA</t>
        </is>
      </c>
      <c r="E48" s="2929" t="inlineStr">
        <is>
          <t>🔴 VENDU</t>
        </is>
      </c>
      <c r="F48" s="2930" t="inlineStr">
        <is>
          <t>9u</t>
        </is>
      </c>
      <c r="G48" s="2930" t="inlineStr">
        <is>
          <t>$167.93 CAD</t>
        </is>
      </c>
      <c r="H48" s="2930" t="inlineStr">
        <is>
          <t>$1,511 CAD</t>
        </is>
      </c>
      <c r="I48" s="2931" t="inlineStr">
        <is>
          <t>migration → QQQM USD</t>
        </is>
      </c>
      <c r="J48" s="2932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8" customHeight="1" s="1666">
      <c r="B49" s="2933" t="inlineStr">
        <is>
          <t>2026-03-09</t>
        </is>
      </c>
      <c r="C49" s="2934" t="inlineStr">
        <is>
          <t>QCLN.TO</t>
        </is>
      </c>
      <c r="D49" s="2935" t="inlineStr">
        <is>
          <t>TFSA</t>
        </is>
      </c>
      <c r="E49" s="2935" t="inlineStr">
        <is>
          <t>🔴 VENDU</t>
        </is>
      </c>
      <c r="F49" s="2936" t="inlineStr">
        <is>
          <t>55u</t>
        </is>
      </c>
      <c r="G49" s="2936" t="inlineStr">
        <is>
          <t>$20.27 CAD</t>
        </is>
      </c>
      <c r="H49" s="2936" t="inlineStr">
        <is>
          <t>$1,115 CAD</t>
        </is>
      </c>
      <c r="I49" s="2937" t="inlineStr">
        <is>
          <t>clean energy ETF soldé</t>
        </is>
      </c>
      <c r="J49" s="2926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8" customHeight="1" s="1666">
      <c r="B50" s="2939" t="inlineStr">
        <is>
          <t>2026-03-09</t>
        </is>
      </c>
      <c r="C50" s="2940" t="inlineStr">
        <is>
          <t>PRME.CN</t>
        </is>
      </c>
      <c r="D50" s="2941" t="inlineStr">
        <is>
          <t>TFSA</t>
        </is>
      </c>
      <c r="E50" s="2941" t="inlineStr">
        <is>
          <t>🔴 VENDU</t>
        </is>
      </c>
      <c r="F50" s="2942" t="inlineStr">
        <is>
          <t>1091u</t>
        </is>
      </c>
      <c r="G50" s="2942" t="inlineStr">
        <is>
          <t>$0.062 CAD</t>
        </is>
      </c>
      <c r="H50" s="2942" t="inlineStr">
        <is>
          <t>$68 CAD</t>
        </is>
      </c>
      <c r="I50" s="2943" t="inlineStr">
        <is>
          <t>penny stock spéculatif soldé</t>
        </is>
      </c>
      <c r="J50" s="2932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8" customHeight="1" s="1666">
      <c r="B51" s="2944" t="inlineStr">
        <is>
          <t>── 9 mars 2026 · TFSA — Achats T1/T2 ──</t>
        </is>
      </c>
      <c r="J51" s="2926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8" customHeight="1" s="1666">
      <c r="B52" s="2945" t="inlineStr">
        <is>
          <t>2026-03-09</t>
        </is>
      </c>
      <c r="C52" s="2946" t="inlineStr">
        <is>
          <t>AVGO</t>
        </is>
      </c>
      <c r="D52" s="2945" t="inlineStr">
        <is>
          <t>TFSA</t>
        </is>
      </c>
      <c r="E52" s="2945" t="inlineStr">
        <is>
          <t>🟢 ACHETÉ</t>
        </is>
      </c>
      <c r="F52" s="2947" t="inlineStr">
        <is>
          <t>~5.25u</t>
        </is>
      </c>
      <c r="G52" s="2947" t="inlineStr">
        <is>
          <t>$343.00 USD</t>
        </is>
      </c>
      <c r="H52" s="2947" t="inlineStr">
        <is>
          <t>~$2,443 CAD</t>
        </is>
      </c>
      <c r="I52" s="2947" t="inlineStr">
        <is>
          <t>12h00 · $1,800 order</t>
        </is>
      </c>
      <c r="J52" s="2932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8" customHeight="1" s="1666">
      <c r="B53" s="2948" t="inlineStr">
        <is>
          <t>2026-03-09</t>
        </is>
      </c>
      <c r="C53" s="2949" t="inlineStr">
        <is>
          <t>SMH</t>
        </is>
      </c>
      <c r="D53" s="2948" t="inlineStr">
        <is>
          <t>TFSA</t>
        </is>
      </c>
      <c r="E53" s="2948" t="inlineStr">
        <is>
          <t>🟢 ACHETÉ</t>
        </is>
      </c>
      <c r="F53" s="2950" t="inlineStr">
        <is>
          <t>~2.60u</t>
        </is>
      </c>
      <c r="G53" s="2950" t="inlineStr">
        <is>
          <t>$385.12 USD</t>
        </is>
      </c>
      <c r="H53" s="2950" t="inlineStr">
        <is>
          <t>~$1,357 CAD</t>
        </is>
      </c>
      <c r="I53" s="2950" t="inlineStr">
        <is>
          <t>12h01 · $1,000 order</t>
        </is>
      </c>
      <c r="J53" s="2926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8" customHeight="1" s="1666">
      <c r="B54" s="2945" t="inlineStr">
        <is>
          <t>2026-03-09</t>
        </is>
      </c>
      <c r="C54" s="2946" t="inlineStr">
        <is>
          <t>META</t>
        </is>
      </c>
      <c r="D54" s="2945" t="inlineStr">
        <is>
          <t>TFSA</t>
        </is>
      </c>
      <c r="E54" s="2945" t="inlineStr">
        <is>
          <t>🟢 ACHETÉ</t>
        </is>
      </c>
      <c r="F54" s="2947" t="inlineStr">
        <is>
          <t>1u</t>
        </is>
      </c>
      <c r="G54" s="2947" t="inlineStr">
        <is>
          <t>$637.77 USD</t>
        </is>
      </c>
      <c r="H54" s="2947" t="inlineStr">
        <is>
          <t>~$865 CAD</t>
        </is>
      </c>
      <c r="I54" s="2947" t="inlineStr">
        <is>
          <t>12h20 · T1 · 1u</t>
        </is>
      </c>
      <c r="J54" s="2932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8" customHeight="1" s="1666">
      <c r="B55" s="2948" t="inlineStr">
        <is>
          <t>2026-03-09</t>
        </is>
      </c>
      <c r="C55" s="2949" t="inlineStr">
        <is>
          <t>GEV</t>
        </is>
      </c>
      <c r="D55" s="2948" t="inlineStr">
        <is>
          <t>TFSA</t>
        </is>
      </c>
      <c r="E55" s="2948" t="inlineStr">
        <is>
          <t>🟢 ACHETÉ</t>
        </is>
      </c>
      <c r="F55" s="2950" t="inlineStr">
        <is>
          <t>~1.072u</t>
        </is>
      </c>
      <c r="G55" s="2950" t="inlineStr">
        <is>
          <t>$815-818 USD</t>
        </is>
      </c>
      <c r="H55" s="2950" t="inlineStr">
        <is>
          <t>~$1,553 CAD</t>
        </is>
      </c>
      <c r="I55" s="2950" t="inlineStr">
        <is>
          <t>12h20+12h26 · $600+$275 orders</t>
        </is>
      </c>
      <c r="J55" s="2926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8" customHeight="1" s="1666">
      <c r="B56" s="2945" t="inlineStr">
        <is>
          <t>2026-03-09</t>
        </is>
      </c>
      <c r="C56" s="2946" t="inlineStr">
        <is>
          <t>SMH</t>
        </is>
      </c>
      <c r="D56" s="2945" t="inlineStr">
        <is>
          <t>TFSA</t>
        </is>
      </c>
      <c r="E56" s="2945" t="inlineStr">
        <is>
          <t>🟢 ACHETÉ</t>
        </is>
      </c>
      <c r="F56" s="2947" t="inlineStr">
        <is>
          <t>~5.17u</t>
        </is>
      </c>
      <c r="G56" s="2947" t="inlineStr">
        <is>
          <t>$385-386 USD</t>
        </is>
      </c>
      <c r="H56" s="2947" t="inlineStr">
        <is>
          <t>~$2,714 CAD</t>
        </is>
      </c>
      <c r="I56" s="2947" t="inlineStr">
        <is>
          <t>12h19+12h26 · $300+$1,700 orders</t>
        </is>
      </c>
      <c r="J56" s="2932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8" customHeight="1" s="1666">
      <c r="B57" s="2948" t="inlineStr">
        <is>
          <t>2026-03-09</t>
        </is>
      </c>
      <c r="C57" s="2949" t="inlineStr">
        <is>
          <t>AVGO</t>
        </is>
      </c>
      <c r="D57" s="2948" t="inlineStr">
        <is>
          <t>TFSA</t>
        </is>
      </c>
      <c r="E57" s="2948" t="inlineStr">
        <is>
          <t>🟢 ACHETÉ</t>
        </is>
      </c>
      <c r="F57" s="2950" t="inlineStr">
        <is>
          <t>~2.18u</t>
        </is>
      </c>
      <c r="G57" s="2950" t="inlineStr">
        <is>
          <t>$344.51 USD</t>
        </is>
      </c>
      <c r="H57" s="2950" t="inlineStr">
        <is>
          <t>~$1,018 CAD</t>
        </is>
      </c>
      <c r="I57" s="2950" t="inlineStr">
        <is>
          <t>12h27 · $750 order</t>
        </is>
      </c>
      <c r="J57" s="2926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8" customHeight="1" s="1666">
      <c r="B58" s="2945" t="inlineStr">
        <is>
          <t>2026-03-09</t>
        </is>
      </c>
      <c r="C58" s="2946" t="inlineStr">
        <is>
          <t>TSLA</t>
        </is>
      </c>
      <c r="D58" s="2945" t="inlineStr">
        <is>
          <t>TFSA</t>
        </is>
      </c>
      <c r="E58" s="2945" t="inlineStr">
        <is>
          <t>🟢 ACHETÉ</t>
        </is>
      </c>
      <c r="F58" s="2947" t="inlineStr">
        <is>
          <t>~0.38u</t>
        </is>
      </c>
      <c r="G58" s="2947" t="inlineStr">
        <is>
          <t>$390.55 USD</t>
        </is>
      </c>
      <c r="H58" s="2947" t="inlineStr">
        <is>
          <t>~$204 CAD</t>
        </is>
      </c>
      <c r="I58" s="2947" t="inlineStr">
        <is>
          <t>12h28 · $150 order · T2</t>
        </is>
      </c>
      <c r="J58" s="2932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8" customHeight="1" s="1666">
      <c r="B59" s="2948" t="inlineStr">
        <is>
          <t>2026-03-09</t>
        </is>
      </c>
      <c r="C59" s="2949" t="inlineStr">
        <is>
          <t>VFV.TO</t>
        </is>
      </c>
      <c r="D59" s="2948" t="inlineStr">
        <is>
          <t>TFSA</t>
        </is>
      </c>
      <c r="E59" s="2948" t="inlineStr">
        <is>
          <t>🟢 ACHETÉ</t>
        </is>
      </c>
      <c r="F59" s="2950" t="inlineStr">
        <is>
          <t>13u</t>
        </is>
      </c>
      <c r="G59" s="2950" t="inlineStr">
        <is>
          <t>$162.09 CAD</t>
        </is>
      </c>
      <c r="H59" s="2950" t="inlineStr">
        <is>
          <t>$2,107 CAD</t>
        </is>
      </c>
      <c r="I59" s="2950" t="inlineStr">
        <is>
          <t>12h36 · post-VUN</t>
        </is>
      </c>
      <c r="J59" s="2926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8" customHeight="1" s="1666">
      <c r="B60" s="2945" t="inlineStr">
        <is>
          <t>2026-03-09</t>
        </is>
      </c>
      <c r="C60" s="2946" t="inlineStr">
        <is>
          <t>XEI.TO</t>
        </is>
      </c>
      <c r="D60" s="2945" t="inlineStr">
        <is>
          <t>TFSA</t>
        </is>
      </c>
      <c r="E60" s="2945" t="inlineStr">
        <is>
          <t>🟢 ACHETÉ</t>
        </is>
      </c>
      <c r="F60" s="2947" t="inlineStr">
        <is>
          <t>30u</t>
        </is>
      </c>
      <c r="G60" s="2947" t="inlineStr">
        <is>
          <t>$35.39 CAD</t>
        </is>
      </c>
      <c r="H60" s="2947" t="inlineStr">
        <is>
          <t>$1,062 CAD</t>
        </is>
      </c>
      <c r="I60" s="2947" t="inlineStr">
        <is>
          <t>12h30 · post-VDY</t>
        </is>
      </c>
      <c r="J60" s="2932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8" customHeight="1" s="1666">
      <c r="B61" s="2948" t="inlineStr">
        <is>
          <t>2026-03-09</t>
        </is>
      </c>
      <c r="C61" s="2949" t="inlineStr">
        <is>
          <t>XEQT.TO</t>
        </is>
      </c>
      <c r="D61" s="2948" t="inlineStr">
        <is>
          <t>TFSA</t>
        </is>
      </c>
      <c r="E61" s="2948" t="inlineStr">
        <is>
          <t>🟢 ACHETÉ</t>
        </is>
      </c>
      <c r="F61" s="2950" t="inlineStr">
        <is>
          <t>25u</t>
        </is>
      </c>
      <c r="G61" s="2950" t="inlineStr">
        <is>
          <t>$39.97 CAD</t>
        </is>
      </c>
      <c r="H61" s="2950" t="inlineStr">
        <is>
          <t>$999 CAD</t>
        </is>
      </c>
      <c r="I61" s="2950" t="inlineStr">
        <is>
          <t>12h31 · post-ZEQT</t>
        </is>
      </c>
      <c r="J61" s="2926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8" customHeight="1" s="1666">
      <c r="B62" s="2945" t="inlineStr">
        <is>
          <t>2026-03-09</t>
        </is>
      </c>
      <c r="C62" s="2946" t="inlineStr">
        <is>
          <t>QQQM</t>
        </is>
      </c>
      <c r="D62" s="2945" t="inlineStr">
        <is>
          <t>TFSA</t>
        </is>
      </c>
      <c r="E62" s="2945" t="inlineStr">
        <is>
          <t>🟢 ACHETÉ</t>
        </is>
      </c>
      <c r="F62" s="2947" t="inlineStr">
        <is>
          <t>~4.45u</t>
        </is>
      </c>
      <c r="G62" s="2947" t="inlineStr">
        <is>
          <t>$247.11 USD</t>
        </is>
      </c>
      <c r="H62" s="2947" t="inlineStr">
        <is>
          <t>~$1,493 CAD</t>
        </is>
      </c>
      <c r="I62" s="2947" t="inlineStr">
        <is>
          <t>12h24 · $1,100 order</t>
        </is>
      </c>
      <c r="J62" s="2932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8" customHeight="1" s="1666">
      <c r="B63" s="2948" t="inlineStr">
        <is>
          <t>2026-03-09</t>
        </is>
      </c>
      <c r="C63" s="2949" t="inlineStr">
        <is>
          <t>SPGI</t>
        </is>
      </c>
      <c r="D63" s="2948" t="inlineStr">
        <is>
          <t>TFSA</t>
        </is>
      </c>
      <c r="E63" s="2948" t="inlineStr">
        <is>
          <t>🟢 ACHETÉ</t>
        </is>
      </c>
      <c r="F63" s="2950" t="inlineStr">
        <is>
          <t>~0.9996u</t>
        </is>
      </c>
      <c r="G63" s="2950" t="inlineStr">
        <is>
          <t>$443.25 USD</t>
        </is>
      </c>
      <c r="H63" s="2950" t="inlineStr">
        <is>
          <t>~$601 CAD</t>
        </is>
      </c>
      <c r="I63" s="2950" t="inlineStr">
        <is>
          <t>12h40 · $443 order · T2</t>
        </is>
      </c>
      <c r="J63" s="2926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8" customHeight="1" s="1666">
      <c r="B64" s="2945" t="inlineStr">
        <is>
          <t>2026-03-09</t>
        </is>
      </c>
      <c r="C64" s="2946" t="inlineStr">
        <is>
          <t>AVGO</t>
        </is>
      </c>
      <c r="D64" s="2945" t="inlineStr">
        <is>
          <t>TFSA</t>
        </is>
      </c>
      <c r="E64" s="2945" t="inlineStr">
        <is>
          <t>🟢 ACHETÉ</t>
        </is>
      </c>
      <c r="F64" s="2947" t="inlineStr">
        <is>
          <t>~2.15u</t>
        </is>
      </c>
      <c r="G64" s="2947" t="inlineStr">
        <is>
          <t>$342.87 USD</t>
        </is>
      </c>
      <c r="H64" s="2947" t="inlineStr">
        <is>
          <t>~$1,000 CAD</t>
        </is>
      </c>
      <c r="I64" s="2947" t="inlineStr">
        <is>
          <t>13h52 · $737 order</t>
        </is>
      </c>
      <c r="J64" s="2932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8" customHeight="1" s="1666">
      <c r="B65" s="2948" t="inlineStr">
        <is>
          <t>2026-03-09</t>
        </is>
      </c>
      <c r="C65" s="2949" t="inlineStr">
        <is>
          <t>SMH</t>
        </is>
      </c>
      <c r="D65" s="2948" t="inlineStr">
        <is>
          <t>TFSA</t>
        </is>
      </c>
      <c r="E65" s="2948" t="inlineStr">
        <is>
          <t>🟢 ACHETÉ</t>
        </is>
      </c>
      <c r="F65" s="2950" t="inlineStr">
        <is>
          <t>~1.46u</t>
        </is>
      </c>
      <c r="G65" s="2950" t="inlineStr">
        <is>
          <t>$385.39 USD</t>
        </is>
      </c>
      <c r="H65" s="2950" t="inlineStr">
        <is>
          <t>~$762 CAD</t>
        </is>
      </c>
      <c r="I65" s="2950" t="inlineStr">
        <is>
          <t>13h58 · $562 order</t>
        </is>
      </c>
      <c r="J65" s="2926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8" customHeight="1" s="1666">
      <c r="B66" s="2951" t="inlineStr">
        <is>
          <t>── 4 mars 2026 ──</t>
        </is>
      </c>
      <c r="J66" s="2932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8" customHeight="1" s="1666">
      <c r="B67" s="2948" t="inlineStr">
        <is>
          <t>2026-03-04</t>
        </is>
      </c>
      <c r="C67" s="2949" t="inlineStr">
        <is>
          <t>ZLB.TO</t>
        </is>
      </c>
      <c r="D67" s="2948" t="inlineStr">
        <is>
          <t>TFSA</t>
        </is>
      </c>
      <c r="E67" s="2948" t="inlineStr">
        <is>
          <t>🟢 ACHETÉ</t>
        </is>
      </c>
      <c r="F67" s="2950" t="inlineStr">
        <is>
          <t>4u</t>
        </is>
      </c>
      <c r="G67" s="2950" t="inlineStr">
        <is>
          <t>$59.97 CAD</t>
        </is>
      </c>
      <c r="H67" s="2950" t="inlineStr">
        <is>
          <t>$240 CAD</t>
        </is>
      </c>
      <c r="I67" s="2950" t="inlineStr">
        <is>
          <t>GTC · Low Vol T3</t>
        </is>
      </c>
      <c r="J67" s="2926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8" customHeight="1" s="1666">
      <c r="B68" s="2951" t="inlineStr">
        <is>
          <t>── 3 mars 2026 ──</t>
        </is>
      </c>
      <c r="J68" s="2932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8" customHeight="1" s="1666">
      <c r="B69" s="2948" t="inlineStr">
        <is>
          <t>2026-03-03</t>
        </is>
      </c>
      <c r="C69" s="2949" t="inlineStr">
        <is>
          <t>H.TO</t>
        </is>
      </c>
      <c r="D69" s="2948" t="inlineStr">
        <is>
          <t>TFSA</t>
        </is>
      </c>
      <c r="E69" s="2948" t="inlineStr">
        <is>
          <t>🟢 ACHETÉ</t>
        </is>
      </c>
      <c r="F69" s="2950" t="inlineStr">
        <is>
          <t>7u</t>
        </is>
      </c>
      <c r="G69" s="2950" t="inlineStr">
        <is>
          <t>$58.08 CAD</t>
        </is>
      </c>
      <c r="H69" s="2950" t="inlineStr">
        <is>
          <t>$407 CAD</t>
        </is>
      </c>
      <c r="I69" s="2950" t="inlineStr">
        <is>
          <t>GTC · utilités T3</t>
        </is>
      </c>
      <c r="J69" s="2926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8" customHeight="1" s="1666">
      <c r="B70" s="2945" t="inlineStr">
        <is>
          <t>2026-03-03</t>
        </is>
      </c>
      <c r="C70" s="2946" t="inlineStr">
        <is>
          <t>TD.TO</t>
        </is>
      </c>
      <c r="D70" s="2945" t="inlineStr">
        <is>
          <t>TFSA</t>
        </is>
      </c>
      <c r="E70" s="2945" t="inlineStr">
        <is>
          <t>🟢 ACHETÉ</t>
        </is>
      </c>
      <c r="F70" s="2947" t="inlineStr">
        <is>
          <t>2u</t>
        </is>
      </c>
      <c r="G70" s="2947" t="inlineStr">
        <is>
          <t>$133.55 CAD</t>
        </is>
      </c>
      <c r="H70" s="2947" t="inlineStr">
        <is>
          <t>$267 CAD</t>
        </is>
      </c>
      <c r="I70" s="2947" t="inlineStr">
        <is>
          <t>GTC · banque T3</t>
        </is>
      </c>
      <c r="J70" s="2932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8" customHeight="1" s="1666">
      <c r="B71" s="2948" t="inlineStr">
        <is>
          <t>2026-03-03</t>
        </is>
      </c>
      <c r="C71" s="2949" t="inlineStr">
        <is>
          <t>ZLB.TO</t>
        </is>
      </c>
      <c r="D71" s="2948" t="inlineStr">
        <is>
          <t>FHSA</t>
        </is>
      </c>
      <c r="E71" s="2948" t="inlineStr">
        <is>
          <t>🟢 ACHETÉ</t>
        </is>
      </c>
      <c r="F71" s="2950" t="inlineStr">
        <is>
          <t>1u</t>
        </is>
      </c>
      <c r="G71" s="2950" t="inlineStr">
        <is>
          <t>$60.06 CAD</t>
        </is>
      </c>
      <c r="H71" s="2950" t="inlineStr">
        <is>
          <t>$60 CAD</t>
        </is>
      </c>
      <c r="I71" s="2950" t="inlineStr">
        <is>
          <t>FHSA Low Vol</t>
        </is>
      </c>
      <c r="J71" s="2926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8" customHeight="1" s="1666">
      <c r="B72" s="2945" t="inlineStr">
        <is>
          <t>2026-03-03</t>
        </is>
      </c>
      <c r="C72" s="2946" t="inlineStr">
        <is>
          <t>ZEQT.TO</t>
        </is>
      </c>
      <c r="D72" s="2945" t="inlineStr">
        <is>
          <t>TFSA</t>
        </is>
      </c>
      <c r="E72" s="2945" t="inlineStr">
        <is>
          <t>🟢 ACHETÉ</t>
        </is>
      </c>
      <c r="F72" s="2947" t="inlineStr">
        <is>
          <t>10u</t>
        </is>
      </c>
      <c r="G72" s="2947" t="inlineStr">
        <is>
          <t>$21.00 CAD</t>
        </is>
      </c>
      <c r="H72" s="2947" t="inlineStr">
        <is>
          <t>$210 CAD</t>
        </is>
      </c>
      <c r="I72" s="2947" t="inlineStr">
        <is>
          <t>GTC · liquidé 09 mars</t>
        </is>
      </c>
      <c r="J72" s="2932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8" customHeight="1" s="1666">
      <c r="B73" s="2948" t="inlineStr">
        <is>
          <t>2026-03-03</t>
        </is>
      </c>
      <c r="C73" s="2949" t="inlineStr">
        <is>
          <t>XIC.TO</t>
        </is>
      </c>
      <c r="D73" s="2948" t="inlineStr">
        <is>
          <t>TFSA</t>
        </is>
      </c>
      <c r="E73" s="2948" t="inlineStr">
        <is>
          <t>🟢 ACHETÉ</t>
        </is>
      </c>
      <c r="F73" s="2950" t="inlineStr">
        <is>
          <t>4u</t>
        </is>
      </c>
      <c r="G73" s="2950" t="inlineStr">
        <is>
          <t>$54.00 CAD</t>
        </is>
      </c>
      <c r="H73" s="2950" t="inlineStr">
        <is>
          <t>$216 CAD</t>
        </is>
      </c>
      <c r="I73" s="2950" t="inlineStr">
        <is>
          <t>Day order · TSX</t>
        </is>
      </c>
      <c r="J73" s="2926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8" customHeight="1" s="1666">
      <c r="B74" s="2945" t="inlineStr">
        <is>
          <t>2026-03-03</t>
        </is>
      </c>
      <c r="C74" s="2946" t="inlineStr">
        <is>
          <t>CHPS.TO</t>
        </is>
      </c>
      <c r="D74" s="2945" t="inlineStr">
        <is>
          <t>TFSA</t>
        </is>
      </c>
      <c r="E74" s="2945" t="inlineStr">
        <is>
          <t>🟢 ACHETÉ</t>
        </is>
      </c>
      <c r="F74" s="2947" t="inlineStr">
        <is>
          <t>4u</t>
        </is>
      </c>
      <c r="G74" s="2947" t="inlineStr">
        <is>
          <t>$58.55 CAD</t>
        </is>
      </c>
      <c r="H74" s="2947" t="inlineStr">
        <is>
          <t>$234 CAD</t>
        </is>
      </c>
      <c r="I74" s="2947" t="inlineStr">
        <is>
          <t>GTC · AI semi · soldé 09 mars</t>
        </is>
      </c>
      <c r="J74" s="2932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8" customHeight="1" s="1666">
      <c r="B75" s="2948" t="inlineStr">
        <is>
          <t>2026-03-03</t>
        </is>
      </c>
      <c r="C75" s="2949" t="inlineStr">
        <is>
          <t>TOT.TO</t>
        </is>
      </c>
      <c r="D75" s="2948" t="inlineStr">
        <is>
          <t>TFSA</t>
        </is>
      </c>
      <c r="E75" s="2948" t="inlineStr">
        <is>
          <t>🟢 ACHETÉ</t>
        </is>
      </c>
      <c r="F75" s="2950" t="inlineStr">
        <is>
          <t>15u</t>
        </is>
      </c>
      <c r="G75" s="2950" t="inlineStr">
        <is>
          <t>$18.58 CAD</t>
        </is>
      </c>
      <c r="H75" s="2950" t="inlineStr">
        <is>
          <t>$279 CAD</t>
        </is>
      </c>
      <c r="I75" s="2950" t="inlineStr">
        <is>
          <t>GTC · soldé 09 mars</t>
        </is>
      </c>
      <c r="J75" s="2926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8" customHeight="1" s="1666">
      <c r="B76" s="2951" t="inlineStr">
        <is>
          <t>── 27 fév 2026 ──</t>
        </is>
      </c>
      <c r="J76" s="2932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8" customHeight="1" s="1666">
      <c r="B77" s="2948" t="inlineStr">
        <is>
          <t>2026-02-27</t>
        </is>
      </c>
      <c r="C77" s="2949" t="inlineStr">
        <is>
          <t>AMZN</t>
        </is>
      </c>
      <c r="D77" s="2948" t="inlineStr">
        <is>
          <t>TFSA</t>
        </is>
      </c>
      <c r="E77" s="2948" t="inlineStr">
        <is>
          <t>🟢 ACHETÉ</t>
        </is>
      </c>
      <c r="F77" s="2950" t="inlineStr">
        <is>
          <t>~0.45u</t>
        </is>
      </c>
      <c r="G77" s="2950" t="inlineStr">
        <is>
          <t>$206.81 USD</t>
        </is>
      </c>
      <c r="H77" s="2950" t="inlineStr">
        <is>
          <t>~$126 CAD</t>
        </is>
      </c>
      <c r="I77" s="2950" t="inlineStr">
        <is>
          <t>$93.29 order</t>
        </is>
      </c>
      <c r="J77" s="2926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8" customHeight="1" s="1666">
      <c r="B78" s="2951" t="inlineStr">
        <is>
          <t>── 25 fév 2026 ──</t>
        </is>
      </c>
      <c r="J78" s="2932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8" customHeight="1" s="1666">
      <c r="B79" s="2948" t="inlineStr">
        <is>
          <t>2026-02-25</t>
        </is>
      </c>
      <c r="C79" s="2949" t="inlineStr">
        <is>
          <t>TSLA</t>
        </is>
      </c>
      <c r="D79" s="2948" t="inlineStr">
        <is>
          <t>TFSA</t>
        </is>
      </c>
      <c r="E79" s="2948" t="inlineStr">
        <is>
          <t>🟢 ACHETÉ</t>
        </is>
      </c>
      <c r="F79" s="2950" t="inlineStr">
        <is>
          <t>~0.48u</t>
        </is>
      </c>
      <c r="G79" s="2950" t="inlineStr">
        <is>
          <t>$416.20 USD</t>
        </is>
      </c>
      <c r="H79" s="2950" t="inlineStr">
        <is>
          <t>~$271 CAD</t>
        </is>
      </c>
      <c r="I79" s="2950" t="inlineStr">
        <is>
          <t>$200 order · T2</t>
        </is>
      </c>
      <c r="J79" s="2926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8" customHeight="1" s="1666">
      <c r="B80" s="2945" t="inlineStr">
        <is>
          <t>2026-02-25</t>
        </is>
      </c>
      <c r="C80" s="2946" t="inlineStr">
        <is>
          <t>INTC</t>
        </is>
      </c>
      <c r="D80" s="2945" t="inlineStr">
        <is>
          <t>TFSA</t>
        </is>
      </c>
      <c r="E80" s="2945" t="inlineStr">
        <is>
          <t>🟢 ACHETÉ</t>
        </is>
      </c>
      <c r="F80" s="2947" t="inlineStr">
        <is>
          <t>4u</t>
        </is>
      </c>
      <c r="G80" s="2947" t="inlineStr">
        <is>
          <t>$46.77 USD</t>
        </is>
      </c>
      <c r="H80" s="2947" t="inlineStr">
        <is>
          <t>~$254 CAD</t>
        </is>
      </c>
      <c r="I80" s="2947" t="inlineStr">
        <is>
          <t>soldé 09 mars</t>
        </is>
      </c>
      <c r="J80" s="2932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8" customHeight="1" s="1666">
      <c r="B81" s="2944" t="inlineStr">
        <is>
          <t>── 15 fév 2026 ──</t>
        </is>
      </c>
      <c r="J81" s="2926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8" customHeight="1" s="1666">
      <c r="B82" s="2945" t="inlineStr">
        <is>
          <t>2026-02-15</t>
        </is>
      </c>
      <c r="C82" s="2946" t="inlineStr">
        <is>
          <t>AMZN</t>
        </is>
      </c>
      <c r="D82" s="2945" t="inlineStr">
        <is>
          <t>TFSA</t>
        </is>
      </c>
      <c r="E82" s="2945" t="inlineStr">
        <is>
          <t>🟢 ACHETÉ</t>
        </is>
      </c>
      <c r="F82" s="2947" t="inlineStr">
        <is>
          <t>0.559u</t>
        </is>
      </c>
      <c r="G82" s="2947" t="inlineStr">
        <is>
          <t>$198.10 USD</t>
        </is>
      </c>
      <c r="H82" s="2947" t="inlineStr">
        <is>
          <t>~$269 CAD</t>
        </is>
      </c>
      <c r="I82" s="2947" t="inlineStr">
        <is>
          <t>fract.</t>
        </is>
      </c>
      <c r="J82" s="2932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8" customHeight="1" s="1666">
      <c r="B83" s="2944" t="inlineStr">
        <is>
          <t>── 12 fév 2026 ──</t>
        </is>
      </c>
      <c r="J83" s="2926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8" customHeight="1" s="1666">
      <c r="B84" s="2945" t="inlineStr">
        <is>
          <t>2026-02-12</t>
        </is>
      </c>
      <c r="C84" s="2946" t="inlineStr">
        <is>
          <t>TSLA.TO</t>
        </is>
      </c>
      <c r="D84" s="2945" t="inlineStr">
        <is>
          <t>TFSA</t>
        </is>
      </c>
      <c r="E84" s="2945" t="inlineStr">
        <is>
          <t>🟢 ACHETÉ</t>
        </is>
      </c>
      <c r="F84" s="2947" t="inlineStr">
        <is>
          <t>13u</t>
        </is>
      </c>
      <c r="G84" s="2947" t="inlineStr">
        <is>
          <t>$36.63 CAD</t>
        </is>
      </c>
      <c r="H84" s="2947" t="inlineStr">
        <is>
          <t>$476 CAD</t>
        </is>
      </c>
      <c r="I84" s="2947" t="inlineStr">
        <is>
          <t>migré → TSLA USD 09 mars</t>
        </is>
      </c>
      <c r="J84" s="2932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8" customHeight="1" s="1666">
      <c r="B85" s="2944" t="inlineStr">
        <is>
          <t>── 9 fév 2026 ──</t>
        </is>
      </c>
      <c r="J85" s="2926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8" customHeight="1" s="1666">
      <c r="B86" s="2945" t="inlineStr">
        <is>
          <t>2026-02-09</t>
        </is>
      </c>
      <c r="C86" s="2946" t="inlineStr">
        <is>
          <t>MFC.TO</t>
        </is>
      </c>
      <c r="D86" s="2945" t="inlineStr">
        <is>
          <t>TFSA</t>
        </is>
      </c>
      <c r="E86" s="2945" t="inlineStr">
        <is>
          <t>🟢 ACHETÉ</t>
        </is>
      </c>
      <c r="F86" s="2947" t="inlineStr">
        <is>
          <t>8u</t>
        </is>
      </c>
      <c r="G86" s="2947" t="inlineStr">
        <is>
          <t>$51.70 CAD</t>
        </is>
      </c>
      <c r="H86" s="2947" t="inlineStr">
        <is>
          <t>$414 CAD</t>
        </is>
      </c>
      <c r="I86" s="2947" t="inlineStr">
        <is>
          <t>GTC · JAMAIS VENDRE · T4→garde</t>
        </is>
      </c>
      <c r="J86" s="2932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8" customHeight="1" s="1666">
      <c r="B87" s="2948" t="inlineStr">
        <is>
          <t>2026-02-09</t>
        </is>
      </c>
      <c r="C87" s="2949" t="inlineStr">
        <is>
          <t>ZEQT.TO</t>
        </is>
      </c>
      <c r="D87" s="2948" t="inlineStr">
        <is>
          <t>TFSA</t>
        </is>
      </c>
      <c r="E87" s="2948" t="inlineStr">
        <is>
          <t>🟢 ACHETÉ</t>
        </is>
      </c>
      <c r="F87" s="2950" t="inlineStr">
        <is>
          <t>15u</t>
        </is>
      </c>
      <c r="G87" s="2950" t="inlineStr">
        <is>
          <t>$21.00 CAD</t>
        </is>
      </c>
      <c r="H87" s="2950" t="inlineStr">
        <is>
          <t>$315 CAD</t>
        </is>
      </c>
      <c r="I87" s="2950" t="inlineStr">
        <is>
          <t>GTC · liquidé 09 mars</t>
        </is>
      </c>
      <c r="J87" s="2926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8" customHeight="1" s="1666">
      <c r="B88" s="2952" t="n"/>
      <c r="C88" s="2952" t="n"/>
      <c r="D88" s="2952" t="n"/>
      <c r="E88" s="2952" t="n"/>
      <c r="F88" s="2932" t="n"/>
      <c r="G88" s="2932" t="n"/>
      <c r="H88" s="2932" t="n"/>
      <c r="I88" s="2932" t="n"/>
      <c r="J88" s="2932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8" customHeight="1" s="1666">
      <c r="B89" s="2953" t="n"/>
      <c r="C89" s="2953" t="n"/>
      <c r="D89" s="2953" t="n"/>
      <c r="E89" s="2953" t="n"/>
      <c r="F89" s="2926" t="n"/>
      <c r="G89" s="2926" t="n"/>
      <c r="H89" s="2926" t="n"/>
      <c r="I89" s="2926" t="n"/>
      <c r="J89" s="2926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8" customHeight="1" s="1666">
      <c r="B90" s="2952" t="n"/>
      <c r="C90" s="2952" t="n"/>
      <c r="D90" s="2952" t="n"/>
      <c r="E90" s="2952" t="n"/>
      <c r="F90" s="2932" t="n"/>
      <c r="G90" s="2932" t="n"/>
      <c r="H90" s="2932" t="n"/>
      <c r="I90" s="2932" t="n"/>
      <c r="J90" s="2932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8" customHeight="1" s="1666">
      <c r="B91" s="2953" t="n"/>
      <c r="C91" s="2953" t="n"/>
      <c r="D91" s="2953" t="n"/>
      <c r="E91" s="2953" t="n"/>
      <c r="F91" s="2926" t="n"/>
      <c r="G91" s="2926" t="n"/>
      <c r="H91" s="2926" t="n"/>
      <c r="I91" s="2926" t="n"/>
      <c r="J91" s="2926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8" customHeight="1" s="1666">
      <c r="B92" s="2952" t="n"/>
      <c r="C92" s="2952" t="n"/>
      <c r="D92" s="2952" t="n"/>
      <c r="E92" s="2952" t="n"/>
      <c r="F92" s="2932" t="n"/>
      <c r="G92" s="2932" t="n"/>
      <c r="H92" s="2932" t="n"/>
      <c r="I92" s="2932" t="n"/>
      <c r="J92" s="2932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8" customHeight="1" s="1666">
      <c r="B93" s="2953" t="n"/>
      <c r="C93" s="2953" t="n"/>
      <c r="D93" s="2953" t="n"/>
      <c r="E93" s="2953" t="n"/>
      <c r="F93" s="2926" t="n"/>
      <c r="G93" s="2926" t="n"/>
      <c r="H93" s="2926" t="n"/>
      <c r="I93" s="2926" t="n"/>
      <c r="J93" s="2926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8" customHeight="1" s="1666">
      <c r="B94" s="2952" t="n"/>
      <c r="C94" s="2952" t="n"/>
      <c r="D94" s="2952" t="n"/>
      <c r="E94" s="2952" t="n"/>
      <c r="F94" s="2932" t="n"/>
      <c r="G94" s="2932" t="n"/>
      <c r="H94" s="2932" t="n"/>
      <c r="I94" s="2932" t="n"/>
      <c r="J94" s="2932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8" customHeight="1" s="1666">
      <c r="B95" s="2953" t="inlineStr">
        <is>
          <t>2026-03-10</t>
        </is>
      </c>
      <c r="C95" s="2953" t="inlineStr">
        <is>
          <t>VFV.TO</t>
        </is>
      </c>
      <c r="D95" s="2953" t="inlineStr">
        <is>
          <t>FHSA</t>
        </is>
      </c>
      <c r="E95" s="2953" t="inlineStr">
        <is>
          <t>16</t>
        </is>
      </c>
      <c r="F95" s="2926" t="inlineStr">
        <is>
          <t>157.38</t>
        </is>
      </c>
      <c r="G95" s="2926">
        <f>E5*F5</f>
        <v/>
      </c>
      <c r="H95" s="2926" t="inlineStr">
        <is>
          <t>Premier achat FHSA 2026</t>
        </is>
      </c>
      <c r="I95" s="2926" t="n"/>
      <c r="J95" s="2926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8" customHeight="1" s="1666">
      <c r="B96" s="2952" t="inlineStr">
        <is>
          <t>2026-03-09</t>
        </is>
      </c>
      <c r="C96" s="2952" t="inlineStr">
        <is>
          <t>AVGO</t>
        </is>
      </c>
      <c r="D96" s="2952" t="inlineStr">
        <is>
          <t>TFSA</t>
        </is>
      </c>
      <c r="E96" s="2952" t="inlineStr">
        <is>
          <t>0.57</t>
        </is>
      </c>
      <c r="F96" s="2932" t="inlineStr">
        <is>
          <t>345.76</t>
        </is>
      </c>
      <c r="G96" s="2932">
        <f>E96*F96</f>
        <v/>
      </c>
      <c r="H96" s="2932" t="inlineStr">
        <is>
          <t>DCA mensuel fractionnel</t>
        </is>
      </c>
      <c r="I96" s="2932" t="n"/>
      <c r="J96" s="2932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8" customHeight="1" s="1666">
      <c r="B97" s="2948" t="inlineStr">
        <is>
          <t>2026-03-11</t>
        </is>
      </c>
      <c r="C97" s="2949" t="inlineStr">
        <is>
          <t>PLZ.UN.TO</t>
        </is>
      </c>
      <c r="D97" s="2948" t="inlineStr">
        <is>
          <t>TFSA</t>
        </is>
      </c>
      <c r="E97" s="2948" t="inlineStr">
        <is>
          <t>961</t>
        </is>
      </c>
      <c r="F97" s="2950" t="inlineStr">
        <is>
          <t>4.26</t>
        </is>
      </c>
      <c r="G97" s="2950" t="inlineStr">
        <is>
          <t>4,094</t>
        </is>
      </c>
      <c r="H97" s="2950" t="inlineStr">
        <is>
          <t>T4→T1 · en gain +17% · REIT sous-performant · redéploiement vers IA</t>
        </is>
      </c>
      <c r="I97" s="2926" t="n"/>
      <c r="J97" s="2926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8" customHeight="1" s="1666">
      <c r="B98" s="2945" t="inlineStr">
        <is>
          <t>2026-03-11</t>
        </is>
      </c>
      <c r="C98" s="2946" t="inlineStr">
        <is>
          <t>REI.UN.TO</t>
        </is>
      </c>
      <c r="D98" s="2945" t="inlineStr">
        <is>
          <t>TFSA</t>
        </is>
      </c>
      <c r="E98" s="2945" t="inlineStr">
        <is>
          <t>332</t>
        </is>
      </c>
      <c r="F98" s="2947" t="inlineStr">
        <is>
          <t>19.02</t>
        </is>
      </c>
      <c r="G98" s="2947" t="inlineStr">
        <is>
          <t>6,315</t>
        </is>
      </c>
      <c r="H98" s="2947" t="inlineStr">
        <is>
          <t>T4→T1 · REIT résidentiel · pression taux · rotation vers T1</t>
        </is>
      </c>
      <c r="I98" s="2932" t="n"/>
      <c r="J98" s="2932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8" customHeight="1" s="1666">
      <c r="B99" s="2948" t="inlineStr">
        <is>
          <t>2026-03-11</t>
        </is>
      </c>
      <c r="C99" s="2949" t="inlineStr">
        <is>
          <t>AVGO</t>
        </is>
      </c>
      <c r="D99" s="2948" t="inlineStr">
        <is>
          <t>TFSA</t>
        </is>
      </c>
      <c r="E99" s="2948" t="inlineStr">
        <is>
          <t>6</t>
        </is>
      </c>
      <c r="F99" s="2950" t="inlineStr">
        <is>
          <t>340.65</t>
        </is>
      </c>
      <c r="G99" s="2950" t="inlineStr">
        <is>
          <t>2,772</t>
        </is>
      </c>
      <c r="H99" s="2950" t="inlineStr">
        <is>
          <t>13h34 · T4→T1 · IA chips · redéploiement PLZ.UN · +6u</t>
        </is>
      </c>
      <c r="I99" s="2926" t="n"/>
      <c r="J99" s="2926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8" customHeight="1" s="1666">
      <c r="B100" s="2945" t="inlineStr">
        <is>
          <t>2026-03-11</t>
        </is>
      </c>
      <c r="C100" s="2946" t="inlineStr">
        <is>
          <t>GEV</t>
        </is>
      </c>
      <c r="D100" s="2945" t="inlineStr">
        <is>
          <t>TFSA</t>
        </is>
      </c>
      <c r="E100" s="2945" t="inlineStr">
        <is>
          <t>1</t>
        </is>
      </c>
      <c r="F100" s="2947" t="inlineStr">
        <is>
          <t>844.18</t>
        </is>
      </c>
      <c r="G100" s="2947" t="inlineStr">
        <is>
          <t>1,144</t>
        </is>
      </c>
      <c r="H100" s="2947" t="inlineStr">
        <is>
          <t>13h37 · T4→T1 · énergie IA infrastructure · +1u</t>
        </is>
      </c>
      <c r="I100" s="2932" t="n"/>
      <c r="J100" s="2932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8" customHeight="1" s="1666">
      <c r="B101" s="2948" t="inlineStr">
        <is>
          <t>2026-03-11</t>
        </is>
      </c>
      <c r="C101" s="2949" t="inlineStr">
        <is>
          <t>SMH</t>
        </is>
      </c>
      <c r="D101" s="2948" t="inlineStr">
        <is>
          <t>TFSA</t>
        </is>
      </c>
      <c r="E101" s="2948" t="inlineStr">
        <is>
          <t>5</t>
        </is>
      </c>
      <c r="F101" s="2950" t="inlineStr">
        <is>
          <t>400.33</t>
        </is>
      </c>
      <c r="G101" s="2950" t="inlineStr">
        <is>
          <t>2,715</t>
        </is>
      </c>
      <c r="H101" s="2950" t="inlineStr">
        <is>
          <t>13h55 · T4→T1 · semi-conducteurs · dip session</t>
        </is>
      </c>
      <c r="I101" s="2926" t="n"/>
      <c r="J101" s="2926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8" customHeight="1" s="1666">
      <c r="B102" s="2945" t="inlineStr">
        <is>
          <t>2026-03-11</t>
        </is>
      </c>
      <c r="C102" s="2946" t="inlineStr">
        <is>
          <t>AVGO</t>
        </is>
      </c>
      <c r="D102" s="2945" t="inlineStr">
        <is>
          <t>TFSA</t>
        </is>
      </c>
      <c r="E102" s="2945" t="inlineStr">
        <is>
          <t>1</t>
        </is>
      </c>
      <c r="F102" s="2947" t="inlineStr">
        <is>
          <t>340.95</t>
        </is>
      </c>
      <c r="G102" s="2947" t="inlineStr">
        <is>
          <t>462</t>
        </is>
      </c>
      <c r="H102" s="2947" t="inlineStr">
        <is>
          <t>Soir · buying power settle · 1u fractionnel · DCA opportuniste</t>
        </is>
      </c>
      <c r="I102" s="2932" t="n"/>
      <c r="J102" s="2932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8" customHeight="1" s="1666">
      <c r="B103" s="2948" t="inlineStr">
        <is>
          <t>2026-03-11</t>
        </is>
      </c>
      <c r="C103" s="2949" t="inlineStr">
        <is>
          <t>GEV</t>
        </is>
      </c>
      <c r="D103" s="2948" t="inlineStr">
        <is>
          <t>TFSA</t>
        </is>
      </c>
      <c r="E103" s="2948" t="inlineStr">
        <is>
          <t>~0.37</t>
        </is>
      </c>
      <c r="F103" s="2950" t="inlineStr">
        <is>
          <t>845.53</t>
        </is>
      </c>
      <c r="G103" s="2950" t="inlineStr">
        <is>
          <t>314</t>
        </is>
      </c>
      <c r="H103" s="2950" t="inlineStr">
        <is>
          <t>Soir · fractionnel · énergie IA · position stratégique renforcée</t>
        </is>
      </c>
      <c r="I103" s="2926" t="n"/>
      <c r="J103" s="2926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8" customHeight="1" s="1666">
      <c r="B104" s="2952" t="n"/>
      <c r="C104" s="2952" t="n"/>
      <c r="D104" s="2952" t="n"/>
      <c r="E104" s="2952" t="n"/>
      <c r="F104" s="2932" t="n"/>
      <c r="G104" s="2932" t="n"/>
      <c r="H104" s="2932" t="n"/>
      <c r="I104" s="2932" t="n"/>
      <c r="J104" s="2932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8" customHeight="1" s="1666">
      <c r="B105" s="2953" t="n"/>
      <c r="C105" s="2953" t="n"/>
      <c r="D105" s="2953" t="n"/>
      <c r="E105" s="2953" t="n"/>
      <c r="F105" s="2926" t="n"/>
      <c r="G105" s="2926" t="n"/>
      <c r="H105" s="2926" t="n"/>
      <c r="I105" s="2926" t="n"/>
      <c r="J105" s="2926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8" customHeight="1" s="1666">
      <c r="B106" s="2952" t="n"/>
      <c r="C106" s="2952" t="n"/>
      <c r="D106" s="2952" t="n"/>
      <c r="E106" s="2952" t="n"/>
      <c r="F106" s="2932" t="n"/>
      <c r="G106" s="2932" t="n"/>
      <c r="H106" s="2932" t="n"/>
      <c r="I106" s="2932" t="n"/>
      <c r="J106" s="2932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8" customHeight="1" s="1666">
      <c r="B107" s="2953" t="n"/>
      <c r="C107" s="2953" t="n"/>
      <c r="D107" s="2953" t="n"/>
      <c r="E107" s="2953" t="n"/>
      <c r="F107" s="2926" t="n"/>
      <c r="G107" s="2926" t="n"/>
      <c r="H107" s="2926" t="n"/>
      <c r="I107" s="2926" t="n"/>
      <c r="J107" s="2926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8" customHeight="1" s="1666">
      <c r="B108" s="2952" t="n"/>
      <c r="C108" s="2952" t="n"/>
      <c r="D108" s="2952" t="n"/>
      <c r="E108" s="2952" t="n"/>
      <c r="F108" s="2932" t="n"/>
      <c r="G108" s="2932" t="n"/>
      <c r="H108" s="2932" t="n"/>
      <c r="I108" s="2932" t="n"/>
      <c r="J108" s="2932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8" customHeight="1" s="1666">
      <c r="B109" s="2953" t="n"/>
      <c r="C109" s="2953" t="n"/>
      <c r="D109" s="2953" t="n"/>
      <c r="E109" s="2953" t="n"/>
      <c r="F109" s="2926" t="n"/>
      <c r="G109" s="2926" t="n"/>
      <c r="H109" s="2926" t="n"/>
      <c r="I109" s="2926" t="n"/>
      <c r="J109" s="2926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8" customHeight="1" s="1666">
      <c r="B110" s="2952" t="n"/>
      <c r="C110" s="2952" t="n"/>
      <c r="D110" s="2952" t="n"/>
      <c r="E110" s="2952" t="n"/>
      <c r="F110" s="2932" t="n"/>
      <c r="G110" s="2932" t="n"/>
      <c r="H110" s="2932" t="n"/>
      <c r="I110" s="2932" t="n"/>
      <c r="J110" s="2932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8" customHeight="1" s="1666">
      <c r="B111" s="2953" t="n"/>
      <c r="C111" s="2953" t="n"/>
      <c r="D111" s="2953" t="n"/>
      <c r="E111" s="2953" t="n"/>
      <c r="F111" s="2926" t="n"/>
      <c r="G111" s="2926" t="n"/>
      <c r="H111" s="2926" t="n"/>
      <c r="I111" s="2926" t="n"/>
      <c r="J111" s="2926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8" customHeight="1" s="1666">
      <c r="B112" s="2952" t="n"/>
      <c r="C112" s="2952" t="n"/>
      <c r="D112" s="2952" t="n"/>
      <c r="E112" s="2952" t="n"/>
      <c r="F112" s="2932" t="n"/>
      <c r="G112" s="2932" t="n"/>
      <c r="H112" s="2932" t="n"/>
      <c r="I112" s="2932" t="n"/>
      <c r="J112" s="2932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8" customHeight="1" s="1666">
      <c r="B113" s="2953" t="n"/>
      <c r="C113" s="2953" t="n"/>
      <c r="D113" s="2953" t="n"/>
      <c r="E113" s="2953" t="n"/>
      <c r="F113" s="2926" t="n"/>
      <c r="G113" s="2926" t="n"/>
      <c r="H113" s="2926" t="n"/>
      <c r="I113" s="2926" t="n"/>
      <c r="J113" s="2926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8" customHeight="1" s="1666">
      <c r="B114" s="2952" t="n"/>
      <c r="C114" s="2952" t="n"/>
      <c r="D114" s="2952" t="n"/>
      <c r="E114" s="2952" t="n"/>
      <c r="F114" s="2932" t="n"/>
      <c r="G114" s="2932" t="n"/>
      <c r="H114" s="2932" t="n"/>
      <c r="I114" s="2932" t="n"/>
      <c r="J114" s="2932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8" customHeight="1" s="1666">
      <c r="B115" s="2953" t="n"/>
      <c r="C115" s="2953" t="n"/>
      <c r="D115" s="2953" t="n"/>
      <c r="E115" s="2953" t="n"/>
      <c r="F115" s="2926" t="n"/>
      <c r="G115" s="2926" t="n"/>
      <c r="H115" s="2926" t="n"/>
      <c r="I115" s="2926" t="n"/>
      <c r="J115" s="2926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8" customHeight="1" s="1666">
      <c r="B116" s="2952" t="n"/>
      <c r="C116" s="2952" t="n"/>
      <c r="D116" s="2952" t="n"/>
      <c r="E116" s="2952" t="n"/>
      <c r="F116" s="2932" t="n"/>
      <c r="G116" s="2932" t="n"/>
      <c r="H116" s="2932" t="n"/>
      <c r="I116" s="2932" t="n"/>
      <c r="J116" s="2932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8" customHeight="1" s="1666">
      <c r="B117" s="2953" t="n"/>
      <c r="C117" s="2953" t="n"/>
      <c r="D117" s="2953" t="n"/>
      <c r="E117" s="2953" t="n"/>
      <c r="F117" s="2926" t="n"/>
      <c r="G117" s="2926" t="n"/>
      <c r="H117" s="2926" t="n"/>
      <c r="I117" s="2926" t="n"/>
      <c r="J117" s="2926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8" customHeight="1" s="1666">
      <c r="B118" s="2952" t="n"/>
      <c r="C118" s="2952" t="n"/>
      <c r="D118" s="2952" t="n"/>
      <c r="E118" s="2952" t="n"/>
      <c r="F118" s="2932" t="n"/>
      <c r="G118" s="2932" t="n"/>
      <c r="H118" s="2932" t="n"/>
      <c r="I118" s="2932" t="n"/>
      <c r="J118" s="2932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8" customHeight="1" s="1666">
      <c r="B119" s="2953" t="n"/>
      <c r="C119" s="2953" t="n"/>
      <c r="D119" s="2953" t="n"/>
      <c r="E119" s="2953" t="n"/>
      <c r="F119" s="2926" t="n"/>
      <c r="G119" s="2926" t="n"/>
      <c r="H119" s="2926" t="n"/>
      <c r="I119" s="2926" t="n"/>
      <c r="J119" s="2926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8" customHeight="1" s="1666">
      <c r="B120" s="2774" t="inlineStr">
        <is>
          <t>📈  BENCHMARK  ·  Portfolio vs S&amp;P500 · Saisir valeur portfolio mensuellement</t>
        </is>
      </c>
      <c r="C120" s="2952" t="n"/>
      <c r="D120" s="2952" t="n"/>
      <c r="E120" s="2952" t="n"/>
      <c r="F120" s="2932" t="n"/>
      <c r="G120" s="2932" t="n"/>
      <c r="H120" s="2932" t="n"/>
      <c r="I120" s="2932" t="n"/>
      <c r="J120" s="2932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8" customHeight="1" s="1666">
      <c r="B121" s="2953" t="n"/>
      <c r="C121" s="2953" t="n"/>
      <c r="D121" s="2953" t="n"/>
      <c r="E121" s="2953" t="n"/>
      <c r="F121" s="2926" t="n"/>
      <c r="G121" s="2926" t="n"/>
      <c r="H121" s="2926" t="n"/>
      <c r="I121" s="2926" t="n"/>
      <c r="J121" s="2926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8" customHeight="1" s="1666">
      <c r="B122" s="2954" t="inlineStr">
        <is>
          <t>📈  BENCHMARK  ·  Portfolio vs VFV.TO (S&amp;P500 CAD)  ·  Depuis jan 2026  ·  La seule question qui compte : est-ce que ma gestion active crée de la valeur?</t>
        </is>
      </c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8" customHeight="1" s="1666">
      <c r="B123" s="2955" t="inlineStr">
        <is>
          <t>📊  SNAPSHOT ACTUEL  ·  11 mars 2026</t>
        </is>
      </c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8" customHeight="1" s="1666">
      <c r="B124" s="2956" t="inlineStr">
        <is>
          <t>MÉTRIQUE</t>
        </is>
      </c>
      <c r="C124" s="2956" t="inlineStr">
        <is>
          <t>VALEUR REF (1 jan 2026)</t>
        </is>
      </c>
      <c r="D124" s="2956" t="inlineStr">
        <is>
          <t>VALEUR ACTUELLE</t>
        </is>
      </c>
      <c r="E124" s="2956" t="inlineStr">
        <is>
          <t>PERF YTD %</t>
        </is>
      </c>
      <c r="F124" s="2957" t="inlineStr">
        <is>
          <t>ALPHA vs VFV</t>
        </is>
      </c>
      <c r="G124" s="2957" t="inlineStr">
        <is>
          <t>NOTE</t>
        </is>
      </c>
      <c r="H124" s="2932" t="n"/>
      <c r="I124" s="2932" t="n"/>
      <c r="J124" s="2932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8" customHeight="1" s="1666">
      <c r="B125" s="2958" t="inlineStr">
        <is>
          <t>Portfolio CAD</t>
        </is>
      </c>
      <c r="C125" s="2948" t="inlineStr">
        <is>
          <t>⬜ À confirmer (dump jan 2026)</t>
        </is>
      </c>
      <c r="D125" s="2959">
        <f>'📈 PORTEFEUILLE'!L70</f>
        <v/>
      </c>
      <c r="E125" s="2960" t="inlineStr">
        <is>
          <t>#ERROR!</t>
        </is>
      </c>
      <c r="F125" s="2961" t="inlineStr">
        <is>
          <t>#ERROR!</t>
        </is>
      </c>
      <c r="G125" s="2962" t="inlineStr">
        <is>
          <t>⚠️ Saisir valeur Questrade au 1er jan 2026</t>
        </is>
      </c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8" customHeight="1" s="1666">
      <c r="B126" s="1767" t="inlineStr">
        <is>
          <t>VFV.TO (référence CAD)</t>
        </is>
      </c>
      <c r="C126" s="2945" t="n">
        <v>166.62</v>
      </c>
      <c r="D126" s="1767">
        <f>IFERROR(__xludf.dummyfunction("IFERROR(GOOGLEFINANCE(""TSE:VFV"",""price""),164)"),163.54)</f>
        <v/>
      </c>
      <c r="E126" s="2963" t="n">
        <v>-0.0157</v>
      </c>
      <c r="F126" s="2964" t="inlineStr">
        <is>
          <t>0.00% (référence)</t>
        </is>
      </c>
      <c r="G126" s="2965" t="inlineStr">
        <is>
          <t>Source: stockanalysis · Close 31 déc 2025 = $166.62</t>
        </is>
      </c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8" customHeight="1" s="1666">
      <c r="B127" s="2958" t="inlineStr">
        <is>
          <t>SPY USD (S&amp;P500)</t>
        </is>
      </c>
      <c r="C127" s="2948">
        <f>IFERROR(__xludf.dummyfunction("IFERROR(GOOGLEFINANCE(""SPY"",""price""),0)"),676.33)</f>
        <v/>
      </c>
      <c r="D127" s="2958">
        <f>IFERROR(__xludf.dummyfunction("IFERROR(GOOGLEFINANCE(""SPY"",""price""),0)"),676.33)</f>
        <v/>
      </c>
      <c r="E127" s="2960" t="inlineStr">
        <is>
          <t>—</t>
        </is>
      </c>
      <c r="F127" s="2961" t="inlineStr">
        <is>
          <t>—</t>
        </is>
      </c>
      <c r="G127" s="2962" t="inlineStr">
        <is>
          <t>Référence USD — confirmer sur Yahoo Finance</t>
        </is>
      </c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8" customHeight="1" s="1666">
      <c r="B128" s="2952" t="n"/>
      <c r="C128" s="2952" t="n"/>
      <c r="D128" s="2952" t="n"/>
      <c r="E128" s="2952" t="n"/>
      <c r="F128" s="2932" t="n"/>
      <c r="G128" s="2932" t="n"/>
      <c r="H128" s="2932" t="n"/>
      <c r="I128" s="2932" t="n"/>
      <c r="J128" s="2932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8" customHeight="1" s="1666">
      <c r="B129" s="2955" t="inlineStr">
        <is>
          <t>📅  HISTORIQUE MENSUEL  ·  Points de données clés  ·  Compléter mensuellement</t>
        </is>
      </c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8" customHeight="1" s="1666">
      <c r="B130" s="2956" t="inlineStr">
        <is>
          <t>DATE</t>
        </is>
      </c>
      <c r="C130" s="2956" t="inlineStr">
        <is>
          <t>VFV.TO CLÔTURE</t>
        </is>
      </c>
      <c r="D130" s="2956" t="inlineStr">
        <is>
          <t>PORTFOLIO CAD</t>
        </is>
      </c>
      <c r="E130" s="2956" t="inlineStr">
        <is>
          <t>PERF VFV YTD</t>
        </is>
      </c>
      <c r="F130" s="2957" t="inlineStr">
        <is>
          <t>PERF PORTFOLIO YTD</t>
        </is>
      </c>
      <c r="G130" s="2957" t="inlineStr">
        <is>
          <t>ALPHA (+/-)</t>
        </is>
      </c>
      <c r="H130" s="2957" t="inlineStr">
        <is>
          <t>SOURCE / NOTE</t>
        </is>
      </c>
      <c r="I130" s="2932" t="n"/>
      <c r="J130" s="2932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8" customHeight="1" s="1666">
      <c r="B131" s="2948" t="inlineStr">
        <is>
          <t>2025-12-31</t>
        </is>
      </c>
      <c r="C131" s="2966" t="inlineStr">
        <is>
          <t>Référence</t>
        </is>
      </c>
      <c r="D131" s="2967" t="n">
        <v>166.62</v>
      </c>
      <c r="E131" s="2944" t="inlineStr">
        <is>
          <t>⬜ Saisir</t>
        </is>
      </c>
      <c r="F131" s="2968" t="n">
        <v>0</v>
      </c>
      <c r="G131" s="2969" t="inlineStr">
        <is>
          <t>⬜ Saisir après dump</t>
        </is>
      </c>
      <c r="H131" s="2970" t="inlineStr">
        <is>
          <t>⬜</t>
        </is>
      </c>
      <c r="I131" s="2971" t="inlineStr">
        <is>
          <t>Base YTD · stockanalysis.com · close réel</t>
        </is>
      </c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8" customHeight="1" s="1666">
      <c r="B132" s="2945" t="inlineStr">
        <is>
          <t>2026-01-02</t>
        </is>
      </c>
      <c r="C132" s="2972" t="inlineStr">
        <is>
          <t>Ouverture</t>
        </is>
      </c>
      <c r="D132" s="2973" t="n">
        <v>167.08</v>
      </c>
      <c r="E132" s="2951" t="inlineStr">
        <is>
          <t>⬜ Saisir</t>
        </is>
      </c>
      <c r="F132" s="2974" t="n">
        <v>0.00276077301644465</v>
      </c>
      <c r="G132" s="2975" t="inlineStr">
        <is>
          <t>⬜ Saisir après dump</t>
        </is>
      </c>
      <c r="H132" s="2976" t="inlineStr">
        <is>
          <t>⬜</t>
        </is>
      </c>
      <c r="I132" s="2977" t="inlineStr">
        <is>
          <t>Premier jour 2026 · stockanalysis.com</t>
        </is>
      </c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8" customHeight="1" s="1666">
      <c r="B133" s="2948" t="inlineStr">
        <is>
          <t>2026-01-16</t>
        </is>
      </c>
      <c r="C133" s="2966" t="inlineStr">
        <is>
          <t>Mid-jan</t>
        </is>
      </c>
      <c r="D133" s="2967" t="n">
        <v>171.34</v>
      </c>
      <c r="E133" s="2944" t="inlineStr">
        <is>
          <t>⬜ Saisir</t>
        </is>
      </c>
      <c r="F133" s="2968" t="n">
        <v>0.0283279318209099</v>
      </c>
      <c r="G133" s="2969" t="inlineStr">
        <is>
          <t>⬜ Saisir après dump</t>
        </is>
      </c>
      <c r="H133" s="2970" t="inlineStr">
        <is>
          <t>⬜</t>
        </is>
      </c>
      <c r="I133" s="2971" t="inlineStr">
        <is>
          <t>Peak jan 2026 · stockanalysis.com</t>
        </is>
      </c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8" customHeight="1" s="1666">
      <c r="B134" s="2945" t="inlineStr">
        <is>
          <t>2026-01-31</t>
        </is>
      </c>
      <c r="C134" s="2972" t="inlineStr">
        <is>
          <t>Fin jan</t>
        </is>
      </c>
      <c r="D134" s="2973" t="n">
        <v>167.64</v>
      </c>
      <c r="E134" s="2951" t="inlineStr">
        <is>
          <t>⬜ Saisir</t>
        </is>
      </c>
      <c r="F134" s="2974" t="n">
        <v>0.00612171407994227</v>
      </c>
      <c r="G134" s="2975" t="inlineStr">
        <is>
          <t>⬜ Saisir après dump</t>
        </is>
      </c>
      <c r="H134" s="2976" t="inlineStr">
        <is>
          <t>⬜</t>
        </is>
      </c>
      <c r="I134" s="2977" t="inlineStr">
        <is>
          <t>Close jan · stockanalysis.com</t>
        </is>
      </c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8" customHeight="1" s="1666">
      <c r="B135" s="2948" t="inlineStr">
        <is>
          <t>2026-02-18</t>
        </is>
      </c>
      <c r="C135" s="2966" t="inlineStr">
        <is>
          <t>Mid-fév</t>
        </is>
      </c>
      <c r="D135" s="2967" t="n">
        <v>167.6</v>
      </c>
      <c r="E135" s="2944" t="inlineStr">
        <is>
          <t>⬜ Saisir</t>
        </is>
      </c>
      <c r="F135" s="2968" t="n">
        <v>0.00588164686112105</v>
      </c>
      <c r="G135" s="2969" t="inlineStr">
        <is>
          <t>⬜ Saisir après dump</t>
        </is>
      </c>
      <c r="H135" s="2970" t="inlineStr">
        <is>
          <t>⬜</t>
        </is>
      </c>
      <c r="I135" s="2971" t="inlineStr">
        <is>
          <t>Close 18 fév · stockanalysis.com</t>
        </is>
      </c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8" customHeight="1" s="1666">
      <c r="B136" s="2945" t="inlineStr">
        <is>
          <t>2026-02-28</t>
        </is>
      </c>
      <c r="C136" s="2972" t="inlineStr">
        <is>
          <t>Fin fév</t>
        </is>
      </c>
      <c r="D136" s="2973" t="n">
        <v>167.64</v>
      </c>
      <c r="E136" s="2951" t="inlineStr">
        <is>
          <t>⬜ Saisir</t>
        </is>
      </c>
      <c r="F136" s="2974" t="n">
        <v>0.00612171407994227</v>
      </c>
      <c r="G136" s="2975" t="inlineStr">
        <is>
          <t>⬜ Saisir après dump</t>
        </is>
      </c>
      <c r="H136" s="2976" t="inlineStr">
        <is>
          <t>⬜</t>
        </is>
      </c>
      <c r="I136" s="2977" t="inlineStr">
        <is>
          <t>⬜ Saisir valeur Questrade fin fév</t>
        </is>
      </c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8" customHeight="1" s="1666">
      <c r="B137" s="2948" t="inlineStr">
        <is>
          <t>2026-03-09</t>
        </is>
      </c>
      <c r="C137" s="2966" t="inlineStr">
        <is>
          <t>Pré-trades</t>
        </is>
      </c>
      <c r="D137" s="2967" t="n">
        <v>163.45</v>
      </c>
      <c r="E137" s="2944" t="inlineStr">
        <is>
          <t>⬜ Saisir</t>
        </is>
      </c>
      <c r="F137" s="2978" t="n">
        <v>-0.0190253270915857</v>
      </c>
      <c r="G137" s="2969" t="inlineStr">
        <is>
          <t>⬜ Saisir après dump</t>
        </is>
      </c>
      <c r="H137" s="2970" t="inlineStr">
        <is>
          <t>⬜</t>
        </is>
      </c>
      <c r="I137" s="2971" t="inlineStr">
        <is>
          <t>Avant grande rotation · estim. marché</t>
        </is>
      </c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8" customHeight="1" s="1666">
      <c r="B138" s="2946" t="inlineStr">
        <is>
          <t>2026-03-11</t>
        </is>
      </c>
      <c r="C138" s="2972" t="inlineStr">
        <is>
          <t>ACTUEL S10</t>
        </is>
      </c>
      <c r="D138" s="2973" t="n">
        <v>164</v>
      </c>
      <c r="E138" s="2979">
        <f>'📈 PORTEFEUILLE'!L70</f>
        <v/>
      </c>
      <c r="F138" s="2980" t="n">
        <v>-0.0157244028327932</v>
      </c>
      <c r="G138" s="2975" t="inlineStr">
        <is>
          <t>⬜ Saisir après dump</t>
        </is>
      </c>
      <c r="H138" s="2976" t="inlineStr">
        <is>
          <t>⬜</t>
        </is>
      </c>
      <c r="I138" s="2977" t="inlineStr">
        <is>
          <t>✅ Auto via PORTEFEUILLE · investing.com</t>
        </is>
      </c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8" customHeight="1" s="1666">
      <c r="B139" s="2953" t="n"/>
      <c r="C139" s="2953" t="n"/>
      <c r="D139" s="2953" t="n"/>
      <c r="E139" s="2953" t="n"/>
      <c r="F139" s="2926" t="n"/>
      <c r="G139" s="2926" t="n"/>
      <c r="H139" s="2926" t="n"/>
      <c r="I139" s="2926" t="n"/>
      <c r="J139" s="2926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8" customHeight="1" s="1666">
      <c r="B140" s="2981" t="inlineStr">
        <is>
          <t>🎯  RÉSULTAT INTERMÉDIAIRE  ·  YTD 11 mars 2026</t>
        </is>
      </c>
      <c r="F140" s="2982" t="inlineStr">
        <is>
          <t>VFV YTD: -1.57%</t>
        </is>
      </c>
      <c r="G140" s="2983" t="inlineStr">
        <is>
          <t>Portfolio YTD: ⬜ Calculer</t>
        </is>
      </c>
      <c r="H140" s="2984" t="inlineStr">
        <is>
          <t>Alpha: ⬜ Saisir ref jan</t>
        </is>
      </c>
      <c r="I140" s="2932" t="n"/>
      <c r="J140" s="2932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8" customHeight="1" s="1666">
      <c r="B141" s="2953" t="n"/>
      <c r="C141" s="2953" t="n"/>
      <c r="D141" s="2953" t="n"/>
      <c r="E141" s="2953" t="n"/>
      <c r="F141" s="2926" t="n"/>
      <c r="G141" s="2926" t="n"/>
      <c r="H141" s="2926" t="n"/>
      <c r="I141" s="2926" t="n"/>
      <c r="J141" s="2926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8" customHeight="1" s="1666">
      <c r="B142" s="2985" t="inlineStr">
        <is>
          <t>📋 PROTOCOLE BENCHMARK  ·  ① Chaque fin de mois: noter valeur Questrade dans col E  ·  ② Alpha = Perf Portfolio YTD − Perf VFV YTD  ·  ③ Si Alpha &gt; 0 → gestion active justifiée  ·  ④ Si Alpha &lt; 0 sur 12 mois → reconsidérer vers XEQT pur  ·  ⑤ Saisir valeur ref 1 jan 2026 dès que tu as un ancien dump Questrade</t>
        </is>
      </c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8" customHeight="1" s="1666">
      <c r="B143" s="2953" t="n"/>
      <c r="C143" s="2953" t="n"/>
      <c r="D143" s="2953" t="n"/>
      <c r="E143" s="2953" t="n"/>
      <c r="F143" s="2926" t="n"/>
      <c r="G143" s="2926" t="n"/>
      <c r="H143" s="2926" t="n"/>
      <c r="I143" s="2926" t="n"/>
      <c r="J143" s="2926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8" customHeight="1" s="1666">
      <c r="B144" s="2952" t="n"/>
      <c r="C144" s="2952" t="n"/>
      <c r="D144" s="2952" t="n"/>
      <c r="E144" s="2952" t="n"/>
      <c r="F144" s="2932" t="n"/>
      <c r="G144" s="2932" t="n"/>
      <c r="H144" s="2932" t="n"/>
      <c r="I144" s="2932" t="n"/>
      <c r="J144" s="2932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8" customHeight="1" s="1666">
      <c r="B145" s="2953" t="n"/>
      <c r="C145" s="2953" t="n"/>
      <c r="D145" s="2953" t="n"/>
      <c r="E145" s="2953" t="n"/>
      <c r="F145" s="2926" t="n"/>
      <c r="G145" s="2926" t="n"/>
      <c r="H145" s="2926" t="n"/>
      <c r="I145" s="2926" t="n"/>
      <c r="J145" s="2926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8" customHeight="1" s="1666">
      <c r="B146" s="2952" t="n"/>
      <c r="C146" s="2952" t="n"/>
      <c r="D146" s="2952" t="n"/>
      <c r="E146" s="2952" t="n"/>
      <c r="F146" s="2932" t="n"/>
      <c r="G146" s="2932" t="n"/>
      <c r="H146" s="2932" t="n"/>
      <c r="I146" s="2932" t="n"/>
      <c r="J146" s="2932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8" customHeight="1" s="1666">
      <c r="B147" s="2953" t="n"/>
      <c r="C147" s="2953" t="n"/>
      <c r="D147" s="2953" t="n"/>
      <c r="E147" s="2953" t="n"/>
      <c r="F147" s="2926" t="n"/>
      <c r="G147" s="2926" t="n"/>
      <c r="H147" s="2926" t="n"/>
      <c r="I147" s="2926" t="n"/>
      <c r="J147" s="2926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8" customHeight="1" s="1666">
      <c r="B148" s="2952" t="n"/>
      <c r="C148" s="2952" t="n"/>
      <c r="D148" s="2952" t="n"/>
      <c r="E148" s="2952" t="n"/>
      <c r="F148" s="2932" t="n"/>
      <c r="G148" s="2932" t="n"/>
      <c r="H148" s="2932" t="n"/>
      <c r="I148" s="2932" t="n"/>
      <c r="J148" s="2932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8" customHeight="1" s="1666">
      <c r="B149" s="2953" t="n"/>
      <c r="C149" s="2953" t="n"/>
      <c r="D149" s="2953" t="n"/>
      <c r="E149" s="2953" t="n"/>
      <c r="F149" s="2926" t="n"/>
      <c r="G149" s="2926" t="n"/>
      <c r="H149" s="2926" t="n"/>
      <c r="I149" s="2926" t="n"/>
      <c r="J149" s="2926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8" customHeight="1" s="1666">
      <c r="B150" s="2952" t="n"/>
      <c r="C150" s="2952" t="n"/>
      <c r="D150" s="2952" t="n"/>
      <c r="E150" s="2952" t="n"/>
      <c r="F150" s="2932" t="n"/>
      <c r="G150" s="2932" t="n"/>
      <c r="H150" s="2932" t="n"/>
      <c r="I150" s="2932" t="n"/>
      <c r="J150" s="2932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8" customHeight="1" s="1666">
      <c r="B151" s="2953" t="n"/>
      <c r="C151" s="2953" t="n"/>
      <c r="D151" s="2953" t="n"/>
      <c r="E151" s="2953" t="n"/>
      <c r="F151" s="2926" t="n"/>
      <c r="G151" s="2926" t="n"/>
      <c r="H151" s="2926" t="n"/>
      <c r="I151" s="2926" t="n"/>
      <c r="J151" s="2926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8" customHeight="1" s="1666">
      <c r="B152" s="2952" t="n"/>
      <c r="C152" s="2952" t="n"/>
      <c r="D152" s="2952" t="n"/>
      <c r="E152" s="2952" t="n"/>
      <c r="F152" s="2932" t="n"/>
      <c r="G152" s="2932" t="n"/>
      <c r="H152" s="2932" t="n"/>
      <c r="I152" s="2932" t="n"/>
      <c r="J152" s="2932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8" customHeight="1" s="1666">
      <c r="B153" s="2953" t="n"/>
      <c r="C153" s="2953" t="n"/>
      <c r="D153" s="2953" t="n"/>
      <c r="E153" s="2953" t="n"/>
      <c r="F153" s="2926" t="n"/>
      <c r="G153" s="2926" t="n"/>
      <c r="H153" s="2926" t="n"/>
      <c r="I153" s="2926" t="n"/>
      <c r="J153" s="2926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8" customHeight="1" s="1666">
      <c r="B154" s="2952" t="n"/>
      <c r="C154" s="2952" t="n"/>
      <c r="D154" s="2952" t="n"/>
      <c r="E154" s="2952" t="n"/>
      <c r="F154" s="2932" t="n"/>
      <c r="G154" s="2932" t="n"/>
      <c r="H154" s="2932" t="n"/>
      <c r="I154" s="2932" t="n"/>
      <c r="J154" s="2932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8" customHeight="1" s="1666">
      <c r="B155" s="2953" t="n"/>
      <c r="C155" s="2953" t="n"/>
      <c r="D155" s="2953" t="n"/>
      <c r="E155" s="2953" t="n"/>
      <c r="F155" s="2926" t="n"/>
      <c r="G155" s="2926" t="n"/>
      <c r="H155" s="2926" t="n"/>
      <c r="I155" s="2926" t="n"/>
      <c r="J155" s="2926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8" customHeight="1" s="1666">
      <c r="B156" s="2952" t="n"/>
      <c r="C156" s="2952" t="n"/>
      <c r="D156" s="2952" t="n"/>
      <c r="E156" s="2952" t="n"/>
      <c r="F156" s="2932" t="n"/>
      <c r="G156" s="2932" t="n"/>
      <c r="H156" s="2932" t="n"/>
      <c r="I156" s="2932" t="n"/>
      <c r="J156" s="2932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8" customHeight="1" s="1666">
      <c r="B157" s="2953" t="n"/>
      <c r="C157" s="2953" t="n"/>
      <c r="D157" s="2953" t="n"/>
      <c r="E157" s="2953" t="n"/>
      <c r="F157" s="2926" t="n"/>
      <c r="G157" s="2926" t="n"/>
      <c r="H157" s="2926" t="n"/>
      <c r="I157" s="2926" t="n"/>
      <c r="J157" s="2926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8" customHeight="1" s="1666">
      <c r="B158" s="2952" t="n"/>
      <c r="C158" s="2952" t="n"/>
      <c r="D158" s="2952" t="n"/>
      <c r="E158" s="2952" t="n"/>
      <c r="F158" s="2932" t="n"/>
      <c r="G158" s="2932" t="n"/>
      <c r="H158" s="2932" t="n"/>
      <c r="I158" s="2932" t="n"/>
      <c r="J158" s="2932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8" customHeight="1" s="1666">
      <c r="B159" s="2955" t="inlineStr">
        <is>
          <t>MÉTRIQUE</t>
        </is>
      </c>
      <c r="C159" s="2953" t="n"/>
      <c r="D159" s="2953" t="n"/>
      <c r="E159" s="2955" t="inlineStr">
        <is>
          <t>DATE REF</t>
        </is>
      </c>
      <c r="F159" s="2986" t="inlineStr">
        <is>
          <t>VALEUR ACTUELLE</t>
        </is>
      </c>
      <c r="G159" s="2986" t="inlineStr">
        <is>
          <t>PERF YTD</t>
        </is>
      </c>
      <c r="H159" s="2986" t="n"/>
      <c r="I159" s="2926" t="n"/>
      <c r="J159" s="2926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8" customHeight="1" s="1666">
      <c r="B160" s="2952" t="inlineStr">
        <is>
          <t>Portfolio CAD</t>
        </is>
      </c>
      <c r="C160" s="2952" t="n"/>
      <c r="D160" s="2952" t="n"/>
      <c r="E160" s="2952" t="inlineStr">
        <is>
          <t>2025-01-01</t>
        </is>
      </c>
      <c r="F160" s="2987">
        <f>'📈 PORTEFEUILLE'!L70</f>
        <v/>
      </c>
      <c r="G160" s="2932">
        <f>IF(ISNUMBER(F25),(F25-D25)/D25,"—")</f>
        <v/>
      </c>
      <c r="H160" s="2932" t="n"/>
      <c r="I160" s="2932" t="n"/>
      <c r="J160" s="2932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8" customHeight="1" s="1666">
      <c r="B161" s="2953" t="inlineStr">
        <is>
          <t>S&amp;P500 / SPY (USD)</t>
        </is>
      </c>
      <c r="C161" s="2953" t="n"/>
      <c r="D161" s="2953" t="n"/>
      <c r="E161" s="2953" t="inlineStr">
        <is>
          <t>2025-01-01</t>
        </is>
      </c>
      <c r="F161" s="2926">
        <f>IFERROR(__xludf.dummyfunction("IFERROR(googlefinance(""SPY"",""price""),0)"),676.33)</f>
        <v/>
      </c>
      <c r="G161" s="2926">
        <f>IF(ISNUMBER(F26),(F26-D26)/D26,"—")</f>
        <v/>
      </c>
      <c r="H161" s="2926" t="n"/>
      <c r="I161" s="2926" t="n"/>
      <c r="J161" s="2926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8" customHeight="1" s="1666">
      <c r="B162" s="2952" t="inlineStr">
        <is>
          <t>VFV.TO (référence CAD)</t>
        </is>
      </c>
      <c r="C162" s="2952" t="n"/>
      <c r="D162" s="2952" t="n"/>
      <c r="E162" s="2952" t="inlineStr">
        <is>
          <t>2025-01-01</t>
        </is>
      </c>
      <c r="F162" s="2988">
        <f>IFERROR(__xludf.dummyfunction("IFERROR(googlefinance(""TSE:VFV"",""price""),CONFIG!G6)"),163.54)</f>
        <v/>
      </c>
      <c r="G162" s="2932">
        <f>IF(ISNUMBER(F27),(F27-D27)/D27,"—")</f>
        <v/>
      </c>
      <c r="H162" s="2932" t="n"/>
      <c r="I162" s="2932" t="n"/>
      <c r="J162" s="2932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8" customHeight="1" s="1666">
      <c r="B163" s="2953" t="n"/>
      <c r="C163" s="2953" t="n"/>
      <c r="D163" s="2953" t="n"/>
      <c r="E163" s="2953" t="n"/>
      <c r="F163" s="2926" t="n"/>
      <c r="G163" s="2926" t="n"/>
      <c r="H163" s="2926" t="n"/>
      <c r="I163" s="2926" t="n"/>
      <c r="J163" s="2926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8" customHeight="1" s="1666">
      <c r="B164" s="2774" t="inlineStr">
        <is>
          <t>📅  CALENDRIER EARNINGS &amp; MACRO 2026  ·  Dates clés</t>
        </is>
      </c>
      <c r="C164" s="2952" t="n"/>
      <c r="D164" s="2952" t="n"/>
      <c r="E164" s="2952" t="n"/>
      <c r="F164" s="2932" t="n"/>
      <c r="G164" s="2932" t="n"/>
      <c r="H164" s="2932" t="n"/>
      <c r="I164" s="2932" t="n"/>
      <c r="J164" s="2932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8" customHeight="1" s="1666">
      <c r="B165" s="2955" t="inlineStr">
        <is>
          <t>DATE</t>
        </is>
      </c>
      <c r="C165" s="2955" t="inlineStr">
        <is>
          <t>ÉVÉNEMENT</t>
        </is>
      </c>
      <c r="D165" s="2953" t="n"/>
      <c r="E165" s="2955" t="inlineStr">
        <is>
          <t>TICKER(S)</t>
        </is>
      </c>
      <c r="F165" s="2986" t="inlineStr">
        <is>
          <t>IMPACT</t>
        </is>
      </c>
      <c r="G165" s="2986" t="inlineStr">
        <is>
          <t>ACTION</t>
        </is>
      </c>
      <c r="H165" s="2986" t="inlineStr">
        <is>
          <t>STATUT</t>
        </is>
      </c>
      <c r="I165" s="2926" t="n"/>
      <c r="J165" s="2926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8" customHeight="1" s="1666">
      <c r="B166" s="2952" t="inlineStr">
        <is>
          <t>18 mars 2026</t>
        </is>
      </c>
      <c r="C166" s="2952" t="inlineStr">
        <is>
          <t>BdC décision taux</t>
        </is>
      </c>
      <c r="D166" s="2952" t="n"/>
      <c r="E166" s="2952" t="inlineStr">
        <is>
          <t>ENB/REITs</t>
        </is>
      </c>
      <c r="F166" s="2932" t="inlineStr">
        <is>
          <t>Statu quo 94%</t>
        </is>
      </c>
      <c r="G166" s="2932" t="inlineStr">
        <is>
          <t>SURVEILLER</t>
        </is>
      </c>
      <c r="H166" s="2932" t="inlineStr">
        <is>
          <t>📅</t>
        </is>
      </c>
      <c r="I166" s="2932" t="n"/>
      <c r="J166" s="2932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8" customHeight="1" s="1666">
      <c r="B167" s="2953" t="inlineStr">
        <is>
          <t>28 avr 2026</t>
        </is>
      </c>
      <c r="C167" s="2953" t="inlineStr">
        <is>
          <t>META Earnings Q1</t>
        </is>
      </c>
      <c r="D167" s="2953" t="n"/>
      <c r="E167" s="2953" t="inlineStr">
        <is>
          <t>META</t>
        </is>
      </c>
      <c r="F167" s="2926" t="inlineStr">
        <is>
          <t>Guidance IA ads</t>
        </is>
      </c>
      <c r="G167" s="2926" t="inlineStr">
        <is>
          <t>⚠️ -7j no buy</t>
        </is>
      </c>
      <c r="H167" s="2926" t="inlineStr">
        <is>
          <t>📅</t>
        </is>
      </c>
      <c r="I167" s="2926" t="n"/>
      <c r="J167" s="2926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8" customHeight="1" s="1666">
      <c r="B168" s="2952" t="inlineStr">
        <is>
          <t>28 mai 2026</t>
        </is>
      </c>
      <c r="C168" s="2952" t="inlineStr">
        <is>
          <t>NVDA Earnings Q1</t>
        </is>
      </c>
      <c r="D168" s="2952" t="n"/>
      <c r="E168" s="2952" t="inlineStr">
        <is>
          <t>NVDA</t>
        </is>
      </c>
      <c r="F168" s="2932" t="inlineStr">
        <is>
          <t>Datacenter guide</t>
        </is>
      </c>
      <c r="G168" s="2932" t="inlineStr">
        <is>
          <t>⚠️ T2 only</t>
        </is>
      </c>
      <c r="H168" s="2932" t="inlineStr">
        <is>
          <t>📅</t>
        </is>
      </c>
      <c r="I168" s="2932" t="n"/>
      <c r="J168" s="2932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8" customHeight="1" s="1666">
      <c r="B169" s="2953" t="inlineStr">
        <is>
          <t>4 juin 2026</t>
        </is>
      </c>
      <c r="C169" s="2953" t="inlineStr">
        <is>
          <t>AVGO Earnings Q2</t>
        </is>
      </c>
      <c r="D169" s="2953" t="n"/>
      <c r="E169" s="2953" t="inlineStr">
        <is>
          <t>AVGO</t>
        </is>
      </c>
      <c r="F169" s="2926" t="inlineStr">
        <is>
          <t>AI rev critique</t>
        </is>
      </c>
      <c r="G169" s="2926" t="inlineStr">
        <is>
          <t>⚠️ -7j no buy</t>
        </is>
      </c>
      <c r="H169" s="2926" t="inlineStr">
        <is>
          <t>📅</t>
        </is>
      </c>
      <c r="I169" s="2926" t="n"/>
      <c r="J169" s="2926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8" customHeight="1" s="1666">
      <c r="B170" s="2952" t="inlineStr">
        <is>
          <t>Avant déc 2026</t>
        </is>
      </c>
      <c r="C170" s="2952" t="inlineStr">
        <is>
          <t>FTQ si éligible</t>
        </is>
      </c>
      <c r="D170" s="2952" t="n"/>
      <c r="E170" s="2952" t="inlineStr">
        <is>
          <t>—</t>
        </is>
      </c>
      <c r="F170" s="2932" t="inlineStr">
        <is>
          <t>Crédit $1,500</t>
        </is>
      </c>
      <c r="G170" s="2932" t="inlineStr">
        <is>
          <t>🟡 Vérifier ARC</t>
        </is>
      </c>
      <c r="H170" s="2932" t="inlineStr">
        <is>
          <t>🟡</t>
        </is>
      </c>
      <c r="I170" s="2932" t="n"/>
      <c r="J170" s="2932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8" customHeight="1" s="1666">
      <c r="B171" s="2953" t="inlineStr">
        <is>
          <t>Juil 2026</t>
        </is>
      </c>
      <c r="C171" s="2953" t="inlineStr">
        <is>
          <t>ACEUM révision</t>
        </is>
      </c>
      <c r="D171" s="2953" t="n"/>
      <c r="E171" s="2953" t="inlineStr">
        <is>
          <t>ENB/VFV</t>
        </is>
      </c>
      <c r="F171" s="2926" t="inlineStr">
        <is>
          <t>Tarifs US-CA</t>
        </is>
      </c>
      <c r="G171" s="2926" t="inlineStr">
        <is>
          <t>SURVEILLER</t>
        </is>
      </c>
      <c r="H171" s="2926" t="inlineStr">
        <is>
          <t>📅</t>
        </is>
      </c>
      <c r="I171" s="2926" t="n"/>
      <c r="J171" s="2926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K279" s="1665" t="n"/>
      <c r="L279" s="1665" t="n"/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K280" s="1665" t="n"/>
      <c r="L280" s="1665" t="n"/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K281" s="1665" t="n"/>
      <c r="L281" s="1665" t="n"/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K282" s="1665" t="n"/>
      <c r="L282" s="1665" t="n"/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K283" s="1665" t="n"/>
      <c r="L283" s="1665" t="n"/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K284" s="1665" t="n"/>
      <c r="L284" s="1665" t="n"/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K285" s="1665" t="n"/>
      <c r="L285" s="1665" t="n"/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K286" s="1665" t="n"/>
      <c r="L286" s="1665" t="n"/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K287" s="1665" t="n"/>
      <c r="L287" s="1665" t="n"/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K288" s="1665" t="n"/>
      <c r="L288" s="1665" t="n"/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K289" s="1665" t="n"/>
      <c r="L289" s="1665" t="n"/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K290" s="1665" t="n"/>
      <c r="L290" s="1665" t="n"/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K291" s="1665" t="n"/>
      <c r="L291" s="1665" t="n"/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K292" s="1665" t="n"/>
      <c r="L292" s="1665" t="n"/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K293" s="1665" t="n"/>
      <c r="L293" s="1665" t="n"/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K294" s="1665" t="n"/>
      <c r="L294" s="1665" t="n"/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K295" s="1665" t="n"/>
      <c r="L295" s="1665" t="n"/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K296" s="1665" t="n"/>
      <c r="L296" s="1665" t="n"/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K297" s="1665" t="n"/>
      <c r="L297" s="1665" t="n"/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>
      <c r="K298" s="1665" t="n"/>
      <c r="L298" s="1665" t="n"/>
      <c r="M298" s="1665" t="n"/>
      <c r="N298" s="1665" t="n"/>
      <c r="O298" s="1665" t="n"/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5.75" customHeight="1" s="1666">
      <c r="K299" s="1665" t="n"/>
      <c r="L299" s="1665" t="n"/>
      <c r="M299" s="1665" t="n"/>
      <c r="N299" s="1665" t="n"/>
      <c r="O299" s="1665" t="n"/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5.75" customHeight="1" s="1666">
      <c r="K300" s="1665" t="n"/>
      <c r="L300" s="1665" t="n"/>
      <c r="M300" s="1665" t="n"/>
      <c r="N300" s="1665" t="n"/>
      <c r="O300" s="1665" t="n"/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5.75" customHeight="1" s="1666">
      <c r="K301" s="1665" t="n"/>
      <c r="L301" s="1665" t="n"/>
      <c r="M301" s="1665" t="n"/>
      <c r="N301" s="1665" t="n"/>
      <c r="O301" s="1665" t="n"/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5.75" customHeight="1" s="1666">
      <c r="K302" s="1665" t="n"/>
      <c r="L302" s="1665" t="n"/>
      <c r="M302" s="1665" t="n"/>
      <c r="N302" s="1665" t="n"/>
      <c r="O302" s="1665" t="n"/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5.75" customHeight="1" s="1666">
      <c r="K303" s="1665" t="n"/>
      <c r="L303" s="1665" t="n"/>
      <c r="M303" s="1665" t="n"/>
      <c r="N303" s="1665" t="n"/>
      <c r="O303" s="1665" t="n"/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5.75" customHeight="1" s="1666">
      <c r="K304" s="1665" t="n"/>
      <c r="L304" s="1665" t="n"/>
      <c r="M304" s="1665" t="n"/>
      <c r="N304" s="1665" t="n"/>
      <c r="O304" s="1665" t="n"/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K305" s="1665" t="n"/>
      <c r="L305" s="1665" t="n"/>
      <c r="M305" s="1665" t="n"/>
      <c r="N305" s="1665" t="n"/>
      <c r="O305" s="1665" t="n"/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K306" s="1665" t="n"/>
      <c r="L306" s="1665" t="n"/>
      <c r="M306" s="1665" t="n"/>
      <c r="N306" s="1665" t="n"/>
      <c r="O306" s="1665" t="n"/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K307" s="1665" t="n"/>
      <c r="L307" s="1665" t="n"/>
      <c r="M307" s="1665" t="n"/>
      <c r="N307" s="1665" t="n"/>
      <c r="O307" s="1665" t="n"/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K308" s="1665" t="n"/>
      <c r="L308" s="1665" t="n"/>
      <c r="M308" s="1665" t="n"/>
      <c r="N308" s="1665" t="n"/>
      <c r="O308" s="1665" t="n"/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K309" s="1665" t="n"/>
      <c r="L309" s="1665" t="n"/>
      <c r="M309" s="1665" t="n"/>
      <c r="N309" s="1665" t="n"/>
      <c r="O309" s="1665" t="n"/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K310" s="1665" t="n"/>
      <c r="L310" s="1665" t="n"/>
      <c r="M310" s="1665" t="n"/>
      <c r="N310" s="1665" t="n"/>
      <c r="O310" s="1665" t="n"/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K311" s="1665" t="n"/>
      <c r="L311" s="1665" t="n"/>
      <c r="M311" s="1665" t="n"/>
      <c r="N311" s="1665" t="n"/>
      <c r="O311" s="1665" t="n"/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K312" s="1665" t="n"/>
      <c r="L312" s="1665" t="n"/>
      <c r="M312" s="1665" t="n"/>
      <c r="N312" s="1665" t="n"/>
      <c r="O312" s="1665" t="n"/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5.75" customHeight="1" s="1666">
      <c r="K313" s="1665" t="n"/>
      <c r="L313" s="1665" t="n"/>
      <c r="M313" s="1665" t="n"/>
      <c r="N313" s="1665" t="n"/>
      <c r="O313" s="1665" t="n"/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5.75" customHeight="1" s="1666">
      <c r="K314" s="1665" t="n"/>
      <c r="L314" s="1665" t="n"/>
      <c r="M314" s="1665" t="n"/>
      <c r="N314" s="1665" t="n"/>
      <c r="O314" s="1665" t="n"/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5.75" customHeight="1" s="1666">
      <c r="K315" s="1665" t="n"/>
      <c r="L315" s="1665" t="n"/>
      <c r="M315" s="1665" t="n"/>
      <c r="N315" s="1665" t="n"/>
      <c r="O315" s="1665" t="n"/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5.75" customHeight="1" s="1666">
      <c r="K316" s="1665" t="n"/>
      <c r="L316" s="1665" t="n"/>
      <c r="M316" s="1665" t="n"/>
      <c r="N316" s="1665" t="n"/>
      <c r="O316" s="1665" t="n"/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5.75" customHeight="1" s="1666">
      <c r="K317" s="1665" t="n"/>
      <c r="L317" s="1665" t="n"/>
      <c r="M317" s="1665" t="n"/>
      <c r="N317" s="1665" t="n"/>
      <c r="O317" s="1665" t="n"/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5.75" customHeight="1" s="1666">
      <c r="K318" s="1665" t="n"/>
      <c r="L318" s="1665" t="n"/>
      <c r="M318" s="1665" t="n"/>
      <c r="N318" s="1665" t="n"/>
      <c r="O318" s="1665" t="n"/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5.75" customHeight="1" s="1666">
      <c r="K319" s="1665" t="n"/>
      <c r="L319" s="1665" t="n"/>
      <c r="M319" s="1665" t="n"/>
      <c r="N319" s="1665" t="n"/>
      <c r="O319" s="1665" t="n"/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5.75" customHeight="1" s="1666">
      <c r="K320" s="1665" t="n"/>
      <c r="L320" s="1665" t="n"/>
      <c r="M320" s="1665" t="n"/>
      <c r="N320" s="1665" t="n"/>
      <c r="O320" s="1665" t="n"/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5.75" customHeight="1" s="1666">
      <c r="K321" s="1665" t="n"/>
      <c r="L321" s="1665" t="n"/>
      <c r="M321" s="1665" t="n"/>
      <c r="N321" s="1665" t="n"/>
      <c r="O321" s="1665" t="n"/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5.75" customHeight="1" s="1666">
      <c r="K322" s="1665" t="n"/>
      <c r="L322" s="1665" t="n"/>
      <c r="M322" s="1665" t="n"/>
      <c r="N322" s="1665" t="n"/>
      <c r="O322" s="1665" t="n"/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5.75" customHeight="1" s="1666">
      <c r="K323" s="1665" t="n"/>
      <c r="L323" s="1665" t="n"/>
      <c r="M323" s="1665" t="n"/>
      <c r="N323" s="1665" t="n"/>
      <c r="O323" s="1665" t="n"/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5.75" customHeight="1" s="1666">
      <c r="K324" s="1665" t="n"/>
      <c r="L324" s="1665" t="n"/>
      <c r="M324" s="1665" t="n"/>
      <c r="N324" s="1665" t="n"/>
      <c r="O324" s="1665" t="n"/>
      <c r="P324" s="1665" t="n"/>
      <c r="Q324" s="1665" t="n"/>
      <c r="R324" s="1665" t="n"/>
      <c r="S324" s="1665" t="n"/>
      <c r="T324" s="1665" t="n"/>
      <c r="U324" s="1665" t="n"/>
      <c r="V324" s="1665" t="n"/>
      <c r="W324" s="1665" t="n"/>
      <c r="X324" s="1665" t="n"/>
      <c r="Y324" s="1665" t="n"/>
      <c r="Z324" s="1665" t="n"/>
    </row>
    <row r="325" ht="15.75" customHeight="1" s="1666">
      <c r="K325" s="1665" t="n"/>
      <c r="L325" s="1665" t="n"/>
      <c r="M325" s="1665" t="n"/>
      <c r="N325" s="1665" t="n"/>
      <c r="O325" s="1665" t="n"/>
      <c r="P325" s="1665" t="n"/>
      <c r="Q325" s="1665" t="n"/>
      <c r="R325" s="1665" t="n"/>
      <c r="S325" s="1665" t="n"/>
      <c r="T325" s="1665" t="n"/>
      <c r="U325" s="1665" t="n"/>
      <c r="V325" s="1665" t="n"/>
      <c r="W325" s="1665" t="n"/>
      <c r="X325" s="1665" t="n"/>
      <c r="Y325" s="1665" t="n"/>
      <c r="Z325" s="1665" t="n"/>
    </row>
    <row r="326" ht="15.75" customHeight="1" s="1666">
      <c r="K326" s="1665" t="n"/>
      <c r="L326" s="1665" t="n"/>
      <c r="M326" s="1665" t="n"/>
      <c r="N326" s="1665" t="n"/>
      <c r="O326" s="1665" t="n"/>
      <c r="P326" s="1665" t="n"/>
      <c r="Q326" s="1665" t="n"/>
      <c r="R326" s="1665" t="n"/>
      <c r="S326" s="1665" t="n"/>
      <c r="T326" s="1665" t="n"/>
      <c r="U326" s="1665" t="n"/>
      <c r="V326" s="1665" t="n"/>
      <c r="W326" s="1665" t="n"/>
      <c r="X326" s="1665" t="n"/>
      <c r="Y326" s="1665" t="n"/>
      <c r="Z326" s="1665" t="n"/>
    </row>
    <row r="327" ht="15.75" customHeight="1" s="1666">
      <c r="K327" s="1665" t="n"/>
      <c r="L327" s="1665" t="n"/>
      <c r="M327" s="1665" t="n"/>
      <c r="N327" s="1665" t="n"/>
      <c r="O327" s="1665" t="n"/>
      <c r="P327" s="1665" t="n"/>
      <c r="Q327" s="1665" t="n"/>
      <c r="R327" s="1665" t="n"/>
      <c r="S327" s="1665" t="n"/>
      <c r="T327" s="1665" t="n"/>
      <c r="U327" s="1665" t="n"/>
      <c r="V327" s="1665" t="n"/>
      <c r="W327" s="1665" t="n"/>
      <c r="X327" s="1665" t="n"/>
      <c r="Y327" s="1665" t="n"/>
      <c r="Z327" s="1665" t="n"/>
    </row>
    <row r="328" ht="15.75" customHeight="1" s="1666">
      <c r="K328" s="1665" t="n"/>
      <c r="L328" s="1665" t="n"/>
      <c r="M328" s="1665" t="n"/>
      <c r="N328" s="1665" t="n"/>
      <c r="O328" s="1665" t="n"/>
      <c r="P328" s="1665" t="n"/>
      <c r="Q328" s="1665" t="n"/>
      <c r="R328" s="1665" t="n"/>
      <c r="S328" s="1665" t="n"/>
      <c r="T328" s="1665" t="n"/>
      <c r="U328" s="1665" t="n"/>
      <c r="V328" s="1665" t="n"/>
      <c r="W328" s="1665" t="n"/>
      <c r="X328" s="1665" t="n"/>
      <c r="Y328" s="1665" t="n"/>
      <c r="Z328" s="1665" t="n"/>
    </row>
    <row r="329" ht="15.75" customHeight="1" s="1666">
      <c r="K329" s="1665" t="n"/>
      <c r="L329" s="1665" t="n"/>
      <c r="M329" s="1665" t="n"/>
      <c r="N329" s="1665" t="n"/>
      <c r="O329" s="1665" t="n"/>
      <c r="P329" s="1665" t="n"/>
      <c r="Q329" s="1665" t="n"/>
      <c r="R329" s="1665" t="n"/>
      <c r="S329" s="1665" t="n"/>
      <c r="T329" s="1665" t="n"/>
      <c r="U329" s="1665" t="n"/>
      <c r="V329" s="1665" t="n"/>
      <c r="W329" s="1665" t="n"/>
      <c r="X329" s="1665" t="n"/>
      <c r="Y329" s="1665" t="n"/>
      <c r="Z329" s="1665" t="n"/>
    </row>
    <row r="330" ht="15.75" customHeight="1" s="1666">
      <c r="K330" s="1665" t="n"/>
      <c r="L330" s="1665" t="n"/>
      <c r="M330" s="1665" t="n"/>
      <c r="N330" s="1665" t="n"/>
      <c r="O330" s="1665" t="n"/>
      <c r="P330" s="1665" t="n"/>
      <c r="Q330" s="1665" t="n"/>
      <c r="R330" s="1665" t="n"/>
      <c r="S330" s="1665" t="n"/>
      <c r="T330" s="1665" t="n"/>
      <c r="U330" s="1665" t="n"/>
      <c r="V330" s="1665" t="n"/>
      <c r="W330" s="1665" t="n"/>
      <c r="X330" s="1665" t="n"/>
      <c r="Y330" s="1665" t="n"/>
      <c r="Z330" s="1665" t="n"/>
    </row>
    <row r="331" ht="15.75" customHeight="1" s="1666">
      <c r="K331" s="1665" t="n"/>
      <c r="L331" s="1665" t="n"/>
      <c r="M331" s="1665" t="n"/>
      <c r="N331" s="1665" t="n"/>
      <c r="O331" s="1665" t="n"/>
      <c r="P331" s="1665" t="n"/>
      <c r="Q331" s="1665" t="n"/>
      <c r="R331" s="1665" t="n"/>
      <c r="S331" s="1665" t="n"/>
      <c r="T331" s="1665" t="n"/>
      <c r="U331" s="1665" t="n"/>
      <c r="V331" s="1665" t="n"/>
      <c r="W331" s="1665" t="n"/>
      <c r="X331" s="1665" t="n"/>
      <c r="Y331" s="1665" t="n"/>
      <c r="Z331" s="1665" t="n"/>
    </row>
    <row r="332" ht="15.75" customHeight="1" s="1666">
      <c r="K332" s="1665" t="n"/>
      <c r="L332" s="1665" t="n"/>
      <c r="M332" s="1665" t="n"/>
      <c r="N332" s="1665" t="n"/>
      <c r="O332" s="1665" t="n"/>
      <c r="P332" s="1665" t="n"/>
      <c r="Q332" s="1665" t="n"/>
      <c r="R332" s="1665" t="n"/>
      <c r="S332" s="1665" t="n"/>
      <c r="T332" s="1665" t="n"/>
      <c r="U332" s="1665" t="n"/>
      <c r="V332" s="1665" t="n"/>
      <c r="W332" s="1665" t="n"/>
      <c r="X332" s="1665" t="n"/>
      <c r="Y332" s="1665" t="n"/>
      <c r="Z332" s="1665" t="n"/>
    </row>
    <row r="333" ht="15.75" customHeight="1" s="1666">
      <c r="K333" s="1665" t="n"/>
      <c r="L333" s="1665" t="n"/>
      <c r="M333" s="1665" t="n"/>
      <c r="N333" s="1665" t="n"/>
      <c r="O333" s="1665" t="n"/>
      <c r="P333" s="1665" t="n"/>
      <c r="Q333" s="1665" t="n"/>
      <c r="R333" s="1665" t="n"/>
      <c r="S333" s="1665" t="n"/>
      <c r="T333" s="1665" t="n"/>
      <c r="U333" s="1665" t="n"/>
      <c r="V333" s="1665" t="n"/>
      <c r="W333" s="1665" t="n"/>
      <c r="X333" s="1665" t="n"/>
      <c r="Y333" s="1665" t="n"/>
      <c r="Z333" s="1665" t="n"/>
    </row>
    <row r="334" ht="15.75" customHeight="1" s="1666">
      <c r="K334" s="1665" t="n"/>
      <c r="L334" s="1665" t="n"/>
      <c r="M334" s="1665" t="n"/>
      <c r="N334" s="1665" t="n"/>
      <c r="O334" s="1665" t="n"/>
      <c r="P334" s="1665" t="n"/>
      <c r="Q334" s="1665" t="n"/>
      <c r="R334" s="1665" t="n"/>
      <c r="S334" s="1665" t="n"/>
      <c r="T334" s="1665" t="n"/>
      <c r="U334" s="1665" t="n"/>
      <c r="V334" s="1665" t="n"/>
      <c r="W334" s="1665" t="n"/>
      <c r="X334" s="1665" t="n"/>
      <c r="Y334" s="1665" t="n"/>
      <c r="Z334" s="1665" t="n"/>
    </row>
    <row r="335" ht="15.75" customHeight="1" s="1666">
      <c r="K335" s="1665" t="n"/>
      <c r="L335" s="1665" t="n"/>
      <c r="M335" s="1665" t="n"/>
      <c r="N335" s="1665" t="n"/>
      <c r="O335" s="1665" t="n"/>
      <c r="P335" s="1665" t="n"/>
      <c r="Q335" s="1665" t="n"/>
      <c r="R335" s="1665" t="n"/>
      <c r="S335" s="1665" t="n"/>
      <c r="T335" s="1665" t="n"/>
      <c r="U335" s="1665" t="n"/>
      <c r="V335" s="1665" t="n"/>
      <c r="W335" s="1665" t="n"/>
      <c r="X335" s="1665" t="n"/>
      <c r="Y335" s="1665" t="n"/>
      <c r="Z335" s="1665" t="n"/>
    </row>
    <row r="336" ht="15.75" customHeight="1" s="1666">
      <c r="K336" s="1665" t="n"/>
      <c r="L336" s="1665" t="n"/>
      <c r="M336" s="1665" t="n"/>
      <c r="N336" s="1665" t="n"/>
      <c r="O336" s="1665" t="n"/>
      <c r="P336" s="1665" t="n"/>
      <c r="Q336" s="1665" t="n"/>
      <c r="R336" s="1665" t="n"/>
      <c r="S336" s="1665" t="n"/>
      <c r="T336" s="1665" t="n"/>
      <c r="U336" s="1665" t="n"/>
      <c r="V336" s="1665" t="n"/>
      <c r="W336" s="1665" t="n"/>
      <c r="X336" s="1665" t="n"/>
      <c r="Y336" s="1665" t="n"/>
      <c r="Z336" s="1665" t="n"/>
    </row>
    <row r="337" ht="15.75" customHeight="1" s="1666">
      <c r="K337" s="1665" t="n"/>
      <c r="L337" s="1665" t="n"/>
      <c r="M337" s="1665" t="n"/>
      <c r="N337" s="1665" t="n"/>
      <c r="O337" s="1665" t="n"/>
      <c r="P337" s="1665" t="n"/>
      <c r="Q337" s="1665" t="n"/>
      <c r="R337" s="1665" t="n"/>
      <c r="S337" s="1665" t="n"/>
      <c r="T337" s="1665" t="n"/>
      <c r="U337" s="1665" t="n"/>
      <c r="V337" s="1665" t="n"/>
      <c r="W337" s="1665" t="n"/>
      <c r="X337" s="1665" t="n"/>
      <c r="Y337" s="1665" t="n"/>
      <c r="Z337" s="1665" t="n"/>
    </row>
    <row r="338" ht="15.75" customHeight="1" s="1666">
      <c r="K338" s="1665" t="n"/>
      <c r="L338" s="1665" t="n"/>
      <c r="M338" s="1665" t="n"/>
      <c r="N338" s="1665" t="n"/>
      <c r="O338" s="1665" t="n"/>
      <c r="P338" s="1665" t="n"/>
      <c r="Q338" s="1665" t="n"/>
      <c r="R338" s="1665" t="n"/>
      <c r="S338" s="1665" t="n"/>
      <c r="T338" s="1665" t="n"/>
      <c r="U338" s="1665" t="n"/>
      <c r="V338" s="1665" t="n"/>
      <c r="W338" s="1665" t="n"/>
      <c r="X338" s="1665" t="n"/>
      <c r="Y338" s="1665" t="n"/>
      <c r="Z338" s="1665" t="n"/>
    </row>
    <row r="339" ht="15.75" customHeight="1" s="1666">
      <c r="K339" s="1665" t="n"/>
      <c r="L339" s="1665" t="n"/>
      <c r="M339" s="1665" t="n"/>
      <c r="N339" s="1665" t="n"/>
      <c r="O339" s="1665" t="n"/>
      <c r="P339" s="1665" t="n"/>
      <c r="Q339" s="1665" t="n"/>
      <c r="R339" s="1665" t="n"/>
      <c r="S339" s="1665" t="n"/>
      <c r="T339" s="1665" t="n"/>
      <c r="U339" s="1665" t="n"/>
      <c r="V339" s="1665" t="n"/>
      <c r="W339" s="1665" t="n"/>
      <c r="X339" s="1665" t="n"/>
      <c r="Y339" s="1665" t="n"/>
      <c r="Z339" s="1665" t="n"/>
    </row>
    <row r="340" ht="15.75" customHeight="1" s="1666">
      <c r="K340" s="1665" t="n"/>
      <c r="L340" s="1665" t="n"/>
      <c r="M340" s="1665" t="n"/>
      <c r="N340" s="1665" t="n"/>
      <c r="O340" s="1665" t="n"/>
      <c r="P340" s="1665" t="n"/>
      <c r="Q340" s="1665" t="n"/>
      <c r="R340" s="1665" t="n"/>
      <c r="S340" s="1665" t="n"/>
      <c r="T340" s="1665" t="n"/>
      <c r="U340" s="1665" t="n"/>
      <c r="V340" s="1665" t="n"/>
      <c r="W340" s="1665" t="n"/>
      <c r="X340" s="1665" t="n"/>
      <c r="Y340" s="1665" t="n"/>
      <c r="Z340" s="1665" t="n"/>
    </row>
    <row r="341" ht="15.75" customHeight="1" s="1666">
      <c r="K341" s="1665" t="n"/>
      <c r="L341" s="1665" t="n"/>
      <c r="M341" s="1665" t="n"/>
      <c r="N341" s="1665" t="n"/>
      <c r="O341" s="1665" t="n"/>
      <c r="P341" s="1665" t="n"/>
      <c r="Q341" s="1665" t="n"/>
      <c r="R341" s="1665" t="n"/>
      <c r="S341" s="1665" t="n"/>
      <c r="T341" s="1665" t="n"/>
      <c r="U341" s="1665" t="n"/>
      <c r="V341" s="1665" t="n"/>
      <c r="W341" s="1665" t="n"/>
      <c r="X341" s="1665" t="n"/>
      <c r="Y341" s="1665" t="n"/>
      <c r="Z341" s="1665" t="n"/>
    </row>
    <row r="342" ht="15.75" customHeight="1" s="1666">
      <c r="K342" s="1665" t="n"/>
      <c r="L342" s="1665" t="n"/>
      <c r="M342" s="1665" t="n"/>
      <c r="N342" s="1665" t="n"/>
      <c r="O342" s="1665" t="n"/>
      <c r="P342" s="1665" t="n"/>
      <c r="Q342" s="1665" t="n"/>
      <c r="R342" s="1665" t="n"/>
      <c r="S342" s="1665" t="n"/>
      <c r="T342" s="1665" t="n"/>
      <c r="U342" s="1665" t="n"/>
      <c r="V342" s="1665" t="n"/>
      <c r="W342" s="1665" t="n"/>
      <c r="X342" s="1665" t="n"/>
      <c r="Y342" s="1665" t="n"/>
      <c r="Z342" s="1665" t="n"/>
    </row>
    <row r="343" ht="15.75" customHeight="1" s="1666">
      <c r="K343" s="1665" t="n"/>
      <c r="L343" s="1665" t="n"/>
      <c r="M343" s="1665" t="n"/>
      <c r="N343" s="1665" t="n"/>
      <c r="O343" s="1665" t="n"/>
      <c r="P343" s="1665" t="n"/>
      <c r="Q343" s="1665" t="n"/>
      <c r="R343" s="1665" t="n"/>
      <c r="S343" s="1665" t="n"/>
      <c r="T343" s="1665" t="n"/>
      <c r="U343" s="1665" t="n"/>
      <c r="V343" s="1665" t="n"/>
      <c r="W343" s="1665" t="n"/>
      <c r="X343" s="1665" t="n"/>
      <c r="Y343" s="1665" t="n"/>
      <c r="Z343" s="1665" t="n"/>
    </row>
    <row r="344" ht="15.75" customHeight="1" s="1666">
      <c r="K344" s="1665" t="n"/>
      <c r="L344" s="1665" t="n"/>
      <c r="M344" s="1665" t="n"/>
      <c r="N344" s="1665" t="n"/>
      <c r="O344" s="1665" t="n"/>
      <c r="P344" s="1665" t="n"/>
      <c r="Q344" s="1665" t="n"/>
      <c r="R344" s="1665" t="n"/>
      <c r="S344" s="1665" t="n"/>
      <c r="T344" s="1665" t="n"/>
      <c r="U344" s="1665" t="n"/>
      <c r="V344" s="1665" t="n"/>
      <c r="W344" s="1665" t="n"/>
      <c r="X344" s="1665" t="n"/>
      <c r="Y344" s="1665" t="n"/>
      <c r="Z344" s="1665" t="n"/>
    </row>
    <row r="345" ht="15.75" customHeight="1" s="1666">
      <c r="K345" s="1665" t="n"/>
      <c r="L345" s="1665" t="n"/>
      <c r="M345" s="1665" t="n"/>
      <c r="N345" s="1665" t="n"/>
      <c r="O345" s="1665" t="n"/>
      <c r="P345" s="1665" t="n"/>
      <c r="Q345" s="1665" t="n"/>
      <c r="R345" s="1665" t="n"/>
      <c r="S345" s="1665" t="n"/>
      <c r="T345" s="1665" t="n"/>
      <c r="U345" s="1665" t="n"/>
      <c r="V345" s="1665" t="n"/>
      <c r="W345" s="1665" t="n"/>
      <c r="X345" s="1665" t="n"/>
      <c r="Y345" s="1665" t="n"/>
      <c r="Z345" s="1665" t="n"/>
    </row>
    <row r="346" ht="15.75" customHeight="1" s="1666">
      <c r="K346" s="1665" t="n"/>
      <c r="L346" s="1665" t="n"/>
      <c r="M346" s="1665" t="n"/>
      <c r="N346" s="1665" t="n"/>
      <c r="O346" s="1665" t="n"/>
      <c r="P346" s="1665" t="n"/>
      <c r="Q346" s="1665" t="n"/>
      <c r="R346" s="1665" t="n"/>
      <c r="S346" s="1665" t="n"/>
      <c r="T346" s="1665" t="n"/>
      <c r="U346" s="1665" t="n"/>
      <c r="V346" s="1665" t="n"/>
      <c r="W346" s="1665" t="n"/>
      <c r="X346" s="1665" t="n"/>
      <c r="Y346" s="1665" t="n"/>
      <c r="Z346" s="1665" t="n"/>
    </row>
    <row r="347" ht="15.75" customHeight="1" s="1666">
      <c r="K347" s="1665" t="n"/>
      <c r="L347" s="1665" t="n"/>
      <c r="M347" s="1665" t="n"/>
      <c r="N347" s="1665" t="n"/>
      <c r="O347" s="1665" t="n"/>
      <c r="P347" s="1665" t="n"/>
      <c r="Q347" s="1665" t="n"/>
      <c r="R347" s="1665" t="n"/>
      <c r="S347" s="1665" t="n"/>
      <c r="T347" s="1665" t="n"/>
      <c r="U347" s="1665" t="n"/>
      <c r="V347" s="1665" t="n"/>
      <c r="W347" s="1665" t="n"/>
      <c r="X347" s="1665" t="n"/>
      <c r="Y347" s="1665" t="n"/>
      <c r="Z347" s="1665" t="n"/>
    </row>
    <row r="348" ht="15.75" customHeight="1" s="1666">
      <c r="K348" s="1665" t="n"/>
      <c r="L348" s="1665" t="n"/>
      <c r="M348" s="1665" t="n"/>
      <c r="N348" s="1665" t="n"/>
      <c r="O348" s="1665" t="n"/>
      <c r="P348" s="1665" t="n"/>
      <c r="Q348" s="1665" t="n"/>
      <c r="R348" s="1665" t="n"/>
      <c r="S348" s="1665" t="n"/>
      <c r="T348" s="1665" t="n"/>
      <c r="U348" s="1665" t="n"/>
      <c r="V348" s="1665" t="n"/>
      <c r="W348" s="1665" t="n"/>
      <c r="X348" s="1665" t="n"/>
      <c r="Y348" s="1665" t="n"/>
      <c r="Z348" s="1665" t="n"/>
    </row>
    <row r="349" ht="15.75" customHeight="1" s="1666">
      <c r="K349" s="1665" t="n"/>
      <c r="L349" s="1665" t="n"/>
      <c r="M349" s="1665" t="n"/>
      <c r="N349" s="1665" t="n"/>
      <c r="O349" s="1665" t="n"/>
      <c r="P349" s="1665" t="n"/>
      <c r="Q349" s="1665" t="n"/>
      <c r="R349" s="1665" t="n"/>
      <c r="S349" s="1665" t="n"/>
      <c r="T349" s="1665" t="n"/>
      <c r="U349" s="1665" t="n"/>
      <c r="V349" s="1665" t="n"/>
      <c r="W349" s="1665" t="n"/>
      <c r="X349" s="1665" t="n"/>
      <c r="Y349" s="1665" t="n"/>
      <c r="Z349" s="1665" t="n"/>
    </row>
    <row r="350" ht="15.75" customHeight="1" s="1666">
      <c r="K350" s="1665" t="n"/>
      <c r="L350" s="1665" t="n"/>
      <c r="M350" s="1665" t="n"/>
      <c r="N350" s="1665" t="n"/>
      <c r="O350" s="1665" t="n"/>
      <c r="P350" s="1665" t="n"/>
      <c r="Q350" s="1665" t="n"/>
      <c r="R350" s="1665" t="n"/>
      <c r="S350" s="1665" t="n"/>
      <c r="T350" s="1665" t="n"/>
      <c r="U350" s="1665" t="n"/>
      <c r="V350" s="1665" t="n"/>
      <c r="W350" s="1665" t="n"/>
      <c r="X350" s="1665" t="n"/>
      <c r="Y350" s="1665" t="n"/>
      <c r="Z350" s="1665" t="n"/>
    </row>
    <row r="351" ht="15.75" customHeight="1" s="1666">
      <c r="K351" s="1665" t="n"/>
      <c r="L351" s="1665" t="n"/>
      <c r="M351" s="1665" t="n"/>
      <c r="N351" s="1665" t="n"/>
      <c r="O351" s="1665" t="n"/>
      <c r="P351" s="1665" t="n"/>
      <c r="Q351" s="1665" t="n"/>
      <c r="R351" s="1665" t="n"/>
      <c r="S351" s="1665" t="n"/>
      <c r="T351" s="1665" t="n"/>
      <c r="U351" s="1665" t="n"/>
      <c r="V351" s="1665" t="n"/>
      <c r="W351" s="1665" t="n"/>
      <c r="X351" s="1665" t="n"/>
      <c r="Y351" s="1665" t="n"/>
      <c r="Z351" s="1665" t="n"/>
    </row>
    <row r="352" ht="15.75" customHeight="1" s="1666">
      <c r="K352" s="1665" t="n"/>
      <c r="L352" s="1665" t="n"/>
      <c r="M352" s="1665" t="n"/>
      <c r="N352" s="1665" t="n"/>
      <c r="O352" s="1665" t="n"/>
      <c r="P352" s="1665" t="n"/>
      <c r="Q352" s="1665" t="n"/>
      <c r="R352" s="1665" t="n"/>
      <c r="S352" s="1665" t="n"/>
      <c r="T352" s="1665" t="n"/>
      <c r="U352" s="1665" t="n"/>
      <c r="V352" s="1665" t="n"/>
      <c r="W352" s="1665" t="n"/>
      <c r="X352" s="1665" t="n"/>
      <c r="Y352" s="1665" t="n"/>
      <c r="Z352" s="1665" t="n"/>
    </row>
    <row r="353" ht="15.75" customHeight="1" s="1666">
      <c r="K353" s="1665" t="n"/>
      <c r="L353" s="1665" t="n"/>
      <c r="M353" s="1665" t="n"/>
      <c r="N353" s="1665" t="n"/>
      <c r="O353" s="1665" t="n"/>
      <c r="P353" s="1665" t="n"/>
      <c r="Q353" s="1665" t="n"/>
      <c r="R353" s="1665" t="n"/>
      <c r="S353" s="1665" t="n"/>
      <c r="T353" s="1665" t="n"/>
      <c r="U353" s="1665" t="n"/>
      <c r="V353" s="1665" t="n"/>
      <c r="W353" s="1665" t="n"/>
      <c r="X353" s="1665" t="n"/>
      <c r="Y353" s="1665" t="n"/>
      <c r="Z353" s="1665" t="n"/>
    </row>
    <row r="354" ht="15.75" customHeight="1" s="1666">
      <c r="K354" s="1665" t="n"/>
      <c r="L354" s="1665" t="n"/>
      <c r="M354" s="1665" t="n"/>
      <c r="N354" s="1665" t="n"/>
      <c r="O354" s="1665" t="n"/>
      <c r="P354" s="1665" t="n"/>
      <c r="Q354" s="1665" t="n"/>
      <c r="R354" s="1665" t="n"/>
      <c r="S354" s="1665" t="n"/>
      <c r="T354" s="1665" t="n"/>
      <c r="U354" s="1665" t="n"/>
      <c r="V354" s="1665" t="n"/>
      <c r="W354" s="1665" t="n"/>
      <c r="X354" s="1665" t="n"/>
      <c r="Y354" s="1665" t="n"/>
      <c r="Z354" s="1665" t="n"/>
    </row>
    <row r="355" ht="15.75" customHeight="1" s="1666">
      <c r="K355" s="1665" t="n"/>
      <c r="L355" s="1665" t="n"/>
      <c r="M355" s="1665" t="n"/>
      <c r="N355" s="1665" t="n"/>
      <c r="O355" s="1665" t="n"/>
      <c r="P355" s="1665" t="n"/>
      <c r="Q355" s="1665" t="n"/>
      <c r="R355" s="1665" t="n"/>
      <c r="S355" s="1665" t="n"/>
      <c r="T355" s="1665" t="n"/>
      <c r="U355" s="1665" t="n"/>
      <c r="V355" s="1665" t="n"/>
      <c r="W355" s="1665" t="n"/>
      <c r="X355" s="1665" t="n"/>
      <c r="Y355" s="1665" t="n"/>
      <c r="Z355" s="1665" t="n"/>
    </row>
    <row r="356" ht="15.75" customHeight="1" s="1666">
      <c r="K356" s="1665" t="n"/>
      <c r="L356" s="1665" t="n"/>
      <c r="M356" s="1665" t="n"/>
      <c r="N356" s="1665" t="n"/>
      <c r="O356" s="1665" t="n"/>
      <c r="P356" s="1665" t="n"/>
      <c r="Q356" s="1665" t="n"/>
      <c r="R356" s="1665" t="n"/>
      <c r="S356" s="1665" t="n"/>
      <c r="T356" s="1665" t="n"/>
      <c r="U356" s="1665" t="n"/>
      <c r="V356" s="1665" t="n"/>
      <c r="W356" s="1665" t="n"/>
      <c r="X356" s="1665" t="n"/>
      <c r="Y356" s="1665" t="n"/>
      <c r="Z356" s="1665" t="n"/>
    </row>
    <row r="357" ht="15.75" customHeight="1" s="1666">
      <c r="K357" s="1665" t="n"/>
      <c r="L357" s="1665" t="n"/>
      <c r="M357" s="1665" t="n"/>
      <c r="N357" s="1665" t="n"/>
      <c r="O357" s="1665" t="n"/>
      <c r="P357" s="1665" t="n"/>
      <c r="Q357" s="1665" t="n"/>
      <c r="R357" s="1665" t="n"/>
      <c r="S357" s="1665" t="n"/>
      <c r="T357" s="1665" t="n"/>
      <c r="U357" s="1665" t="n"/>
      <c r="V357" s="1665" t="n"/>
      <c r="W357" s="1665" t="n"/>
      <c r="X357" s="1665" t="n"/>
      <c r="Y357" s="1665" t="n"/>
      <c r="Z357" s="1665" t="n"/>
    </row>
    <row r="358" ht="15.75" customHeight="1" s="1666">
      <c r="K358" s="1665" t="n"/>
      <c r="L358" s="1665" t="n"/>
      <c r="M358" s="1665" t="n"/>
      <c r="N358" s="1665" t="n"/>
      <c r="O358" s="1665" t="n"/>
      <c r="P358" s="1665" t="n"/>
      <c r="Q358" s="1665" t="n"/>
      <c r="R358" s="1665" t="n"/>
      <c r="S358" s="1665" t="n"/>
      <c r="T358" s="1665" t="n"/>
      <c r="U358" s="1665" t="n"/>
      <c r="V358" s="1665" t="n"/>
      <c r="W358" s="1665" t="n"/>
      <c r="X358" s="1665" t="n"/>
      <c r="Y358" s="1665" t="n"/>
      <c r="Z358" s="1665" t="n"/>
    </row>
    <row r="359" ht="15.75" customHeight="1" s="1666">
      <c r="K359" s="1665" t="n"/>
      <c r="L359" s="1665" t="n"/>
      <c r="M359" s="1665" t="n"/>
      <c r="N359" s="1665" t="n"/>
      <c r="O359" s="1665" t="n"/>
      <c r="P359" s="1665" t="n"/>
      <c r="Q359" s="1665" t="n"/>
      <c r="R359" s="1665" t="n"/>
      <c r="S359" s="1665" t="n"/>
      <c r="T359" s="1665" t="n"/>
      <c r="U359" s="1665" t="n"/>
      <c r="V359" s="1665" t="n"/>
      <c r="W359" s="1665" t="n"/>
      <c r="X359" s="1665" t="n"/>
      <c r="Y359" s="1665" t="n"/>
      <c r="Z359" s="1665" t="n"/>
    </row>
    <row r="360" ht="15.75" customHeight="1" s="1666">
      <c r="K360" s="1665" t="n"/>
      <c r="L360" s="1665" t="n"/>
      <c r="M360" s="1665" t="n"/>
      <c r="N360" s="1665" t="n"/>
      <c r="O360" s="1665" t="n"/>
      <c r="P360" s="1665" t="n"/>
      <c r="Q360" s="1665" t="n"/>
      <c r="R360" s="1665" t="n"/>
      <c r="S360" s="1665" t="n"/>
      <c r="T360" s="1665" t="n"/>
      <c r="U360" s="1665" t="n"/>
      <c r="V360" s="1665" t="n"/>
      <c r="W360" s="1665" t="n"/>
      <c r="X360" s="1665" t="n"/>
      <c r="Y360" s="1665" t="n"/>
      <c r="Z360" s="1665" t="n"/>
    </row>
    <row r="361" ht="15.75" customHeight="1" s="1666">
      <c r="K361" s="1665" t="n"/>
      <c r="L361" s="1665" t="n"/>
      <c r="M361" s="1665" t="n"/>
      <c r="N361" s="1665" t="n"/>
      <c r="O361" s="1665" t="n"/>
      <c r="P361" s="1665" t="n"/>
      <c r="Q361" s="1665" t="n"/>
      <c r="R361" s="1665" t="n"/>
      <c r="S361" s="1665" t="n"/>
      <c r="T361" s="1665" t="n"/>
      <c r="U361" s="1665" t="n"/>
      <c r="V361" s="1665" t="n"/>
      <c r="W361" s="1665" t="n"/>
      <c r="X361" s="1665" t="n"/>
      <c r="Y361" s="1665" t="n"/>
      <c r="Z361" s="1665" t="n"/>
    </row>
    <row r="362" ht="15.75" customHeight="1" s="1666">
      <c r="K362" s="1665" t="n"/>
      <c r="L362" s="1665" t="n"/>
      <c r="M362" s="1665" t="n"/>
      <c r="N362" s="1665" t="n"/>
      <c r="O362" s="1665" t="n"/>
      <c r="P362" s="1665" t="n"/>
      <c r="Q362" s="1665" t="n"/>
      <c r="R362" s="1665" t="n"/>
      <c r="S362" s="1665" t="n"/>
      <c r="T362" s="1665" t="n"/>
      <c r="U362" s="1665" t="n"/>
      <c r="V362" s="1665" t="n"/>
      <c r="W362" s="1665" t="n"/>
      <c r="X362" s="1665" t="n"/>
      <c r="Y362" s="1665" t="n"/>
      <c r="Z362" s="1665" t="n"/>
    </row>
    <row r="363" ht="15.75" customHeight="1" s="1666">
      <c r="K363" s="1665" t="n"/>
      <c r="L363" s="1665" t="n"/>
      <c r="M363" s="1665" t="n"/>
      <c r="N363" s="1665" t="n"/>
      <c r="O363" s="1665" t="n"/>
      <c r="P363" s="1665" t="n"/>
      <c r="Q363" s="1665" t="n"/>
      <c r="R363" s="1665" t="n"/>
      <c r="S363" s="1665" t="n"/>
      <c r="T363" s="1665" t="n"/>
      <c r="U363" s="1665" t="n"/>
      <c r="V363" s="1665" t="n"/>
      <c r="W363" s="1665" t="n"/>
      <c r="X363" s="1665" t="n"/>
      <c r="Y363" s="1665" t="n"/>
      <c r="Z363" s="1665" t="n"/>
    </row>
    <row r="364" ht="15.75" customHeight="1" s="1666">
      <c r="K364" s="1665" t="n"/>
      <c r="L364" s="1665" t="n"/>
      <c r="M364" s="1665" t="n"/>
      <c r="N364" s="1665" t="n"/>
      <c r="O364" s="1665" t="n"/>
      <c r="P364" s="1665" t="n"/>
      <c r="Q364" s="1665" t="n"/>
      <c r="R364" s="1665" t="n"/>
      <c r="S364" s="1665" t="n"/>
      <c r="T364" s="1665" t="n"/>
      <c r="U364" s="1665" t="n"/>
      <c r="V364" s="1665" t="n"/>
      <c r="W364" s="1665" t="n"/>
      <c r="X364" s="1665" t="n"/>
      <c r="Y364" s="1665" t="n"/>
      <c r="Z364" s="1665" t="n"/>
    </row>
    <row r="365" ht="15.75" customHeight="1" s="1666">
      <c r="K365" s="1665" t="n"/>
      <c r="L365" s="1665" t="n"/>
      <c r="M365" s="1665" t="n"/>
      <c r="N365" s="1665" t="n"/>
      <c r="O365" s="1665" t="n"/>
      <c r="P365" s="1665" t="n"/>
      <c r="Q365" s="1665" t="n"/>
      <c r="R365" s="1665" t="n"/>
      <c r="S365" s="1665" t="n"/>
      <c r="T365" s="1665" t="n"/>
      <c r="U365" s="1665" t="n"/>
      <c r="V365" s="1665" t="n"/>
      <c r="W365" s="1665" t="n"/>
      <c r="X365" s="1665" t="n"/>
      <c r="Y365" s="1665" t="n"/>
      <c r="Z365" s="1665" t="n"/>
    </row>
    <row r="366" ht="15.75" customHeight="1" s="1666">
      <c r="K366" s="1665" t="n"/>
      <c r="L366" s="1665" t="n"/>
      <c r="M366" s="1665" t="n"/>
      <c r="N366" s="1665" t="n"/>
      <c r="O366" s="1665" t="n"/>
      <c r="P366" s="1665" t="n"/>
      <c r="Q366" s="1665" t="n"/>
      <c r="R366" s="1665" t="n"/>
      <c r="S366" s="1665" t="n"/>
      <c r="T366" s="1665" t="n"/>
      <c r="U366" s="1665" t="n"/>
      <c r="V366" s="1665" t="n"/>
      <c r="W366" s="1665" t="n"/>
      <c r="X366" s="1665" t="n"/>
      <c r="Y366" s="1665" t="n"/>
      <c r="Z366" s="1665" t="n"/>
    </row>
    <row r="367" ht="15.75" customHeight="1" s="1666">
      <c r="K367" s="1665" t="n"/>
      <c r="L367" s="1665" t="n"/>
      <c r="M367" s="1665" t="n"/>
      <c r="N367" s="1665" t="n"/>
      <c r="O367" s="1665" t="n"/>
      <c r="P367" s="1665" t="n"/>
      <c r="Q367" s="1665" t="n"/>
      <c r="R367" s="1665" t="n"/>
      <c r="S367" s="1665" t="n"/>
      <c r="T367" s="1665" t="n"/>
      <c r="U367" s="1665" t="n"/>
      <c r="V367" s="1665" t="n"/>
      <c r="W367" s="1665" t="n"/>
      <c r="X367" s="1665" t="n"/>
      <c r="Y367" s="1665" t="n"/>
      <c r="Z367" s="1665" t="n"/>
    </row>
    <row r="368" ht="15.75" customHeight="1" s="1666">
      <c r="K368" s="1665" t="n"/>
      <c r="L368" s="1665" t="n"/>
      <c r="M368" s="1665" t="n"/>
      <c r="N368" s="1665" t="n"/>
      <c r="O368" s="1665" t="n"/>
      <c r="P368" s="1665" t="n"/>
      <c r="Q368" s="1665" t="n"/>
      <c r="R368" s="1665" t="n"/>
      <c r="S368" s="1665" t="n"/>
      <c r="T368" s="1665" t="n"/>
      <c r="U368" s="1665" t="n"/>
      <c r="V368" s="1665" t="n"/>
      <c r="W368" s="1665" t="n"/>
      <c r="X368" s="1665" t="n"/>
      <c r="Y368" s="1665" t="n"/>
      <c r="Z368" s="1665" t="n"/>
    </row>
    <row r="369" ht="15.75" customHeight="1" s="1666">
      <c r="K369" s="1665" t="n"/>
      <c r="L369" s="1665" t="n"/>
      <c r="M369" s="1665" t="n"/>
      <c r="N369" s="1665" t="n"/>
      <c r="O369" s="1665" t="n"/>
      <c r="P369" s="1665" t="n"/>
      <c r="Q369" s="1665" t="n"/>
      <c r="R369" s="1665" t="n"/>
      <c r="S369" s="1665" t="n"/>
      <c r="T369" s="1665" t="n"/>
      <c r="U369" s="1665" t="n"/>
      <c r="V369" s="1665" t="n"/>
      <c r="W369" s="1665" t="n"/>
      <c r="X369" s="1665" t="n"/>
      <c r="Y369" s="1665" t="n"/>
      <c r="Z369" s="1665" t="n"/>
    </row>
    <row r="370" ht="15.75" customHeight="1" s="1666">
      <c r="K370" s="1665" t="n"/>
      <c r="L370" s="1665" t="n"/>
      <c r="M370" s="1665" t="n"/>
      <c r="N370" s="1665" t="n"/>
      <c r="O370" s="1665" t="n"/>
      <c r="P370" s="1665" t="n"/>
      <c r="Q370" s="1665" t="n"/>
      <c r="R370" s="1665" t="n"/>
      <c r="S370" s="1665" t="n"/>
      <c r="T370" s="1665" t="n"/>
      <c r="U370" s="1665" t="n"/>
      <c r="V370" s="1665" t="n"/>
      <c r="W370" s="1665" t="n"/>
      <c r="X370" s="1665" t="n"/>
      <c r="Y370" s="1665" t="n"/>
      <c r="Z370" s="1665" t="n"/>
    </row>
    <row r="371" ht="15.75" customHeight="1" s="1666">
      <c r="K371" s="1665" t="n"/>
      <c r="L371" s="1665" t="n"/>
      <c r="M371" s="1665" t="n"/>
      <c r="N371" s="1665" t="n"/>
      <c r="O371" s="1665" t="n"/>
      <c r="P371" s="1665" t="n"/>
      <c r="Q371" s="1665" t="n"/>
      <c r="R371" s="1665" t="n"/>
      <c r="S371" s="1665" t="n"/>
      <c r="T371" s="1665" t="n"/>
      <c r="U371" s="1665" t="n"/>
      <c r="V371" s="1665" t="n"/>
      <c r="W371" s="1665" t="n"/>
      <c r="X371" s="1665" t="n"/>
      <c r="Y371" s="1665" t="n"/>
      <c r="Z371" s="1665" t="n"/>
    </row>
    <row r="372" ht="15.75" customHeight="1" s="1666">
      <c r="K372" s="1665" t="n"/>
      <c r="L372" s="1665" t="n"/>
      <c r="M372" s="1665" t="n"/>
      <c r="N372" s="1665" t="n"/>
      <c r="O372" s="1665" t="n"/>
      <c r="P372" s="1665" t="n"/>
      <c r="Q372" s="1665" t="n"/>
      <c r="R372" s="1665" t="n"/>
      <c r="S372" s="1665" t="n"/>
      <c r="T372" s="1665" t="n"/>
      <c r="U372" s="1665" t="n"/>
      <c r="V372" s="1665" t="n"/>
      <c r="W372" s="1665" t="n"/>
      <c r="X372" s="1665" t="n"/>
      <c r="Y372" s="1665" t="n"/>
      <c r="Z372" s="1665" t="n"/>
    </row>
    <row r="373" ht="15.75" customHeight="1" s="1666">
      <c r="K373" s="1665" t="n"/>
      <c r="L373" s="1665" t="n"/>
      <c r="M373" s="1665" t="n"/>
      <c r="N373" s="1665" t="n"/>
      <c r="O373" s="1665" t="n"/>
      <c r="P373" s="1665" t="n"/>
      <c r="Q373" s="1665" t="n"/>
      <c r="R373" s="1665" t="n"/>
      <c r="S373" s="1665" t="n"/>
      <c r="T373" s="1665" t="n"/>
      <c r="U373" s="1665" t="n"/>
      <c r="V373" s="1665" t="n"/>
      <c r="W373" s="1665" t="n"/>
      <c r="X373" s="1665" t="n"/>
      <c r="Y373" s="1665" t="n"/>
      <c r="Z373" s="1665" t="n"/>
    </row>
    <row r="374" ht="15.75" customHeight="1" s="1666">
      <c r="K374" s="1665" t="n"/>
      <c r="L374" s="1665" t="n"/>
      <c r="M374" s="1665" t="n"/>
      <c r="N374" s="1665" t="n"/>
      <c r="O374" s="1665" t="n"/>
      <c r="P374" s="1665" t="n"/>
      <c r="Q374" s="1665" t="n"/>
      <c r="R374" s="1665" t="n"/>
      <c r="S374" s="1665" t="n"/>
      <c r="T374" s="1665" t="n"/>
      <c r="U374" s="1665" t="n"/>
      <c r="V374" s="1665" t="n"/>
      <c r="W374" s="1665" t="n"/>
      <c r="X374" s="1665" t="n"/>
      <c r="Y374" s="1665" t="n"/>
      <c r="Z374" s="1665" t="n"/>
    </row>
    <row r="375" ht="15.75" customHeight="1" s="1666">
      <c r="K375" s="1665" t="n"/>
      <c r="L375" s="1665" t="n"/>
      <c r="M375" s="1665" t="n"/>
      <c r="N375" s="1665" t="n"/>
      <c r="O375" s="1665" t="n"/>
      <c r="P375" s="1665" t="n"/>
      <c r="Q375" s="1665" t="n"/>
      <c r="R375" s="1665" t="n"/>
      <c r="S375" s="1665" t="n"/>
      <c r="T375" s="1665" t="n"/>
      <c r="U375" s="1665" t="n"/>
      <c r="V375" s="1665" t="n"/>
      <c r="W375" s="1665" t="n"/>
      <c r="X375" s="1665" t="n"/>
      <c r="Y375" s="1665" t="n"/>
      <c r="Z375" s="1665" t="n"/>
    </row>
    <row r="376" ht="15.75" customHeight="1" s="1666">
      <c r="K376" s="1665" t="n"/>
      <c r="L376" s="1665" t="n"/>
      <c r="M376" s="1665" t="n"/>
      <c r="N376" s="1665" t="n"/>
      <c r="O376" s="1665" t="n"/>
      <c r="P376" s="1665" t="n"/>
      <c r="Q376" s="1665" t="n"/>
      <c r="R376" s="1665" t="n"/>
      <c r="S376" s="1665" t="n"/>
      <c r="T376" s="1665" t="n"/>
      <c r="U376" s="1665" t="n"/>
      <c r="V376" s="1665" t="n"/>
      <c r="W376" s="1665" t="n"/>
      <c r="X376" s="1665" t="n"/>
      <c r="Y376" s="1665" t="n"/>
      <c r="Z376" s="1665" t="n"/>
    </row>
    <row r="377" ht="15.75" customHeight="1" s="1666">
      <c r="K377" s="1665" t="n"/>
      <c r="L377" s="1665" t="n"/>
      <c r="M377" s="1665" t="n"/>
      <c r="N377" s="1665" t="n"/>
      <c r="O377" s="1665" t="n"/>
      <c r="P377" s="1665" t="n"/>
      <c r="Q377" s="1665" t="n"/>
      <c r="R377" s="1665" t="n"/>
      <c r="S377" s="1665" t="n"/>
      <c r="T377" s="1665" t="n"/>
      <c r="U377" s="1665" t="n"/>
      <c r="V377" s="1665" t="n"/>
      <c r="W377" s="1665" t="n"/>
      <c r="X377" s="1665" t="n"/>
      <c r="Y377" s="1665" t="n"/>
      <c r="Z377" s="1665" t="n"/>
    </row>
    <row r="378" ht="15.75" customHeight="1" s="1666">
      <c r="K378" s="1665" t="n"/>
      <c r="L378" s="1665" t="n"/>
      <c r="M378" s="1665" t="n"/>
      <c r="N378" s="1665" t="n"/>
      <c r="O378" s="1665" t="n"/>
      <c r="P378" s="1665" t="n"/>
      <c r="Q378" s="1665" t="n"/>
      <c r="R378" s="1665" t="n"/>
      <c r="S378" s="1665" t="n"/>
      <c r="T378" s="1665" t="n"/>
      <c r="U378" s="1665" t="n"/>
      <c r="V378" s="1665" t="n"/>
      <c r="W378" s="1665" t="n"/>
      <c r="X378" s="1665" t="n"/>
      <c r="Y378" s="1665" t="n"/>
      <c r="Z378" s="1665" t="n"/>
    </row>
    <row r="379" ht="15.75" customHeight="1" s="1666">
      <c r="K379" s="1665" t="n"/>
      <c r="L379" s="1665" t="n"/>
      <c r="M379" s="1665" t="n"/>
      <c r="N379" s="1665" t="n"/>
      <c r="O379" s="1665" t="n"/>
      <c r="P379" s="1665" t="n"/>
      <c r="Q379" s="1665" t="n"/>
      <c r="R379" s="1665" t="n"/>
      <c r="S379" s="1665" t="n"/>
      <c r="T379" s="1665" t="n"/>
      <c r="U379" s="1665" t="n"/>
      <c r="V379" s="1665" t="n"/>
      <c r="W379" s="1665" t="n"/>
      <c r="X379" s="1665" t="n"/>
      <c r="Y379" s="1665" t="n"/>
      <c r="Z379" s="1665" t="n"/>
    </row>
    <row r="380" ht="15.75" customHeight="1" s="1666">
      <c r="K380" s="1665" t="n"/>
      <c r="L380" s="1665" t="n"/>
      <c r="M380" s="1665" t="n"/>
      <c r="N380" s="1665" t="n"/>
      <c r="O380" s="1665" t="n"/>
      <c r="P380" s="1665" t="n"/>
      <c r="Q380" s="1665" t="n"/>
      <c r="R380" s="1665" t="n"/>
      <c r="S380" s="1665" t="n"/>
      <c r="T380" s="1665" t="n"/>
      <c r="U380" s="1665" t="n"/>
      <c r="V380" s="1665" t="n"/>
      <c r="W380" s="1665" t="n"/>
      <c r="X380" s="1665" t="n"/>
      <c r="Y380" s="1665" t="n"/>
      <c r="Z380" s="1665" t="n"/>
    </row>
    <row r="381" ht="15.75" customHeight="1" s="1666">
      <c r="K381" s="1665" t="n"/>
      <c r="L381" s="1665" t="n"/>
      <c r="M381" s="1665" t="n"/>
      <c r="N381" s="1665" t="n"/>
      <c r="O381" s="1665" t="n"/>
      <c r="P381" s="1665" t="n"/>
      <c r="Q381" s="1665" t="n"/>
      <c r="R381" s="1665" t="n"/>
      <c r="S381" s="1665" t="n"/>
      <c r="T381" s="1665" t="n"/>
      <c r="U381" s="1665" t="n"/>
      <c r="V381" s="1665" t="n"/>
      <c r="W381" s="1665" t="n"/>
      <c r="X381" s="1665" t="n"/>
      <c r="Y381" s="1665" t="n"/>
      <c r="Z381" s="1665" t="n"/>
    </row>
    <row r="382" ht="15.75" customHeight="1" s="1666">
      <c r="K382" s="1665" t="n"/>
      <c r="L382" s="1665" t="n"/>
      <c r="M382" s="1665" t="n"/>
      <c r="N382" s="1665" t="n"/>
      <c r="O382" s="1665" t="n"/>
      <c r="P382" s="1665" t="n"/>
      <c r="Q382" s="1665" t="n"/>
      <c r="R382" s="1665" t="n"/>
      <c r="S382" s="1665" t="n"/>
      <c r="T382" s="1665" t="n"/>
      <c r="U382" s="1665" t="n"/>
      <c r="V382" s="1665" t="n"/>
      <c r="W382" s="1665" t="n"/>
      <c r="X382" s="1665" t="n"/>
      <c r="Y382" s="1665" t="n"/>
      <c r="Z382" s="1665" t="n"/>
    </row>
    <row r="383" ht="15.75" customHeight="1" s="1666">
      <c r="K383" s="1665" t="n"/>
      <c r="L383" s="1665" t="n"/>
      <c r="M383" s="1665" t="n"/>
      <c r="N383" s="1665" t="n"/>
      <c r="O383" s="1665" t="n"/>
      <c r="P383" s="1665" t="n"/>
      <c r="Q383" s="1665" t="n"/>
      <c r="R383" s="1665" t="n"/>
      <c r="S383" s="1665" t="n"/>
      <c r="T383" s="1665" t="n"/>
      <c r="U383" s="1665" t="n"/>
      <c r="V383" s="1665" t="n"/>
      <c r="W383" s="1665" t="n"/>
      <c r="X383" s="1665" t="n"/>
      <c r="Y383" s="1665" t="n"/>
      <c r="Z383" s="1665" t="n"/>
    </row>
    <row r="384" ht="15.75" customHeight="1" s="1666">
      <c r="K384" s="1665" t="n"/>
      <c r="L384" s="1665" t="n"/>
      <c r="M384" s="1665" t="n"/>
      <c r="N384" s="1665" t="n"/>
      <c r="O384" s="1665" t="n"/>
      <c r="P384" s="1665" t="n"/>
      <c r="Q384" s="1665" t="n"/>
      <c r="R384" s="1665" t="n"/>
      <c r="S384" s="1665" t="n"/>
      <c r="T384" s="1665" t="n"/>
      <c r="U384" s="1665" t="n"/>
      <c r="V384" s="1665" t="n"/>
      <c r="W384" s="1665" t="n"/>
      <c r="X384" s="1665" t="n"/>
      <c r="Y384" s="1665" t="n"/>
      <c r="Z384" s="1665" t="n"/>
    </row>
    <row r="385" ht="15.75" customHeight="1" s="1666">
      <c r="K385" s="1665" t="n"/>
      <c r="L385" s="1665" t="n"/>
      <c r="M385" s="1665" t="n"/>
      <c r="N385" s="1665" t="n"/>
      <c r="O385" s="1665" t="n"/>
      <c r="P385" s="1665" t="n"/>
      <c r="Q385" s="1665" t="n"/>
      <c r="R385" s="1665" t="n"/>
      <c r="S385" s="1665" t="n"/>
      <c r="T385" s="1665" t="n"/>
      <c r="U385" s="1665" t="n"/>
      <c r="V385" s="1665" t="n"/>
      <c r="W385" s="1665" t="n"/>
      <c r="X385" s="1665" t="n"/>
      <c r="Y385" s="1665" t="n"/>
      <c r="Z385" s="1665" t="n"/>
    </row>
    <row r="386" ht="15.75" customHeight="1" s="1666">
      <c r="K386" s="1665" t="n"/>
      <c r="L386" s="1665" t="n"/>
      <c r="M386" s="1665" t="n"/>
      <c r="N386" s="1665" t="n"/>
      <c r="O386" s="1665" t="n"/>
      <c r="P386" s="1665" t="n"/>
      <c r="Q386" s="1665" t="n"/>
      <c r="R386" s="1665" t="n"/>
      <c r="S386" s="1665" t="n"/>
      <c r="T386" s="1665" t="n"/>
      <c r="U386" s="1665" t="n"/>
      <c r="V386" s="1665" t="n"/>
      <c r="W386" s="1665" t="n"/>
      <c r="X386" s="1665" t="n"/>
      <c r="Y386" s="1665" t="n"/>
      <c r="Z386" s="1665" t="n"/>
    </row>
    <row r="387" ht="15.75" customHeight="1" s="1666">
      <c r="K387" s="1665" t="n"/>
      <c r="L387" s="1665" t="n"/>
      <c r="M387" s="1665" t="n"/>
      <c r="N387" s="1665" t="n"/>
      <c r="O387" s="1665" t="n"/>
      <c r="P387" s="1665" t="n"/>
      <c r="Q387" s="1665" t="n"/>
      <c r="R387" s="1665" t="n"/>
      <c r="S387" s="1665" t="n"/>
      <c r="T387" s="1665" t="n"/>
      <c r="U387" s="1665" t="n"/>
      <c r="V387" s="1665" t="n"/>
      <c r="W387" s="1665" t="n"/>
      <c r="X387" s="1665" t="n"/>
      <c r="Y387" s="1665" t="n"/>
      <c r="Z387" s="1665" t="n"/>
    </row>
    <row r="388" ht="15.75" customHeight="1" s="1666">
      <c r="K388" s="1665" t="n"/>
      <c r="L388" s="1665" t="n"/>
      <c r="M388" s="1665" t="n"/>
      <c r="N388" s="1665" t="n"/>
      <c r="O388" s="1665" t="n"/>
      <c r="P388" s="1665" t="n"/>
      <c r="Q388" s="1665" t="n"/>
      <c r="R388" s="1665" t="n"/>
      <c r="S388" s="1665" t="n"/>
      <c r="T388" s="1665" t="n"/>
      <c r="U388" s="1665" t="n"/>
      <c r="V388" s="1665" t="n"/>
      <c r="W388" s="1665" t="n"/>
      <c r="X388" s="1665" t="n"/>
      <c r="Y388" s="1665" t="n"/>
      <c r="Z388" s="1665" t="n"/>
    </row>
    <row r="389" ht="15.75" customHeight="1" s="1666">
      <c r="K389" s="1665" t="n"/>
      <c r="L389" s="1665" t="n"/>
      <c r="M389" s="1665" t="n"/>
      <c r="N389" s="1665" t="n"/>
      <c r="O389" s="1665" t="n"/>
      <c r="P389" s="1665" t="n"/>
      <c r="Q389" s="1665" t="n"/>
      <c r="R389" s="1665" t="n"/>
      <c r="S389" s="1665" t="n"/>
      <c r="T389" s="1665" t="n"/>
      <c r="U389" s="1665" t="n"/>
      <c r="V389" s="1665" t="n"/>
      <c r="W389" s="1665" t="n"/>
      <c r="X389" s="1665" t="n"/>
      <c r="Y389" s="1665" t="n"/>
      <c r="Z389" s="1665" t="n"/>
    </row>
    <row r="390" ht="15.75" customHeight="1" s="1666">
      <c r="K390" s="1665" t="n"/>
      <c r="L390" s="1665" t="n"/>
      <c r="M390" s="1665" t="n"/>
      <c r="N390" s="1665" t="n"/>
      <c r="O390" s="1665" t="n"/>
      <c r="P390" s="1665" t="n"/>
      <c r="Q390" s="1665" t="n"/>
      <c r="R390" s="1665" t="n"/>
      <c r="S390" s="1665" t="n"/>
      <c r="T390" s="1665" t="n"/>
      <c r="U390" s="1665" t="n"/>
      <c r="V390" s="1665" t="n"/>
      <c r="W390" s="1665" t="n"/>
      <c r="X390" s="1665" t="n"/>
      <c r="Y390" s="1665" t="n"/>
      <c r="Z390" s="1665" t="n"/>
    </row>
    <row r="391" ht="15.75" customHeight="1" s="1666">
      <c r="K391" s="1665" t="n"/>
      <c r="L391" s="1665" t="n"/>
      <c r="M391" s="1665" t="n"/>
      <c r="N391" s="1665" t="n"/>
      <c r="O391" s="1665" t="n"/>
      <c r="P391" s="1665" t="n"/>
      <c r="Q391" s="1665" t="n"/>
      <c r="R391" s="1665" t="n"/>
      <c r="S391" s="1665" t="n"/>
      <c r="T391" s="1665" t="n"/>
      <c r="U391" s="1665" t="n"/>
      <c r="V391" s="1665" t="n"/>
      <c r="W391" s="1665" t="n"/>
      <c r="X391" s="1665" t="n"/>
      <c r="Y391" s="1665" t="n"/>
      <c r="Z391" s="1665" t="n"/>
    </row>
    <row r="392" ht="15.75" customHeight="1" s="1666">
      <c r="K392" s="1665" t="n"/>
      <c r="L392" s="1665" t="n"/>
      <c r="M392" s="1665" t="n"/>
      <c r="N392" s="1665" t="n"/>
      <c r="O392" s="1665" t="n"/>
      <c r="P392" s="1665" t="n"/>
      <c r="Q392" s="1665" t="n"/>
      <c r="R392" s="1665" t="n"/>
      <c r="S392" s="1665" t="n"/>
      <c r="T392" s="1665" t="n"/>
      <c r="U392" s="1665" t="n"/>
      <c r="V392" s="1665" t="n"/>
      <c r="W392" s="1665" t="n"/>
      <c r="X392" s="1665" t="n"/>
      <c r="Y392" s="1665" t="n"/>
      <c r="Z392" s="1665" t="n"/>
    </row>
    <row r="393" ht="15.75" customHeight="1" s="1666">
      <c r="K393" s="1665" t="n"/>
      <c r="L393" s="1665" t="n"/>
      <c r="M393" s="1665" t="n"/>
      <c r="N393" s="1665" t="n"/>
      <c r="O393" s="1665" t="n"/>
      <c r="P393" s="1665" t="n"/>
      <c r="Q393" s="1665" t="n"/>
      <c r="R393" s="1665" t="n"/>
      <c r="S393" s="1665" t="n"/>
      <c r="T393" s="1665" t="n"/>
      <c r="U393" s="1665" t="n"/>
      <c r="V393" s="1665" t="n"/>
      <c r="W393" s="1665" t="n"/>
      <c r="X393" s="1665" t="n"/>
      <c r="Y393" s="1665" t="n"/>
      <c r="Z393" s="1665" t="n"/>
    </row>
    <row r="394" ht="15.75" customHeight="1" s="1666">
      <c r="K394" s="1665" t="n"/>
      <c r="L394" s="1665" t="n"/>
      <c r="M394" s="1665" t="n"/>
      <c r="N394" s="1665" t="n"/>
      <c r="O394" s="1665" t="n"/>
      <c r="P394" s="1665" t="n"/>
      <c r="Q394" s="1665" t="n"/>
      <c r="R394" s="1665" t="n"/>
      <c r="S394" s="1665" t="n"/>
      <c r="T394" s="1665" t="n"/>
      <c r="U394" s="1665" t="n"/>
      <c r="V394" s="1665" t="n"/>
      <c r="W394" s="1665" t="n"/>
      <c r="X394" s="1665" t="n"/>
      <c r="Y394" s="1665" t="n"/>
      <c r="Z394" s="1665" t="n"/>
    </row>
    <row r="395" ht="15.75" customHeight="1" s="1666">
      <c r="K395" s="1665" t="n"/>
      <c r="L395" s="1665" t="n"/>
      <c r="M395" s="1665" t="n"/>
      <c r="N395" s="1665" t="n"/>
      <c r="O395" s="1665" t="n"/>
      <c r="P395" s="1665" t="n"/>
      <c r="Q395" s="1665" t="n"/>
      <c r="R395" s="1665" t="n"/>
      <c r="S395" s="1665" t="n"/>
      <c r="T395" s="1665" t="n"/>
      <c r="U395" s="1665" t="n"/>
      <c r="V395" s="1665" t="n"/>
      <c r="W395" s="1665" t="n"/>
      <c r="X395" s="1665" t="n"/>
      <c r="Y395" s="1665" t="n"/>
      <c r="Z395" s="1665" t="n"/>
    </row>
    <row r="396" ht="15.75" customHeight="1" s="1666">
      <c r="K396" s="1665" t="n"/>
      <c r="L396" s="1665" t="n"/>
      <c r="M396" s="1665" t="n"/>
      <c r="N396" s="1665" t="n"/>
      <c r="O396" s="1665" t="n"/>
      <c r="P396" s="1665" t="n"/>
      <c r="Q396" s="1665" t="n"/>
      <c r="R396" s="1665" t="n"/>
      <c r="S396" s="1665" t="n"/>
      <c r="T396" s="1665" t="n"/>
      <c r="U396" s="1665" t="n"/>
      <c r="V396" s="1665" t="n"/>
      <c r="W396" s="1665" t="n"/>
      <c r="X396" s="1665" t="n"/>
      <c r="Y396" s="1665" t="n"/>
      <c r="Z396" s="1665" t="n"/>
    </row>
    <row r="397" ht="15.75" customHeight="1" s="1666">
      <c r="K397" s="1665" t="n"/>
      <c r="L397" s="1665" t="n"/>
      <c r="M397" s="1665" t="n"/>
      <c r="N397" s="1665" t="n"/>
      <c r="O397" s="1665" t="n"/>
      <c r="P397" s="1665" t="n"/>
      <c r="Q397" s="1665" t="n"/>
      <c r="R397" s="1665" t="n"/>
      <c r="S397" s="1665" t="n"/>
      <c r="T397" s="1665" t="n"/>
      <c r="U397" s="1665" t="n"/>
      <c r="V397" s="1665" t="n"/>
      <c r="W397" s="1665" t="n"/>
      <c r="X397" s="1665" t="n"/>
      <c r="Y397" s="1665" t="n"/>
      <c r="Z397" s="1665" t="n"/>
    </row>
    <row r="398" ht="15.75" customHeight="1" s="1666">
      <c r="K398" s="1665" t="n"/>
      <c r="L398" s="1665" t="n"/>
      <c r="M398" s="1665" t="n"/>
      <c r="N398" s="1665" t="n"/>
      <c r="O398" s="1665" t="n"/>
      <c r="P398" s="1665" t="n"/>
      <c r="Q398" s="1665" t="n"/>
      <c r="R398" s="1665" t="n"/>
      <c r="S398" s="1665" t="n"/>
      <c r="T398" s="1665" t="n"/>
      <c r="U398" s="1665" t="n"/>
      <c r="V398" s="1665" t="n"/>
      <c r="W398" s="1665" t="n"/>
      <c r="X398" s="1665" t="n"/>
      <c r="Y398" s="1665" t="n"/>
      <c r="Z398" s="1665" t="n"/>
    </row>
    <row r="399" ht="15.75" customHeight="1" s="1666">
      <c r="K399" s="1665" t="n"/>
      <c r="L399" s="1665" t="n"/>
      <c r="M399" s="1665" t="n"/>
      <c r="N399" s="1665" t="n"/>
      <c r="O399" s="1665" t="n"/>
      <c r="P399" s="1665" t="n"/>
      <c r="Q399" s="1665" t="n"/>
      <c r="R399" s="1665" t="n"/>
      <c r="S399" s="1665" t="n"/>
      <c r="T399" s="1665" t="n"/>
      <c r="U399" s="1665" t="n"/>
      <c r="V399" s="1665" t="n"/>
      <c r="W399" s="1665" t="n"/>
      <c r="X399" s="1665" t="n"/>
      <c r="Y399" s="1665" t="n"/>
      <c r="Z399" s="1665" t="n"/>
    </row>
    <row r="400" ht="15.75" customHeight="1" s="1666">
      <c r="K400" s="1665" t="n"/>
      <c r="L400" s="1665" t="n"/>
      <c r="M400" s="1665" t="n"/>
      <c r="N400" s="1665" t="n"/>
      <c r="O400" s="1665" t="n"/>
      <c r="P400" s="1665" t="n"/>
      <c r="Q400" s="1665" t="n"/>
      <c r="R400" s="1665" t="n"/>
      <c r="S400" s="1665" t="n"/>
      <c r="T400" s="1665" t="n"/>
      <c r="U400" s="1665" t="n"/>
      <c r="V400" s="1665" t="n"/>
      <c r="W400" s="1665" t="n"/>
      <c r="X400" s="1665" t="n"/>
      <c r="Y400" s="1665" t="n"/>
      <c r="Z400" s="1665" t="n"/>
    </row>
    <row r="401" ht="15.75" customHeight="1" s="1666">
      <c r="K401" s="1665" t="n"/>
      <c r="L401" s="1665" t="n"/>
      <c r="M401" s="1665" t="n"/>
      <c r="N401" s="1665" t="n"/>
      <c r="O401" s="1665" t="n"/>
      <c r="P401" s="1665" t="n"/>
      <c r="Q401" s="1665" t="n"/>
      <c r="R401" s="1665" t="n"/>
      <c r="S401" s="1665" t="n"/>
      <c r="T401" s="1665" t="n"/>
      <c r="U401" s="1665" t="n"/>
      <c r="V401" s="1665" t="n"/>
      <c r="W401" s="1665" t="n"/>
      <c r="X401" s="1665" t="n"/>
      <c r="Y401" s="1665" t="n"/>
      <c r="Z401" s="1665" t="n"/>
    </row>
    <row r="402" ht="15.75" customHeight="1" s="1666">
      <c r="K402" s="1665" t="n"/>
      <c r="L402" s="1665" t="n"/>
      <c r="M402" s="1665" t="n"/>
      <c r="N402" s="1665" t="n"/>
      <c r="O402" s="1665" t="n"/>
      <c r="P402" s="1665" t="n"/>
      <c r="Q402" s="1665" t="n"/>
      <c r="R402" s="1665" t="n"/>
      <c r="S402" s="1665" t="n"/>
      <c r="T402" s="1665" t="n"/>
      <c r="U402" s="1665" t="n"/>
      <c r="V402" s="1665" t="n"/>
      <c r="W402" s="1665" t="n"/>
      <c r="X402" s="1665" t="n"/>
      <c r="Y402" s="1665" t="n"/>
      <c r="Z402" s="1665" t="n"/>
    </row>
    <row r="403" ht="15.75" customHeight="1" s="1666">
      <c r="K403" s="1665" t="n"/>
      <c r="L403" s="1665" t="n"/>
      <c r="M403" s="1665" t="n"/>
      <c r="N403" s="1665" t="n"/>
      <c r="O403" s="1665" t="n"/>
      <c r="P403" s="1665" t="n"/>
      <c r="Q403" s="1665" t="n"/>
      <c r="R403" s="1665" t="n"/>
      <c r="S403" s="1665" t="n"/>
      <c r="T403" s="1665" t="n"/>
      <c r="U403" s="1665" t="n"/>
      <c r="V403" s="1665" t="n"/>
      <c r="W403" s="1665" t="n"/>
      <c r="X403" s="1665" t="n"/>
      <c r="Y403" s="1665" t="n"/>
      <c r="Z403" s="1665" t="n"/>
    </row>
    <row r="404" ht="15.75" customHeight="1" s="1666">
      <c r="K404" s="1665" t="n"/>
      <c r="L404" s="1665" t="n"/>
      <c r="M404" s="1665" t="n"/>
      <c r="N404" s="1665" t="n"/>
      <c r="O404" s="1665" t="n"/>
      <c r="P404" s="1665" t="n"/>
      <c r="Q404" s="1665" t="n"/>
      <c r="R404" s="1665" t="n"/>
      <c r="S404" s="1665" t="n"/>
      <c r="T404" s="1665" t="n"/>
      <c r="U404" s="1665" t="n"/>
      <c r="V404" s="1665" t="n"/>
      <c r="W404" s="1665" t="n"/>
      <c r="X404" s="1665" t="n"/>
      <c r="Y404" s="1665" t="n"/>
      <c r="Z404" s="1665" t="n"/>
    </row>
    <row r="405" ht="15.75" customHeight="1" s="1666">
      <c r="K405" s="1665" t="n"/>
      <c r="L405" s="1665" t="n"/>
      <c r="M405" s="1665" t="n"/>
      <c r="N405" s="1665" t="n"/>
      <c r="O405" s="1665" t="n"/>
      <c r="P405" s="1665" t="n"/>
      <c r="Q405" s="1665" t="n"/>
      <c r="R405" s="1665" t="n"/>
      <c r="S405" s="1665" t="n"/>
      <c r="T405" s="1665" t="n"/>
      <c r="U405" s="1665" t="n"/>
      <c r="V405" s="1665" t="n"/>
      <c r="W405" s="1665" t="n"/>
      <c r="X405" s="1665" t="n"/>
      <c r="Y405" s="1665" t="n"/>
      <c r="Z405" s="1665" t="n"/>
    </row>
    <row r="406" ht="15.75" customHeight="1" s="1666">
      <c r="K406" s="1665" t="n"/>
      <c r="L406" s="1665" t="n"/>
      <c r="M406" s="1665" t="n"/>
      <c r="N406" s="1665" t="n"/>
      <c r="O406" s="1665" t="n"/>
      <c r="P406" s="1665" t="n"/>
      <c r="Q406" s="1665" t="n"/>
      <c r="R406" s="1665" t="n"/>
      <c r="S406" s="1665" t="n"/>
      <c r="T406" s="1665" t="n"/>
      <c r="U406" s="1665" t="n"/>
      <c r="V406" s="1665" t="n"/>
      <c r="W406" s="1665" t="n"/>
      <c r="X406" s="1665" t="n"/>
      <c r="Y406" s="1665" t="n"/>
      <c r="Z406" s="1665" t="n"/>
    </row>
    <row r="407" ht="15.75" customHeight="1" s="1666">
      <c r="K407" s="1665" t="n"/>
      <c r="L407" s="1665" t="n"/>
      <c r="M407" s="1665" t="n"/>
      <c r="N407" s="1665" t="n"/>
      <c r="O407" s="1665" t="n"/>
      <c r="P407" s="1665" t="n"/>
      <c r="Q407" s="1665" t="n"/>
      <c r="R407" s="1665" t="n"/>
      <c r="S407" s="1665" t="n"/>
      <c r="T407" s="1665" t="n"/>
      <c r="U407" s="1665" t="n"/>
      <c r="V407" s="1665" t="n"/>
      <c r="W407" s="1665" t="n"/>
      <c r="X407" s="1665" t="n"/>
      <c r="Y407" s="1665" t="n"/>
      <c r="Z407" s="1665" t="n"/>
    </row>
    <row r="408" ht="15.75" customHeight="1" s="1666">
      <c r="K408" s="1665" t="n"/>
      <c r="L408" s="1665" t="n"/>
      <c r="M408" s="1665" t="n"/>
      <c r="N408" s="1665" t="n"/>
      <c r="O408" s="1665" t="n"/>
      <c r="P408" s="1665" t="n"/>
      <c r="Q408" s="1665" t="n"/>
      <c r="R408" s="1665" t="n"/>
      <c r="S408" s="1665" t="n"/>
      <c r="T408" s="1665" t="n"/>
      <c r="U408" s="1665" t="n"/>
      <c r="V408" s="1665" t="n"/>
      <c r="W408" s="1665" t="n"/>
      <c r="X408" s="1665" t="n"/>
      <c r="Y408" s="1665" t="n"/>
      <c r="Z408" s="1665" t="n"/>
    </row>
    <row r="409" ht="15.75" customHeight="1" s="1666">
      <c r="K409" s="1665" t="n"/>
      <c r="L409" s="1665" t="n"/>
      <c r="M409" s="1665" t="n"/>
      <c r="N409" s="1665" t="n"/>
      <c r="O409" s="1665" t="n"/>
      <c r="P409" s="1665" t="n"/>
      <c r="Q409" s="1665" t="n"/>
      <c r="R409" s="1665" t="n"/>
      <c r="S409" s="1665" t="n"/>
      <c r="T409" s="1665" t="n"/>
      <c r="U409" s="1665" t="n"/>
      <c r="V409" s="1665" t="n"/>
      <c r="W409" s="1665" t="n"/>
      <c r="X409" s="1665" t="n"/>
      <c r="Y409" s="1665" t="n"/>
      <c r="Z409" s="1665" t="n"/>
    </row>
    <row r="410" ht="15.75" customHeight="1" s="1666">
      <c r="K410" s="1665" t="n"/>
      <c r="L410" s="1665" t="n"/>
      <c r="M410" s="1665" t="n"/>
      <c r="N410" s="1665" t="n"/>
      <c r="O410" s="1665" t="n"/>
      <c r="P410" s="1665" t="n"/>
      <c r="Q410" s="1665" t="n"/>
      <c r="R410" s="1665" t="n"/>
      <c r="S410" s="1665" t="n"/>
      <c r="T410" s="1665" t="n"/>
      <c r="U410" s="1665" t="n"/>
      <c r="V410" s="1665" t="n"/>
      <c r="W410" s="1665" t="n"/>
      <c r="X410" s="1665" t="n"/>
      <c r="Y410" s="1665" t="n"/>
      <c r="Z410" s="1665" t="n"/>
    </row>
    <row r="411" ht="15.75" customHeight="1" s="1666">
      <c r="K411" s="1665" t="n"/>
      <c r="L411" s="1665" t="n"/>
      <c r="M411" s="1665" t="n"/>
      <c r="N411" s="1665" t="n"/>
      <c r="O411" s="1665" t="n"/>
      <c r="P411" s="1665" t="n"/>
      <c r="Q411" s="1665" t="n"/>
      <c r="R411" s="1665" t="n"/>
      <c r="S411" s="1665" t="n"/>
      <c r="T411" s="1665" t="n"/>
      <c r="U411" s="1665" t="n"/>
      <c r="V411" s="1665" t="n"/>
      <c r="W411" s="1665" t="n"/>
      <c r="X411" s="1665" t="n"/>
      <c r="Y411" s="1665" t="n"/>
      <c r="Z411" s="1665" t="n"/>
    </row>
    <row r="412" ht="15.75" customHeight="1" s="1666">
      <c r="K412" s="1665" t="n"/>
      <c r="L412" s="1665" t="n"/>
      <c r="M412" s="1665" t="n"/>
      <c r="N412" s="1665" t="n"/>
      <c r="O412" s="1665" t="n"/>
      <c r="P412" s="1665" t="n"/>
      <c r="Q412" s="1665" t="n"/>
      <c r="R412" s="1665" t="n"/>
      <c r="S412" s="1665" t="n"/>
      <c r="T412" s="1665" t="n"/>
      <c r="U412" s="1665" t="n"/>
      <c r="V412" s="1665" t="n"/>
      <c r="W412" s="1665" t="n"/>
      <c r="X412" s="1665" t="n"/>
      <c r="Y412" s="1665" t="n"/>
      <c r="Z412" s="1665" t="n"/>
    </row>
    <row r="413" ht="15.75" customHeight="1" s="1666">
      <c r="K413" s="1665" t="n"/>
      <c r="L413" s="1665" t="n"/>
      <c r="M413" s="1665" t="n"/>
      <c r="N413" s="1665" t="n"/>
      <c r="O413" s="1665" t="n"/>
      <c r="P413" s="1665" t="n"/>
      <c r="Q413" s="1665" t="n"/>
      <c r="R413" s="1665" t="n"/>
      <c r="S413" s="1665" t="n"/>
      <c r="T413" s="1665" t="n"/>
      <c r="U413" s="1665" t="n"/>
      <c r="V413" s="1665" t="n"/>
      <c r="W413" s="1665" t="n"/>
      <c r="X413" s="1665" t="n"/>
      <c r="Y413" s="1665" t="n"/>
      <c r="Z413" s="1665" t="n"/>
    </row>
    <row r="414" ht="15.75" customHeight="1" s="1666">
      <c r="K414" s="1665" t="n"/>
      <c r="L414" s="1665" t="n"/>
      <c r="M414" s="1665" t="n"/>
      <c r="N414" s="1665" t="n"/>
      <c r="O414" s="1665" t="n"/>
      <c r="P414" s="1665" t="n"/>
      <c r="Q414" s="1665" t="n"/>
      <c r="R414" s="1665" t="n"/>
      <c r="S414" s="1665" t="n"/>
      <c r="T414" s="1665" t="n"/>
      <c r="U414" s="1665" t="n"/>
      <c r="V414" s="1665" t="n"/>
      <c r="W414" s="1665" t="n"/>
      <c r="X414" s="1665" t="n"/>
      <c r="Y414" s="1665" t="n"/>
      <c r="Z414" s="1665" t="n"/>
    </row>
    <row r="415" ht="15.75" customHeight="1" s="1666">
      <c r="K415" s="1665" t="n"/>
      <c r="L415" s="1665" t="n"/>
      <c r="M415" s="1665" t="n"/>
      <c r="N415" s="1665" t="n"/>
      <c r="O415" s="1665" t="n"/>
      <c r="P415" s="1665" t="n"/>
      <c r="Q415" s="1665" t="n"/>
      <c r="R415" s="1665" t="n"/>
      <c r="S415" s="1665" t="n"/>
      <c r="T415" s="1665" t="n"/>
      <c r="U415" s="1665" t="n"/>
      <c r="V415" s="1665" t="n"/>
      <c r="W415" s="1665" t="n"/>
      <c r="X415" s="1665" t="n"/>
      <c r="Y415" s="1665" t="n"/>
      <c r="Z415" s="1665" t="n"/>
    </row>
    <row r="416" ht="15.75" customHeight="1" s="1666">
      <c r="K416" s="1665" t="n"/>
      <c r="L416" s="1665" t="n"/>
      <c r="M416" s="1665" t="n"/>
      <c r="N416" s="1665" t="n"/>
      <c r="O416" s="1665" t="n"/>
      <c r="P416" s="1665" t="n"/>
      <c r="Q416" s="1665" t="n"/>
      <c r="R416" s="1665" t="n"/>
      <c r="S416" s="1665" t="n"/>
      <c r="T416" s="1665" t="n"/>
      <c r="U416" s="1665" t="n"/>
      <c r="V416" s="1665" t="n"/>
      <c r="W416" s="1665" t="n"/>
      <c r="X416" s="1665" t="n"/>
      <c r="Y416" s="1665" t="n"/>
      <c r="Z416" s="1665" t="n"/>
    </row>
    <row r="417" ht="15.75" customHeight="1" s="1666">
      <c r="K417" s="1665" t="n"/>
      <c r="L417" s="1665" t="n"/>
      <c r="M417" s="1665" t="n"/>
      <c r="N417" s="1665" t="n"/>
      <c r="O417" s="1665" t="n"/>
      <c r="P417" s="1665" t="n"/>
      <c r="Q417" s="1665" t="n"/>
      <c r="R417" s="1665" t="n"/>
      <c r="S417" s="1665" t="n"/>
      <c r="T417" s="1665" t="n"/>
      <c r="U417" s="1665" t="n"/>
      <c r="V417" s="1665" t="n"/>
      <c r="W417" s="1665" t="n"/>
      <c r="X417" s="1665" t="n"/>
      <c r="Y417" s="1665" t="n"/>
      <c r="Z417" s="1665" t="n"/>
    </row>
    <row r="418" ht="15.75" customHeight="1" s="1666">
      <c r="K418" s="1665" t="n"/>
      <c r="L418" s="1665" t="n"/>
      <c r="M418" s="1665" t="n"/>
      <c r="N418" s="1665" t="n"/>
      <c r="O418" s="1665" t="n"/>
      <c r="P418" s="1665" t="n"/>
      <c r="Q418" s="1665" t="n"/>
      <c r="R418" s="1665" t="n"/>
      <c r="S418" s="1665" t="n"/>
      <c r="T418" s="1665" t="n"/>
      <c r="U418" s="1665" t="n"/>
      <c r="V418" s="1665" t="n"/>
      <c r="W418" s="1665" t="n"/>
      <c r="X418" s="1665" t="n"/>
      <c r="Y418" s="1665" t="n"/>
      <c r="Z418" s="1665" t="n"/>
    </row>
    <row r="419" ht="15.75" customHeight="1" s="1666">
      <c r="K419" s="1665" t="n"/>
      <c r="L419" s="1665" t="n"/>
      <c r="M419" s="1665" t="n"/>
      <c r="N419" s="1665" t="n"/>
      <c r="O419" s="1665" t="n"/>
      <c r="P419" s="1665" t="n"/>
      <c r="Q419" s="1665" t="n"/>
      <c r="R419" s="1665" t="n"/>
      <c r="S419" s="1665" t="n"/>
      <c r="T419" s="1665" t="n"/>
      <c r="U419" s="1665" t="n"/>
      <c r="V419" s="1665" t="n"/>
      <c r="W419" s="1665" t="n"/>
      <c r="X419" s="1665" t="n"/>
      <c r="Y419" s="1665" t="n"/>
      <c r="Z419" s="1665" t="n"/>
    </row>
    <row r="420" ht="15.75" customHeight="1" s="1666">
      <c r="K420" s="1665" t="n"/>
      <c r="L420" s="1665" t="n"/>
      <c r="M420" s="1665" t="n"/>
      <c r="N420" s="1665" t="n"/>
      <c r="O420" s="1665" t="n"/>
      <c r="P420" s="1665" t="n"/>
      <c r="Q420" s="1665" t="n"/>
      <c r="R420" s="1665" t="n"/>
      <c r="S420" s="1665" t="n"/>
      <c r="T420" s="1665" t="n"/>
      <c r="U420" s="1665" t="n"/>
      <c r="V420" s="1665" t="n"/>
      <c r="W420" s="1665" t="n"/>
      <c r="X420" s="1665" t="n"/>
      <c r="Y420" s="1665" t="n"/>
      <c r="Z420" s="1665" t="n"/>
    </row>
    <row r="421" ht="15.75" customHeight="1" s="1666">
      <c r="K421" s="1665" t="n"/>
      <c r="L421" s="1665" t="n"/>
      <c r="M421" s="1665" t="n"/>
      <c r="N421" s="1665" t="n"/>
      <c r="O421" s="1665" t="n"/>
      <c r="P421" s="1665" t="n"/>
      <c r="Q421" s="1665" t="n"/>
      <c r="R421" s="1665" t="n"/>
      <c r="S421" s="1665" t="n"/>
      <c r="T421" s="1665" t="n"/>
      <c r="U421" s="1665" t="n"/>
      <c r="V421" s="1665" t="n"/>
      <c r="W421" s="1665" t="n"/>
      <c r="X421" s="1665" t="n"/>
      <c r="Y421" s="1665" t="n"/>
      <c r="Z421" s="1665" t="n"/>
    </row>
    <row r="422" ht="15.75" customHeight="1" s="1666">
      <c r="K422" s="1665" t="n"/>
      <c r="L422" s="1665" t="n"/>
      <c r="M422" s="1665" t="n"/>
      <c r="N422" s="1665" t="n"/>
      <c r="O422" s="1665" t="n"/>
      <c r="P422" s="1665" t="n"/>
      <c r="Q422" s="1665" t="n"/>
      <c r="R422" s="1665" t="n"/>
      <c r="S422" s="1665" t="n"/>
      <c r="T422" s="1665" t="n"/>
      <c r="U422" s="1665" t="n"/>
      <c r="V422" s="1665" t="n"/>
      <c r="W422" s="1665" t="n"/>
      <c r="X422" s="1665" t="n"/>
      <c r="Y422" s="1665" t="n"/>
      <c r="Z422" s="1665" t="n"/>
    </row>
    <row r="423" ht="15.75" customHeight="1" s="1666">
      <c r="K423" s="1665" t="n"/>
      <c r="L423" s="1665" t="n"/>
      <c r="M423" s="1665" t="n"/>
      <c r="N423" s="1665" t="n"/>
      <c r="O423" s="1665" t="n"/>
      <c r="P423" s="1665" t="n"/>
      <c r="Q423" s="1665" t="n"/>
      <c r="R423" s="1665" t="n"/>
      <c r="S423" s="1665" t="n"/>
      <c r="T423" s="1665" t="n"/>
      <c r="U423" s="1665" t="n"/>
      <c r="V423" s="1665" t="n"/>
      <c r="W423" s="1665" t="n"/>
      <c r="X423" s="1665" t="n"/>
      <c r="Y423" s="1665" t="n"/>
      <c r="Z423" s="1665" t="n"/>
    </row>
    <row r="424" ht="15.75" customHeight="1" s="1666">
      <c r="K424" s="1665" t="n"/>
      <c r="L424" s="1665" t="n"/>
      <c r="M424" s="1665" t="n"/>
      <c r="N424" s="1665" t="n"/>
      <c r="O424" s="1665" t="n"/>
      <c r="P424" s="1665" t="n"/>
      <c r="Q424" s="1665" t="n"/>
      <c r="R424" s="1665" t="n"/>
      <c r="S424" s="1665" t="n"/>
      <c r="T424" s="1665" t="n"/>
      <c r="U424" s="1665" t="n"/>
      <c r="V424" s="1665" t="n"/>
      <c r="W424" s="1665" t="n"/>
      <c r="X424" s="1665" t="n"/>
      <c r="Y424" s="1665" t="n"/>
      <c r="Z424" s="1665" t="n"/>
    </row>
    <row r="425" ht="15.75" customHeight="1" s="1666">
      <c r="K425" s="1665" t="n"/>
      <c r="L425" s="1665" t="n"/>
      <c r="M425" s="1665" t="n"/>
      <c r="N425" s="1665" t="n"/>
      <c r="O425" s="1665" t="n"/>
      <c r="P425" s="1665" t="n"/>
      <c r="Q425" s="1665" t="n"/>
      <c r="R425" s="1665" t="n"/>
      <c r="S425" s="1665" t="n"/>
      <c r="T425" s="1665" t="n"/>
      <c r="U425" s="1665" t="n"/>
      <c r="V425" s="1665" t="n"/>
      <c r="W425" s="1665" t="n"/>
      <c r="X425" s="1665" t="n"/>
      <c r="Y425" s="1665" t="n"/>
      <c r="Z425" s="1665" t="n"/>
    </row>
    <row r="426" ht="15.75" customHeight="1" s="1666">
      <c r="K426" s="1665" t="n"/>
      <c r="L426" s="1665" t="n"/>
      <c r="M426" s="1665" t="n"/>
      <c r="N426" s="1665" t="n"/>
      <c r="O426" s="1665" t="n"/>
      <c r="P426" s="1665" t="n"/>
      <c r="Q426" s="1665" t="n"/>
      <c r="R426" s="1665" t="n"/>
      <c r="S426" s="1665" t="n"/>
      <c r="T426" s="1665" t="n"/>
      <c r="U426" s="1665" t="n"/>
      <c r="V426" s="1665" t="n"/>
      <c r="W426" s="1665" t="n"/>
      <c r="X426" s="1665" t="n"/>
      <c r="Y426" s="1665" t="n"/>
      <c r="Z426" s="1665" t="n"/>
    </row>
    <row r="427" ht="15.75" customHeight="1" s="1666">
      <c r="K427" s="1665" t="n"/>
      <c r="L427" s="1665" t="n"/>
      <c r="M427" s="1665" t="n"/>
      <c r="N427" s="1665" t="n"/>
      <c r="O427" s="1665" t="n"/>
      <c r="P427" s="1665" t="n"/>
      <c r="Q427" s="1665" t="n"/>
      <c r="R427" s="1665" t="n"/>
      <c r="S427" s="1665" t="n"/>
      <c r="T427" s="1665" t="n"/>
      <c r="U427" s="1665" t="n"/>
      <c r="V427" s="1665" t="n"/>
      <c r="W427" s="1665" t="n"/>
      <c r="X427" s="1665" t="n"/>
      <c r="Y427" s="1665" t="n"/>
      <c r="Z427" s="1665" t="n"/>
    </row>
    <row r="428" ht="15.75" customHeight="1" s="1666">
      <c r="K428" s="1665" t="n"/>
      <c r="L428" s="1665" t="n"/>
      <c r="M428" s="1665" t="n"/>
      <c r="N428" s="1665" t="n"/>
      <c r="O428" s="1665" t="n"/>
      <c r="P428" s="1665" t="n"/>
      <c r="Q428" s="1665" t="n"/>
      <c r="R428" s="1665" t="n"/>
      <c r="S428" s="1665" t="n"/>
      <c r="T428" s="1665" t="n"/>
      <c r="U428" s="1665" t="n"/>
      <c r="V428" s="1665" t="n"/>
      <c r="W428" s="1665" t="n"/>
      <c r="X428" s="1665" t="n"/>
      <c r="Y428" s="1665" t="n"/>
      <c r="Z428" s="1665" t="n"/>
    </row>
    <row r="429" ht="15.75" customHeight="1" s="1666">
      <c r="K429" s="1665" t="n"/>
      <c r="L429" s="1665" t="n"/>
      <c r="M429" s="1665" t="n"/>
      <c r="N429" s="1665" t="n"/>
      <c r="O429" s="1665" t="n"/>
      <c r="P429" s="1665" t="n"/>
      <c r="Q429" s="1665" t="n"/>
      <c r="R429" s="1665" t="n"/>
      <c r="S429" s="1665" t="n"/>
      <c r="T429" s="1665" t="n"/>
      <c r="U429" s="1665" t="n"/>
      <c r="V429" s="1665" t="n"/>
      <c r="W429" s="1665" t="n"/>
      <c r="X429" s="1665" t="n"/>
      <c r="Y429" s="1665" t="n"/>
      <c r="Z429" s="1665" t="n"/>
    </row>
    <row r="430" ht="15.75" customHeight="1" s="1666">
      <c r="K430" s="1665" t="n"/>
      <c r="L430" s="1665" t="n"/>
      <c r="M430" s="1665" t="n"/>
      <c r="N430" s="1665" t="n"/>
      <c r="O430" s="1665" t="n"/>
      <c r="P430" s="1665" t="n"/>
      <c r="Q430" s="1665" t="n"/>
      <c r="R430" s="1665" t="n"/>
      <c r="S430" s="1665" t="n"/>
      <c r="T430" s="1665" t="n"/>
      <c r="U430" s="1665" t="n"/>
      <c r="V430" s="1665" t="n"/>
      <c r="W430" s="1665" t="n"/>
      <c r="X430" s="1665" t="n"/>
      <c r="Y430" s="1665" t="n"/>
      <c r="Z430" s="1665" t="n"/>
    </row>
    <row r="431" ht="15.75" customHeight="1" s="1666">
      <c r="K431" s="1665" t="n"/>
      <c r="L431" s="1665" t="n"/>
      <c r="M431" s="1665" t="n"/>
      <c r="N431" s="1665" t="n"/>
      <c r="O431" s="1665" t="n"/>
      <c r="P431" s="1665" t="n"/>
      <c r="Q431" s="1665" t="n"/>
      <c r="R431" s="1665" t="n"/>
      <c r="S431" s="1665" t="n"/>
      <c r="T431" s="1665" t="n"/>
      <c r="U431" s="1665" t="n"/>
      <c r="V431" s="1665" t="n"/>
      <c r="W431" s="1665" t="n"/>
      <c r="X431" s="1665" t="n"/>
      <c r="Y431" s="1665" t="n"/>
      <c r="Z431" s="1665" t="n"/>
    </row>
    <row r="432" ht="15.75" customHeight="1" s="1666">
      <c r="K432" s="1665" t="n"/>
      <c r="L432" s="1665" t="n"/>
      <c r="M432" s="1665" t="n"/>
      <c r="N432" s="1665" t="n"/>
      <c r="O432" s="1665" t="n"/>
      <c r="P432" s="1665" t="n"/>
      <c r="Q432" s="1665" t="n"/>
      <c r="R432" s="1665" t="n"/>
      <c r="S432" s="1665" t="n"/>
      <c r="T432" s="1665" t="n"/>
      <c r="U432" s="1665" t="n"/>
      <c r="V432" s="1665" t="n"/>
      <c r="W432" s="1665" t="n"/>
      <c r="X432" s="1665" t="n"/>
      <c r="Y432" s="1665" t="n"/>
      <c r="Z432" s="1665" t="n"/>
    </row>
    <row r="433" ht="15.75" customHeight="1" s="1666">
      <c r="K433" s="1665" t="n"/>
      <c r="L433" s="1665" t="n"/>
      <c r="M433" s="1665" t="n"/>
      <c r="N433" s="1665" t="n"/>
      <c r="O433" s="1665" t="n"/>
      <c r="P433" s="1665" t="n"/>
      <c r="Q433" s="1665" t="n"/>
      <c r="R433" s="1665" t="n"/>
      <c r="S433" s="1665" t="n"/>
      <c r="T433" s="1665" t="n"/>
      <c r="U433" s="1665" t="n"/>
      <c r="V433" s="1665" t="n"/>
      <c r="W433" s="1665" t="n"/>
      <c r="X433" s="1665" t="n"/>
      <c r="Y433" s="1665" t="n"/>
      <c r="Z433" s="1665" t="n"/>
    </row>
    <row r="434" ht="15.75" customHeight="1" s="1666">
      <c r="K434" s="1665" t="n"/>
      <c r="L434" s="1665" t="n"/>
      <c r="M434" s="1665" t="n"/>
      <c r="N434" s="1665" t="n"/>
      <c r="O434" s="1665" t="n"/>
      <c r="P434" s="1665" t="n"/>
      <c r="Q434" s="1665" t="n"/>
      <c r="R434" s="1665" t="n"/>
      <c r="S434" s="1665" t="n"/>
      <c r="T434" s="1665" t="n"/>
      <c r="U434" s="1665" t="n"/>
      <c r="V434" s="1665" t="n"/>
      <c r="W434" s="1665" t="n"/>
      <c r="X434" s="1665" t="n"/>
      <c r="Y434" s="1665" t="n"/>
      <c r="Z434" s="1665" t="n"/>
    </row>
    <row r="435" ht="15.75" customHeight="1" s="1666">
      <c r="K435" s="1665" t="n"/>
      <c r="L435" s="1665" t="n"/>
      <c r="M435" s="1665" t="n"/>
      <c r="N435" s="1665" t="n"/>
      <c r="O435" s="1665" t="n"/>
      <c r="P435" s="1665" t="n"/>
      <c r="Q435" s="1665" t="n"/>
      <c r="R435" s="1665" t="n"/>
      <c r="S435" s="1665" t="n"/>
      <c r="T435" s="1665" t="n"/>
      <c r="U435" s="1665" t="n"/>
      <c r="V435" s="1665" t="n"/>
      <c r="W435" s="1665" t="n"/>
      <c r="X435" s="1665" t="n"/>
      <c r="Y435" s="1665" t="n"/>
      <c r="Z435" s="1665" t="n"/>
    </row>
    <row r="436" ht="15.75" customHeight="1" s="1666">
      <c r="K436" s="1665" t="n"/>
      <c r="L436" s="1665" t="n"/>
      <c r="M436" s="1665" t="n"/>
      <c r="N436" s="1665" t="n"/>
      <c r="O436" s="1665" t="n"/>
      <c r="P436" s="1665" t="n"/>
      <c r="Q436" s="1665" t="n"/>
      <c r="R436" s="1665" t="n"/>
      <c r="S436" s="1665" t="n"/>
      <c r="T436" s="1665" t="n"/>
      <c r="U436" s="1665" t="n"/>
      <c r="V436" s="1665" t="n"/>
      <c r="W436" s="1665" t="n"/>
      <c r="X436" s="1665" t="n"/>
      <c r="Y436" s="1665" t="n"/>
      <c r="Z436" s="1665" t="n"/>
    </row>
    <row r="437" ht="15.75" customHeight="1" s="1666">
      <c r="K437" s="1665" t="n"/>
      <c r="L437" s="1665" t="n"/>
      <c r="M437" s="1665" t="n"/>
      <c r="N437" s="1665" t="n"/>
      <c r="O437" s="1665" t="n"/>
      <c r="P437" s="1665" t="n"/>
      <c r="Q437" s="1665" t="n"/>
      <c r="R437" s="1665" t="n"/>
      <c r="S437" s="1665" t="n"/>
      <c r="T437" s="1665" t="n"/>
      <c r="U437" s="1665" t="n"/>
      <c r="V437" s="1665" t="n"/>
      <c r="W437" s="1665" t="n"/>
      <c r="X437" s="1665" t="n"/>
      <c r="Y437" s="1665" t="n"/>
      <c r="Z437" s="1665" t="n"/>
    </row>
    <row r="438" ht="15.75" customHeight="1" s="1666">
      <c r="K438" s="1665" t="n"/>
      <c r="L438" s="1665" t="n"/>
      <c r="M438" s="1665" t="n"/>
      <c r="N438" s="1665" t="n"/>
      <c r="O438" s="1665" t="n"/>
      <c r="P438" s="1665" t="n"/>
      <c r="Q438" s="1665" t="n"/>
      <c r="R438" s="1665" t="n"/>
      <c r="S438" s="1665" t="n"/>
      <c r="T438" s="1665" t="n"/>
      <c r="U438" s="1665" t="n"/>
      <c r="V438" s="1665" t="n"/>
      <c r="W438" s="1665" t="n"/>
      <c r="X438" s="1665" t="n"/>
      <c r="Y438" s="1665" t="n"/>
      <c r="Z438" s="1665" t="n"/>
    </row>
    <row r="439" ht="15.75" customHeight="1" s="1666">
      <c r="K439" s="1665" t="n"/>
      <c r="L439" s="1665" t="n"/>
      <c r="M439" s="1665" t="n"/>
      <c r="N439" s="1665" t="n"/>
      <c r="O439" s="1665" t="n"/>
      <c r="P439" s="1665" t="n"/>
      <c r="Q439" s="1665" t="n"/>
      <c r="R439" s="1665" t="n"/>
      <c r="S439" s="1665" t="n"/>
      <c r="T439" s="1665" t="n"/>
      <c r="U439" s="1665" t="n"/>
      <c r="V439" s="1665" t="n"/>
      <c r="W439" s="1665" t="n"/>
      <c r="X439" s="1665" t="n"/>
      <c r="Y439" s="1665" t="n"/>
      <c r="Z439" s="1665" t="n"/>
    </row>
    <row r="440" ht="15.75" customHeight="1" s="1666">
      <c r="K440" s="1665" t="n"/>
      <c r="L440" s="1665" t="n"/>
      <c r="M440" s="1665" t="n"/>
      <c r="N440" s="1665" t="n"/>
      <c r="O440" s="1665" t="n"/>
      <c r="P440" s="1665" t="n"/>
      <c r="Q440" s="1665" t="n"/>
      <c r="R440" s="1665" t="n"/>
      <c r="S440" s="1665" t="n"/>
      <c r="T440" s="1665" t="n"/>
      <c r="U440" s="1665" t="n"/>
      <c r="V440" s="1665" t="n"/>
      <c r="W440" s="1665" t="n"/>
      <c r="X440" s="1665" t="n"/>
      <c r="Y440" s="1665" t="n"/>
      <c r="Z440" s="1665" t="n"/>
    </row>
    <row r="441" ht="15.75" customHeight="1" s="1666">
      <c r="K441" s="1665" t="n"/>
      <c r="L441" s="1665" t="n"/>
      <c r="M441" s="1665" t="n"/>
      <c r="N441" s="1665" t="n"/>
      <c r="O441" s="1665" t="n"/>
      <c r="P441" s="1665" t="n"/>
      <c r="Q441" s="1665" t="n"/>
      <c r="R441" s="1665" t="n"/>
      <c r="S441" s="1665" t="n"/>
      <c r="T441" s="1665" t="n"/>
      <c r="U441" s="1665" t="n"/>
      <c r="V441" s="1665" t="n"/>
      <c r="W441" s="1665" t="n"/>
      <c r="X441" s="1665" t="n"/>
      <c r="Y441" s="1665" t="n"/>
      <c r="Z441" s="1665" t="n"/>
    </row>
    <row r="442" ht="15.75" customHeight="1" s="1666">
      <c r="K442" s="1665" t="n"/>
      <c r="L442" s="1665" t="n"/>
      <c r="M442" s="1665" t="n"/>
      <c r="N442" s="1665" t="n"/>
      <c r="O442" s="1665" t="n"/>
      <c r="P442" s="1665" t="n"/>
      <c r="Q442" s="1665" t="n"/>
      <c r="R442" s="1665" t="n"/>
      <c r="S442" s="1665" t="n"/>
      <c r="T442" s="1665" t="n"/>
      <c r="U442" s="1665" t="n"/>
      <c r="V442" s="1665" t="n"/>
      <c r="W442" s="1665" t="n"/>
      <c r="X442" s="1665" t="n"/>
      <c r="Y442" s="1665" t="n"/>
      <c r="Z442" s="1665" t="n"/>
    </row>
    <row r="443" ht="15.75" customHeight="1" s="1666">
      <c r="K443" s="1665" t="n"/>
      <c r="L443" s="1665" t="n"/>
      <c r="M443" s="1665" t="n"/>
      <c r="N443" s="1665" t="n"/>
      <c r="O443" s="1665" t="n"/>
      <c r="P443" s="1665" t="n"/>
      <c r="Q443" s="1665" t="n"/>
      <c r="R443" s="1665" t="n"/>
      <c r="S443" s="1665" t="n"/>
      <c r="T443" s="1665" t="n"/>
      <c r="U443" s="1665" t="n"/>
      <c r="V443" s="1665" t="n"/>
      <c r="W443" s="1665" t="n"/>
      <c r="X443" s="1665" t="n"/>
      <c r="Y443" s="1665" t="n"/>
      <c r="Z443" s="1665" t="n"/>
    </row>
    <row r="444" ht="15.75" customHeight="1" s="1666">
      <c r="K444" s="1665" t="n"/>
      <c r="L444" s="1665" t="n"/>
      <c r="M444" s="1665" t="n"/>
      <c r="N444" s="1665" t="n"/>
      <c r="O444" s="1665" t="n"/>
      <c r="P444" s="1665" t="n"/>
      <c r="Q444" s="1665" t="n"/>
      <c r="R444" s="1665" t="n"/>
      <c r="S444" s="1665" t="n"/>
      <c r="T444" s="1665" t="n"/>
      <c r="U444" s="1665" t="n"/>
      <c r="V444" s="1665" t="n"/>
      <c r="W444" s="1665" t="n"/>
      <c r="X444" s="1665" t="n"/>
      <c r="Y444" s="1665" t="n"/>
      <c r="Z444" s="1665" t="n"/>
    </row>
    <row r="445" ht="15.75" customHeight="1" s="1666">
      <c r="K445" s="1665" t="n"/>
      <c r="L445" s="1665" t="n"/>
      <c r="M445" s="1665" t="n"/>
      <c r="N445" s="1665" t="n"/>
      <c r="O445" s="1665" t="n"/>
      <c r="P445" s="1665" t="n"/>
      <c r="Q445" s="1665" t="n"/>
      <c r="R445" s="1665" t="n"/>
      <c r="S445" s="1665" t="n"/>
      <c r="T445" s="1665" t="n"/>
      <c r="U445" s="1665" t="n"/>
      <c r="V445" s="1665" t="n"/>
      <c r="W445" s="1665" t="n"/>
      <c r="X445" s="1665" t="n"/>
      <c r="Y445" s="1665" t="n"/>
      <c r="Z445" s="1665" t="n"/>
    </row>
    <row r="446" ht="15.75" customHeight="1" s="1666">
      <c r="K446" s="1665" t="n"/>
      <c r="L446" s="1665" t="n"/>
      <c r="M446" s="1665" t="n"/>
      <c r="N446" s="1665" t="n"/>
      <c r="O446" s="1665" t="n"/>
      <c r="P446" s="1665" t="n"/>
      <c r="Q446" s="1665" t="n"/>
      <c r="R446" s="1665" t="n"/>
      <c r="S446" s="1665" t="n"/>
      <c r="T446" s="1665" t="n"/>
      <c r="U446" s="1665" t="n"/>
      <c r="V446" s="1665" t="n"/>
      <c r="W446" s="1665" t="n"/>
      <c r="X446" s="1665" t="n"/>
      <c r="Y446" s="1665" t="n"/>
      <c r="Z446" s="1665" t="n"/>
    </row>
    <row r="447" ht="15.75" customHeight="1" s="1666">
      <c r="K447" s="1665" t="n"/>
      <c r="L447" s="1665" t="n"/>
      <c r="M447" s="1665" t="n"/>
      <c r="N447" s="1665" t="n"/>
      <c r="O447" s="1665" t="n"/>
      <c r="P447" s="1665" t="n"/>
      <c r="Q447" s="1665" t="n"/>
      <c r="R447" s="1665" t="n"/>
      <c r="S447" s="1665" t="n"/>
      <c r="T447" s="1665" t="n"/>
      <c r="U447" s="1665" t="n"/>
      <c r="V447" s="1665" t="n"/>
      <c r="W447" s="1665" t="n"/>
      <c r="X447" s="1665" t="n"/>
      <c r="Y447" s="1665" t="n"/>
      <c r="Z447" s="1665" t="n"/>
    </row>
    <row r="448" ht="15.75" customHeight="1" s="1666">
      <c r="K448" s="1665" t="n"/>
      <c r="L448" s="1665" t="n"/>
      <c r="M448" s="1665" t="n"/>
      <c r="N448" s="1665" t="n"/>
      <c r="O448" s="1665" t="n"/>
      <c r="P448" s="1665" t="n"/>
      <c r="Q448" s="1665" t="n"/>
      <c r="R448" s="1665" t="n"/>
      <c r="S448" s="1665" t="n"/>
      <c r="T448" s="1665" t="n"/>
      <c r="U448" s="1665" t="n"/>
      <c r="V448" s="1665" t="n"/>
      <c r="W448" s="1665" t="n"/>
      <c r="X448" s="1665" t="n"/>
      <c r="Y448" s="1665" t="n"/>
      <c r="Z448" s="1665" t="n"/>
    </row>
    <row r="449" ht="15.75" customHeight="1" s="1666">
      <c r="K449" s="1665" t="n"/>
      <c r="L449" s="1665" t="n"/>
      <c r="M449" s="1665" t="n"/>
      <c r="N449" s="1665" t="n"/>
      <c r="O449" s="1665" t="n"/>
      <c r="P449" s="1665" t="n"/>
      <c r="Q449" s="1665" t="n"/>
      <c r="R449" s="1665" t="n"/>
      <c r="S449" s="1665" t="n"/>
      <c r="T449" s="1665" t="n"/>
      <c r="U449" s="1665" t="n"/>
      <c r="V449" s="1665" t="n"/>
      <c r="W449" s="1665" t="n"/>
      <c r="X449" s="1665" t="n"/>
      <c r="Y449" s="1665" t="n"/>
      <c r="Z449" s="1665" t="n"/>
    </row>
    <row r="450" ht="15.75" customHeight="1" s="1666">
      <c r="K450" s="1665" t="n"/>
      <c r="L450" s="1665" t="n"/>
      <c r="M450" s="1665" t="n"/>
      <c r="N450" s="1665" t="n"/>
      <c r="O450" s="1665" t="n"/>
      <c r="P450" s="1665" t="n"/>
      <c r="Q450" s="1665" t="n"/>
      <c r="R450" s="1665" t="n"/>
      <c r="S450" s="1665" t="n"/>
      <c r="T450" s="1665" t="n"/>
      <c r="U450" s="1665" t="n"/>
      <c r="V450" s="1665" t="n"/>
      <c r="W450" s="1665" t="n"/>
      <c r="X450" s="1665" t="n"/>
      <c r="Y450" s="1665" t="n"/>
      <c r="Z450" s="1665" t="n"/>
    </row>
    <row r="451" ht="15.75" customHeight="1" s="1666">
      <c r="K451" s="1665" t="n"/>
      <c r="L451" s="1665" t="n"/>
      <c r="M451" s="1665" t="n"/>
      <c r="N451" s="1665" t="n"/>
      <c r="O451" s="1665" t="n"/>
      <c r="P451" s="1665" t="n"/>
      <c r="Q451" s="1665" t="n"/>
      <c r="R451" s="1665" t="n"/>
      <c r="S451" s="1665" t="n"/>
      <c r="T451" s="1665" t="n"/>
      <c r="U451" s="1665" t="n"/>
      <c r="V451" s="1665" t="n"/>
      <c r="W451" s="1665" t="n"/>
      <c r="X451" s="1665" t="n"/>
      <c r="Y451" s="1665" t="n"/>
      <c r="Z451" s="1665" t="n"/>
    </row>
    <row r="452" ht="15.75" customHeight="1" s="1666">
      <c r="K452" s="1665" t="n"/>
      <c r="L452" s="1665" t="n"/>
      <c r="M452" s="1665" t="n"/>
      <c r="N452" s="1665" t="n"/>
      <c r="O452" s="1665" t="n"/>
      <c r="P452" s="1665" t="n"/>
      <c r="Q452" s="1665" t="n"/>
      <c r="R452" s="1665" t="n"/>
      <c r="S452" s="1665" t="n"/>
      <c r="T452" s="1665" t="n"/>
      <c r="U452" s="1665" t="n"/>
      <c r="V452" s="1665" t="n"/>
      <c r="W452" s="1665" t="n"/>
      <c r="X452" s="1665" t="n"/>
      <c r="Y452" s="1665" t="n"/>
      <c r="Z452" s="1665" t="n"/>
    </row>
    <row r="453" ht="15.75" customHeight="1" s="1666">
      <c r="K453" s="1665" t="n"/>
      <c r="L453" s="1665" t="n"/>
      <c r="M453" s="1665" t="n"/>
      <c r="N453" s="1665" t="n"/>
      <c r="O453" s="1665" t="n"/>
      <c r="P453" s="1665" t="n"/>
      <c r="Q453" s="1665" t="n"/>
      <c r="R453" s="1665" t="n"/>
      <c r="S453" s="1665" t="n"/>
      <c r="T453" s="1665" t="n"/>
      <c r="U453" s="1665" t="n"/>
      <c r="V453" s="1665" t="n"/>
      <c r="W453" s="1665" t="n"/>
      <c r="X453" s="1665" t="n"/>
      <c r="Y453" s="1665" t="n"/>
      <c r="Z453" s="1665" t="n"/>
    </row>
    <row r="454" ht="15.75" customHeight="1" s="1666">
      <c r="K454" s="1665" t="n"/>
      <c r="L454" s="1665" t="n"/>
      <c r="M454" s="1665" t="n"/>
      <c r="N454" s="1665" t="n"/>
      <c r="O454" s="1665" t="n"/>
      <c r="P454" s="1665" t="n"/>
      <c r="Q454" s="1665" t="n"/>
      <c r="R454" s="1665" t="n"/>
      <c r="S454" s="1665" t="n"/>
      <c r="T454" s="1665" t="n"/>
      <c r="U454" s="1665" t="n"/>
      <c r="V454" s="1665" t="n"/>
      <c r="W454" s="1665" t="n"/>
      <c r="X454" s="1665" t="n"/>
      <c r="Y454" s="1665" t="n"/>
      <c r="Z454" s="1665" t="n"/>
    </row>
    <row r="455" ht="15.75" customHeight="1" s="1666">
      <c r="K455" s="1665" t="n"/>
      <c r="L455" s="1665" t="n"/>
      <c r="M455" s="1665" t="n"/>
      <c r="N455" s="1665" t="n"/>
      <c r="O455" s="1665" t="n"/>
      <c r="P455" s="1665" t="n"/>
      <c r="Q455" s="1665" t="n"/>
      <c r="R455" s="1665" t="n"/>
      <c r="S455" s="1665" t="n"/>
      <c r="T455" s="1665" t="n"/>
      <c r="U455" s="1665" t="n"/>
      <c r="V455" s="1665" t="n"/>
      <c r="W455" s="1665" t="n"/>
      <c r="X455" s="1665" t="n"/>
      <c r="Y455" s="1665" t="n"/>
      <c r="Z455" s="1665" t="n"/>
    </row>
    <row r="456" ht="15.75" customHeight="1" s="1666">
      <c r="K456" s="1665" t="n"/>
      <c r="L456" s="1665" t="n"/>
      <c r="M456" s="1665" t="n"/>
      <c r="N456" s="1665" t="n"/>
      <c r="O456" s="1665" t="n"/>
      <c r="P456" s="1665" t="n"/>
      <c r="Q456" s="1665" t="n"/>
      <c r="R456" s="1665" t="n"/>
      <c r="S456" s="1665" t="n"/>
      <c r="T456" s="1665" t="n"/>
      <c r="U456" s="1665" t="n"/>
      <c r="V456" s="1665" t="n"/>
      <c r="W456" s="1665" t="n"/>
      <c r="X456" s="1665" t="n"/>
      <c r="Y456" s="1665" t="n"/>
      <c r="Z456" s="1665" t="n"/>
    </row>
    <row r="457" ht="15.75" customHeight="1" s="1666">
      <c r="K457" s="1665" t="n"/>
      <c r="L457" s="1665" t="n"/>
      <c r="M457" s="1665" t="n"/>
      <c r="N457" s="1665" t="n"/>
      <c r="O457" s="1665" t="n"/>
      <c r="P457" s="1665" t="n"/>
      <c r="Q457" s="1665" t="n"/>
      <c r="R457" s="1665" t="n"/>
      <c r="S457" s="1665" t="n"/>
      <c r="T457" s="1665" t="n"/>
      <c r="U457" s="1665" t="n"/>
      <c r="V457" s="1665" t="n"/>
      <c r="W457" s="1665" t="n"/>
      <c r="X457" s="1665" t="n"/>
      <c r="Y457" s="1665" t="n"/>
      <c r="Z457" s="1665" t="n"/>
    </row>
    <row r="458" ht="15.75" customHeight="1" s="1666">
      <c r="K458" s="1665" t="n"/>
      <c r="L458" s="1665" t="n"/>
      <c r="M458" s="1665" t="n"/>
      <c r="N458" s="1665" t="n"/>
      <c r="O458" s="1665" t="n"/>
      <c r="P458" s="1665" t="n"/>
      <c r="Q458" s="1665" t="n"/>
      <c r="R458" s="1665" t="n"/>
      <c r="S458" s="1665" t="n"/>
      <c r="T458" s="1665" t="n"/>
      <c r="U458" s="1665" t="n"/>
      <c r="V458" s="1665" t="n"/>
      <c r="W458" s="1665" t="n"/>
      <c r="X458" s="1665" t="n"/>
      <c r="Y458" s="1665" t="n"/>
      <c r="Z458" s="1665" t="n"/>
    </row>
    <row r="459" ht="15.75" customHeight="1" s="1666">
      <c r="K459" s="1665" t="n"/>
      <c r="L459" s="1665" t="n"/>
      <c r="M459" s="1665" t="n"/>
      <c r="N459" s="1665" t="n"/>
      <c r="O459" s="1665" t="n"/>
      <c r="P459" s="1665" t="n"/>
      <c r="Q459" s="1665" t="n"/>
      <c r="R459" s="1665" t="n"/>
      <c r="S459" s="1665" t="n"/>
      <c r="T459" s="1665" t="n"/>
      <c r="U459" s="1665" t="n"/>
      <c r="V459" s="1665" t="n"/>
      <c r="W459" s="1665" t="n"/>
      <c r="X459" s="1665" t="n"/>
      <c r="Y459" s="1665" t="n"/>
      <c r="Z459" s="1665" t="n"/>
    </row>
    <row r="460" ht="15.75" customHeight="1" s="1666">
      <c r="K460" s="1665" t="n"/>
      <c r="L460" s="1665" t="n"/>
      <c r="M460" s="1665" t="n"/>
      <c r="N460" s="1665" t="n"/>
      <c r="O460" s="1665" t="n"/>
      <c r="P460" s="1665" t="n"/>
      <c r="Q460" s="1665" t="n"/>
      <c r="R460" s="1665" t="n"/>
      <c r="S460" s="1665" t="n"/>
      <c r="T460" s="1665" t="n"/>
      <c r="U460" s="1665" t="n"/>
      <c r="V460" s="1665" t="n"/>
      <c r="W460" s="1665" t="n"/>
      <c r="X460" s="1665" t="n"/>
      <c r="Y460" s="1665" t="n"/>
      <c r="Z460" s="1665" t="n"/>
    </row>
    <row r="461" ht="15.75" customHeight="1" s="1666">
      <c r="K461" s="1665" t="n"/>
      <c r="L461" s="1665" t="n"/>
      <c r="M461" s="1665" t="n"/>
      <c r="N461" s="1665" t="n"/>
      <c r="O461" s="1665" t="n"/>
      <c r="P461" s="1665" t="n"/>
      <c r="Q461" s="1665" t="n"/>
      <c r="R461" s="1665" t="n"/>
      <c r="S461" s="1665" t="n"/>
      <c r="T461" s="1665" t="n"/>
      <c r="U461" s="1665" t="n"/>
      <c r="V461" s="1665" t="n"/>
      <c r="W461" s="1665" t="n"/>
      <c r="X461" s="1665" t="n"/>
      <c r="Y461" s="1665" t="n"/>
      <c r="Z461" s="1665" t="n"/>
    </row>
    <row r="462" ht="15.75" customHeight="1" s="1666">
      <c r="K462" s="1665" t="n"/>
      <c r="L462" s="1665" t="n"/>
      <c r="M462" s="1665" t="n"/>
      <c r="N462" s="1665" t="n"/>
      <c r="O462" s="1665" t="n"/>
      <c r="P462" s="1665" t="n"/>
      <c r="Q462" s="1665" t="n"/>
      <c r="R462" s="1665" t="n"/>
      <c r="S462" s="1665" t="n"/>
      <c r="T462" s="1665" t="n"/>
      <c r="U462" s="1665" t="n"/>
      <c r="V462" s="1665" t="n"/>
      <c r="W462" s="1665" t="n"/>
      <c r="X462" s="1665" t="n"/>
      <c r="Y462" s="1665" t="n"/>
      <c r="Z462" s="1665" t="n"/>
    </row>
    <row r="463" ht="15.75" customHeight="1" s="1666">
      <c r="K463" s="1665" t="n"/>
      <c r="L463" s="1665" t="n"/>
      <c r="M463" s="1665" t="n"/>
      <c r="N463" s="1665" t="n"/>
      <c r="O463" s="1665" t="n"/>
      <c r="P463" s="1665" t="n"/>
      <c r="Q463" s="1665" t="n"/>
      <c r="R463" s="1665" t="n"/>
      <c r="S463" s="1665" t="n"/>
      <c r="T463" s="1665" t="n"/>
      <c r="U463" s="1665" t="n"/>
      <c r="V463" s="1665" t="n"/>
      <c r="W463" s="1665" t="n"/>
      <c r="X463" s="1665" t="n"/>
      <c r="Y463" s="1665" t="n"/>
      <c r="Z463" s="1665" t="n"/>
    </row>
    <row r="464" ht="15.75" customHeight="1" s="1666">
      <c r="K464" s="1665" t="n"/>
      <c r="L464" s="1665" t="n"/>
      <c r="M464" s="1665" t="n"/>
      <c r="N464" s="1665" t="n"/>
      <c r="O464" s="1665" t="n"/>
      <c r="P464" s="1665" t="n"/>
      <c r="Q464" s="1665" t="n"/>
      <c r="R464" s="1665" t="n"/>
      <c r="S464" s="1665" t="n"/>
      <c r="T464" s="1665" t="n"/>
      <c r="U464" s="1665" t="n"/>
      <c r="V464" s="1665" t="n"/>
      <c r="W464" s="1665" t="n"/>
      <c r="X464" s="1665" t="n"/>
      <c r="Y464" s="1665" t="n"/>
      <c r="Z464" s="1665" t="n"/>
    </row>
    <row r="465" ht="15.75" customHeight="1" s="1666">
      <c r="K465" s="1665" t="n"/>
      <c r="L465" s="1665" t="n"/>
      <c r="M465" s="1665" t="n"/>
      <c r="N465" s="1665" t="n"/>
      <c r="O465" s="1665" t="n"/>
      <c r="P465" s="1665" t="n"/>
      <c r="Q465" s="1665" t="n"/>
      <c r="R465" s="1665" t="n"/>
      <c r="S465" s="1665" t="n"/>
      <c r="T465" s="1665" t="n"/>
      <c r="U465" s="1665" t="n"/>
      <c r="V465" s="1665" t="n"/>
      <c r="W465" s="1665" t="n"/>
      <c r="X465" s="1665" t="n"/>
      <c r="Y465" s="1665" t="n"/>
      <c r="Z465" s="1665" t="n"/>
    </row>
    <row r="466" ht="15.75" customHeight="1" s="1666">
      <c r="K466" s="1665" t="n"/>
      <c r="L466" s="1665" t="n"/>
      <c r="M466" s="1665" t="n"/>
      <c r="N466" s="1665" t="n"/>
      <c r="O466" s="1665" t="n"/>
      <c r="P466" s="1665" t="n"/>
      <c r="Q466" s="1665" t="n"/>
      <c r="R466" s="1665" t="n"/>
      <c r="S466" s="1665" t="n"/>
      <c r="T466" s="1665" t="n"/>
      <c r="U466" s="1665" t="n"/>
      <c r="V466" s="1665" t="n"/>
      <c r="W466" s="1665" t="n"/>
      <c r="X466" s="1665" t="n"/>
      <c r="Y466" s="1665" t="n"/>
      <c r="Z466" s="1665" t="n"/>
    </row>
    <row r="467" ht="15.75" customHeight="1" s="1666">
      <c r="K467" s="1665" t="n"/>
      <c r="L467" s="1665" t="n"/>
      <c r="M467" s="1665" t="n"/>
      <c r="N467" s="1665" t="n"/>
      <c r="O467" s="1665" t="n"/>
      <c r="P467" s="1665" t="n"/>
      <c r="Q467" s="1665" t="n"/>
      <c r="R467" s="1665" t="n"/>
      <c r="S467" s="1665" t="n"/>
      <c r="T467" s="1665" t="n"/>
      <c r="U467" s="1665" t="n"/>
      <c r="V467" s="1665" t="n"/>
      <c r="W467" s="1665" t="n"/>
      <c r="X467" s="1665" t="n"/>
      <c r="Y467" s="1665" t="n"/>
      <c r="Z467" s="1665" t="n"/>
    </row>
    <row r="468" ht="15.75" customHeight="1" s="1666">
      <c r="K468" s="1665" t="n"/>
      <c r="L468" s="1665" t="n"/>
      <c r="M468" s="1665" t="n"/>
      <c r="N468" s="1665" t="n"/>
      <c r="O468" s="1665" t="n"/>
      <c r="P468" s="1665" t="n"/>
      <c r="Q468" s="1665" t="n"/>
      <c r="R468" s="1665" t="n"/>
      <c r="S468" s="1665" t="n"/>
      <c r="T468" s="1665" t="n"/>
      <c r="U468" s="1665" t="n"/>
      <c r="V468" s="1665" t="n"/>
      <c r="W468" s="1665" t="n"/>
      <c r="X468" s="1665" t="n"/>
      <c r="Y468" s="1665" t="n"/>
      <c r="Z468" s="1665" t="n"/>
    </row>
    <row r="469" ht="15.75" customHeight="1" s="1666">
      <c r="K469" s="1665" t="n"/>
      <c r="L469" s="1665" t="n"/>
      <c r="M469" s="1665" t="n"/>
      <c r="N469" s="1665" t="n"/>
      <c r="O469" s="1665" t="n"/>
      <c r="P469" s="1665" t="n"/>
      <c r="Q469" s="1665" t="n"/>
      <c r="R469" s="1665" t="n"/>
      <c r="S469" s="1665" t="n"/>
      <c r="T469" s="1665" t="n"/>
      <c r="U469" s="1665" t="n"/>
      <c r="V469" s="1665" t="n"/>
      <c r="W469" s="1665" t="n"/>
      <c r="X469" s="1665" t="n"/>
      <c r="Y469" s="1665" t="n"/>
      <c r="Z469" s="1665" t="n"/>
    </row>
    <row r="470" ht="15.75" customHeight="1" s="1666">
      <c r="K470" s="1665" t="n"/>
      <c r="L470" s="1665" t="n"/>
      <c r="M470" s="1665" t="n"/>
      <c r="N470" s="1665" t="n"/>
      <c r="O470" s="1665" t="n"/>
      <c r="P470" s="1665" t="n"/>
      <c r="Q470" s="1665" t="n"/>
      <c r="R470" s="1665" t="n"/>
      <c r="S470" s="1665" t="n"/>
      <c r="T470" s="1665" t="n"/>
      <c r="U470" s="1665" t="n"/>
      <c r="V470" s="1665" t="n"/>
      <c r="W470" s="1665" t="n"/>
      <c r="X470" s="1665" t="n"/>
      <c r="Y470" s="1665" t="n"/>
      <c r="Z470" s="1665" t="n"/>
    </row>
    <row r="471" ht="15.75" customHeight="1" s="1666">
      <c r="K471" s="1665" t="n"/>
      <c r="L471" s="1665" t="n"/>
      <c r="M471" s="1665" t="n"/>
      <c r="N471" s="1665" t="n"/>
      <c r="O471" s="1665" t="n"/>
      <c r="P471" s="1665" t="n"/>
      <c r="Q471" s="1665" t="n"/>
      <c r="R471" s="1665" t="n"/>
      <c r="S471" s="1665" t="n"/>
      <c r="T471" s="1665" t="n"/>
      <c r="U471" s="1665" t="n"/>
      <c r="V471" s="1665" t="n"/>
      <c r="W471" s="1665" t="n"/>
      <c r="X471" s="1665" t="n"/>
      <c r="Y471" s="1665" t="n"/>
      <c r="Z471" s="1665" t="n"/>
    </row>
    <row r="472" ht="15.75" customHeight="1" s="1666">
      <c r="K472" s="1665" t="n"/>
      <c r="L472" s="1665" t="n"/>
      <c r="M472" s="1665" t="n"/>
      <c r="N472" s="1665" t="n"/>
      <c r="O472" s="1665" t="n"/>
      <c r="P472" s="1665" t="n"/>
      <c r="Q472" s="1665" t="n"/>
      <c r="R472" s="1665" t="n"/>
      <c r="S472" s="1665" t="n"/>
      <c r="T472" s="1665" t="n"/>
      <c r="U472" s="1665" t="n"/>
      <c r="V472" s="1665" t="n"/>
      <c r="W472" s="1665" t="n"/>
      <c r="X472" s="1665" t="n"/>
      <c r="Y472" s="1665" t="n"/>
      <c r="Z472" s="1665" t="n"/>
    </row>
    <row r="473" ht="15.75" customHeight="1" s="1666">
      <c r="K473" s="1665" t="n"/>
      <c r="L473" s="1665" t="n"/>
      <c r="M473" s="1665" t="n"/>
      <c r="N473" s="1665" t="n"/>
      <c r="O473" s="1665" t="n"/>
      <c r="P473" s="1665" t="n"/>
      <c r="Q473" s="1665" t="n"/>
      <c r="R473" s="1665" t="n"/>
      <c r="S473" s="1665" t="n"/>
      <c r="T473" s="1665" t="n"/>
      <c r="U473" s="1665" t="n"/>
      <c r="V473" s="1665" t="n"/>
      <c r="W473" s="1665" t="n"/>
      <c r="X473" s="1665" t="n"/>
      <c r="Y473" s="1665" t="n"/>
      <c r="Z473" s="1665" t="n"/>
    </row>
    <row r="474" ht="15.75" customHeight="1" s="1666">
      <c r="K474" s="1665" t="n"/>
      <c r="L474" s="1665" t="n"/>
      <c r="M474" s="1665" t="n"/>
      <c r="N474" s="1665" t="n"/>
      <c r="O474" s="1665" t="n"/>
      <c r="P474" s="1665" t="n"/>
      <c r="Q474" s="1665" t="n"/>
      <c r="R474" s="1665" t="n"/>
      <c r="S474" s="1665" t="n"/>
      <c r="T474" s="1665" t="n"/>
      <c r="U474" s="1665" t="n"/>
      <c r="V474" s="1665" t="n"/>
      <c r="W474" s="1665" t="n"/>
      <c r="X474" s="1665" t="n"/>
      <c r="Y474" s="1665" t="n"/>
      <c r="Z474" s="1665" t="n"/>
    </row>
    <row r="475" ht="15.75" customHeight="1" s="1666">
      <c r="K475" s="1665" t="n"/>
      <c r="L475" s="1665" t="n"/>
      <c r="M475" s="1665" t="n"/>
      <c r="N475" s="1665" t="n"/>
      <c r="O475" s="1665" t="n"/>
      <c r="P475" s="1665" t="n"/>
      <c r="Q475" s="1665" t="n"/>
      <c r="R475" s="1665" t="n"/>
      <c r="S475" s="1665" t="n"/>
      <c r="T475" s="1665" t="n"/>
      <c r="U475" s="1665" t="n"/>
      <c r="V475" s="1665" t="n"/>
      <c r="W475" s="1665" t="n"/>
      <c r="X475" s="1665" t="n"/>
      <c r="Y475" s="1665" t="n"/>
      <c r="Z475" s="1665" t="n"/>
    </row>
    <row r="476" ht="15.75" customHeight="1" s="1666">
      <c r="K476" s="1665" t="n"/>
      <c r="L476" s="1665" t="n"/>
      <c r="M476" s="1665" t="n"/>
      <c r="N476" s="1665" t="n"/>
      <c r="O476" s="1665" t="n"/>
      <c r="P476" s="1665" t="n"/>
      <c r="Q476" s="1665" t="n"/>
      <c r="R476" s="1665" t="n"/>
      <c r="S476" s="1665" t="n"/>
      <c r="T476" s="1665" t="n"/>
      <c r="U476" s="1665" t="n"/>
      <c r="V476" s="1665" t="n"/>
      <c r="W476" s="1665" t="n"/>
      <c r="X476" s="1665" t="n"/>
      <c r="Y476" s="1665" t="n"/>
      <c r="Z476" s="1665" t="n"/>
    </row>
    <row r="477" ht="15.75" customHeight="1" s="1666">
      <c r="K477" s="1665" t="n"/>
      <c r="L477" s="1665" t="n"/>
      <c r="M477" s="1665" t="n"/>
      <c r="N477" s="1665" t="n"/>
      <c r="O477" s="1665" t="n"/>
      <c r="P477" s="1665" t="n"/>
      <c r="Q477" s="1665" t="n"/>
      <c r="R477" s="1665" t="n"/>
      <c r="S477" s="1665" t="n"/>
      <c r="T477" s="1665" t="n"/>
      <c r="U477" s="1665" t="n"/>
      <c r="V477" s="1665" t="n"/>
      <c r="W477" s="1665" t="n"/>
      <c r="X477" s="1665" t="n"/>
      <c r="Y477" s="1665" t="n"/>
      <c r="Z477" s="1665" t="n"/>
    </row>
    <row r="478" ht="15.75" customHeight="1" s="1666">
      <c r="K478" s="1665" t="n"/>
      <c r="L478" s="1665" t="n"/>
      <c r="M478" s="1665" t="n"/>
      <c r="N478" s="1665" t="n"/>
      <c r="O478" s="1665" t="n"/>
      <c r="P478" s="1665" t="n"/>
      <c r="Q478" s="1665" t="n"/>
      <c r="R478" s="1665" t="n"/>
      <c r="S478" s="1665" t="n"/>
      <c r="T478" s="1665" t="n"/>
      <c r="U478" s="1665" t="n"/>
      <c r="V478" s="1665" t="n"/>
      <c r="W478" s="1665" t="n"/>
      <c r="X478" s="1665" t="n"/>
      <c r="Y478" s="1665" t="n"/>
      <c r="Z478" s="1665" t="n"/>
    </row>
    <row r="479" ht="15.75" customHeight="1" s="1666">
      <c r="K479" s="1665" t="n"/>
      <c r="L479" s="1665" t="n"/>
      <c r="M479" s="1665" t="n"/>
      <c r="N479" s="1665" t="n"/>
      <c r="O479" s="1665" t="n"/>
      <c r="P479" s="1665" t="n"/>
      <c r="Q479" s="1665" t="n"/>
      <c r="R479" s="1665" t="n"/>
      <c r="S479" s="1665" t="n"/>
      <c r="T479" s="1665" t="n"/>
      <c r="U479" s="1665" t="n"/>
      <c r="V479" s="1665" t="n"/>
      <c r="W479" s="1665" t="n"/>
      <c r="X479" s="1665" t="n"/>
      <c r="Y479" s="1665" t="n"/>
      <c r="Z479" s="1665" t="n"/>
    </row>
    <row r="480" ht="15.75" customHeight="1" s="1666">
      <c r="K480" s="1665" t="n"/>
      <c r="L480" s="1665" t="n"/>
      <c r="M480" s="1665" t="n"/>
      <c r="N480" s="1665" t="n"/>
      <c r="O480" s="1665" t="n"/>
      <c r="P480" s="1665" t="n"/>
      <c r="Q480" s="1665" t="n"/>
      <c r="R480" s="1665" t="n"/>
      <c r="S480" s="1665" t="n"/>
      <c r="T480" s="1665" t="n"/>
      <c r="U480" s="1665" t="n"/>
      <c r="V480" s="1665" t="n"/>
      <c r="W480" s="1665" t="n"/>
      <c r="X480" s="1665" t="n"/>
      <c r="Y480" s="1665" t="n"/>
      <c r="Z480" s="1665" t="n"/>
    </row>
    <row r="481" ht="15.75" customHeight="1" s="1666">
      <c r="K481" s="1665" t="n"/>
      <c r="L481" s="1665" t="n"/>
      <c r="M481" s="1665" t="n"/>
      <c r="N481" s="1665" t="n"/>
      <c r="O481" s="1665" t="n"/>
      <c r="P481" s="1665" t="n"/>
      <c r="Q481" s="1665" t="n"/>
      <c r="R481" s="1665" t="n"/>
      <c r="S481" s="1665" t="n"/>
      <c r="T481" s="1665" t="n"/>
      <c r="U481" s="1665" t="n"/>
      <c r="V481" s="1665" t="n"/>
      <c r="W481" s="1665" t="n"/>
      <c r="X481" s="1665" t="n"/>
      <c r="Y481" s="1665" t="n"/>
      <c r="Z481" s="1665" t="n"/>
    </row>
    <row r="482" ht="15.75" customHeight="1" s="1666">
      <c r="K482" s="1665" t="n"/>
      <c r="L482" s="1665" t="n"/>
      <c r="M482" s="1665" t="n"/>
      <c r="N482" s="1665" t="n"/>
      <c r="O482" s="1665" t="n"/>
      <c r="P482" s="1665" t="n"/>
      <c r="Q482" s="1665" t="n"/>
      <c r="R482" s="1665" t="n"/>
      <c r="S482" s="1665" t="n"/>
      <c r="T482" s="1665" t="n"/>
      <c r="U482" s="1665" t="n"/>
      <c r="V482" s="1665" t="n"/>
      <c r="W482" s="1665" t="n"/>
      <c r="X482" s="1665" t="n"/>
      <c r="Y482" s="1665" t="n"/>
      <c r="Z482" s="1665" t="n"/>
    </row>
    <row r="483" ht="15.75" customHeight="1" s="1666">
      <c r="K483" s="1665" t="n"/>
      <c r="L483" s="1665" t="n"/>
      <c r="M483" s="1665" t="n"/>
      <c r="N483" s="1665" t="n"/>
      <c r="O483" s="1665" t="n"/>
      <c r="P483" s="1665" t="n"/>
      <c r="Q483" s="1665" t="n"/>
      <c r="R483" s="1665" t="n"/>
      <c r="S483" s="1665" t="n"/>
      <c r="T483" s="1665" t="n"/>
      <c r="U483" s="1665" t="n"/>
      <c r="V483" s="1665" t="n"/>
      <c r="W483" s="1665" t="n"/>
      <c r="X483" s="1665" t="n"/>
      <c r="Y483" s="1665" t="n"/>
      <c r="Z483" s="1665" t="n"/>
    </row>
    <row r="484" ht="15.75" customHeight="1" s="1666">
      <c r="K484" s="1665" t="n"/>
      <c r="L484" s="1665" t="n"/>
      <c r="M484" s="1665" t="n"/>
      <c r="N484" s="1665" t="n"/>
      <c r="O484" s="1665" t="n"/>
      <c r="P484" s="1665" t="n"/>
      <c r="Q484" s="1665" t="n"/>
      <c r="R484" s="1665" t="n"/>
      <c r="S484" s="1665" t="n"/>
      <c r="T484" s="1665" t="n"/>
      <c r="U484" s="1665" t="n"/>
      <c r="V484" s="1665" t="n"/>
      <c r="W484" s="1665" t="n"/>
      <c r="X484" s="1665" t="n"/>
      <c r="Y484" s="1665" t="n"/>
      <c r="Z484" s="1665" t="n"/>
    </row>
    <row r="485" ht="15.75" customHeight="1" s="1666">
      <c r="K485" s="1665" t="n"/>
      <c r="L485" s="1665" t="n"/>
      <c r="M485" s="1665" t="n"/>
      <c r="N485" s="1665" t="n"/>
      <c r="O485" s="1665" t="n"/>
      <c r="P485" s="1665" t="n"/>
      <c r="Q485" s="1665" t="n"/>
      <c r="R485" s="1665" t="n"/>
      <c r="S485" s="1665" t="n"/>
      <c r="T485" s="1665" t="n"/>
      <c r="U485" s="1665" t="n"/>
      <c r="V485" s="1665" t="n"/>
      <c r="W485" s="1665" t="n"/>
      <c r="X485" s="1665" t="n"/>
      <c r="Y485" s="1665" t="n"/>
      <c r="Z485" s="1665" t="n"/>
    </row>
    <row r="486" ht="15.75" customHeight="1" s="1666">
      <c r="K486" s="1665" t="n"/>
      <c r="L486" s="1665" t="n"/>
      <c r="M486" s="1665" t="n"/>
      <c r="N486" s="1665" t="n"/>
      <c r="O486" s="1665" t="n"/>
      <c r="P486" s="1665" t="n"/>
      <c r="Q486" s="1665" t="n"/>
      <c r="R486" s="1665" t="n"/>
      <c r="S486" s="1665" t="n"/>
      <c r="T486" s="1665" t="n"/>
      <c r="U486" s="1665" t="n"/>
      <c r="V486" s="1665" t="n"/>
      <c r="W486" s="1665" t="n"/>
      <c r="X486" s="1665" t="n"/>
      <c r="Y486" s="1665" t="n"/>
      <c r="Z486" s="1665" t="n"/>
    </row>
    <row r="487" ht="15.75" customHeight="1" s="1666">
      <c r="K487" s="1665" t="n"/>
      <c r="L487" s="1665" t="n"/>
      <c r="M487" s="1665" t="n"/>
      <c r="N487" s="1665" t="n"/>
      <c r="O487" s="1665" t="n"/>
      <c r="P487" s="1665" t="n"/>
      <c r="Q487" s="1665" t="n"/>
      <c r="R487" s="1665" t="n"/>
      <c r="S487" s="1665" t="n"/>
      <c r="T487" s="1665" t="n"/>
      <c r="U487" s="1665" t="n"/>
      <c r="V487" s="1665" t="n"/>
      <c r="W487" s="1665" t="n"/>
      <c r="X487" s="1665" t="n"/>
      <c r="Y487" s="1665" t="n"/>
      <c r="Z487" s="1665" t="n"/>
    </row>
    <row r="488" ht="15.75" customHeight="1" s="1666">
      <c r="K488" s="1665" t="n"/>
      <c r="L488" s="1665" t="n"/>
      <c r="M488" s="1665" t="n"/>
      <c r="N488" s="1665" t="n"/>
      <c r="O488" s="1665" t="n"/>
      <c r="P488" s="1665" t="n"/>
      <c r="Q488" s="1665" t="n"/>
      <c r="R488" s="1665" t="n"/>
      <c r="S488" s="1665" t="n"/>
      <c r="T488" s="1665" t="n"/>
      <c r="U488" s="1665" t="n"/>
      <c r="V488" s="1665" t="n"/>
      <c r="W488" s="1665" t="n"/>
      <c r="X488" s="1665" t="n"/>
      <c r="Y488" s="1665" t="n"/>
      <c r="Z488" s="1665" t="n"/>
    </row>
    <row r="489" ht="15.75" customHeight="1" s="1666">
      <c r="K489" s="1665" t="n"/>
      <c r="L489" s="1665" t="n"/>
      <c r="M489" s="1665" t="n"/>
      <c r="N489" s="1665" t="n"/>
      <c r="O489" s="1665" t="n"/>
      <c r="P489" s="1665" t="n"/>
      <c r="Q489" s="1665" t="n"/>
      <c r="R489" s="1665" t="n"/>
      <c r="S489" s="1665" t="n"/>
      <c r="T489" s="1665" t="n"/>
      <c r="U489" s="1665" t="n"/>
      <c r="V489" s="1665" t="n"/>
      <c r="W489" s="1665" t="n"/>
      <c r="X489" s="1665" t="n"/>
      <c r="Y489" s="1665" t="n"/>
      <c r="Z489" s="1665" t="n"/>
    </row>
    <row r="490" ht="15.75" customHeight="1" s="1666">
      <c r="K490" s="1665" t="n"/>
      <c r="L490" s="1665" t="n"/>
      <c r="M490" s="1665" t="n"/>
      <c r="N490" s="1665" t="n"/>
      <c r="O490" s="1665" t="n"/>
      <c r="P490" s="1665" t="n"/>
      <c r="Q490" s="1665" t="n"/>
      <c r="R490" s="1665" t="n"/>
      <c r="S490" s="1665" t="n"/>
      <c r="T490" s="1665" t="n"/>
      <c r="U490" s="1665" t="n"/>
      <c r="V490" s="1665" t="n"/>
      <c r="W490" s="1665" t="n"/>
      <c r="X490" s="1665" t="n"/>
      <c r="Y490" s="1665" t="n"/>
      <c r="Z490" s="1665" t="n"/>
    </row>
    <row r="491" ht="15.75" customHeight="1" s="1666">
      <c r="K491" s="1665" t="n"/>
      <c r="L491" s="1665" t="n"/>
      <c r="M491" s="1665" t="n"/>
      <c r="N491" s="1665" t="n"/>
      <c r="O491" s="1665" t="n"/>
      <c r="P491" s="1665" t="n"/>
      <c r="Q491" s="1665" t="n"/>
      <c r="R491" s="1665" t="n"/>
      <c r="S491" s="1665" t="n"/>
      <c r="T491" s="1665" t="n"/>
      <c r="U491" s="1665" t="n"/>
      <c r="V491" s="1665" t="n"/>
      <c r="W491" s="1665" t="n"/>
      <c r="X491" s="1665" t="n"/>
      <c r="Y491" s="1665" t="n"/>
      <c r="Z491" s="1665" t="n"/>
    </row>
    <row r="492" ht="15.75" customHeight="1" s="1666">
      <c r="K492" s="1665" t="n"/>
      <c r="L492" s="1665" t="n"/>
      <c r="M492" s="1665" t="n"/>
      <c r="N492" s="1665" t="n"/>
      <c r="O492" s="1665" t="n"/>
      <c r="P492" s="1665" t="n"/>
      <c r="Q492" s="1665" t="n"/>
      <c r="R492" s="1665" t="n"/>
      <c r="S492" s="1665" t="n"/>
      <c r="T492" s="1665" t="n"/>
      <c r="U492" s="1665" t="n"/>
      <c r="V492" s="1665" t="n"/>
      <c r="W492" s="1665" t="n"/>
      <c r="X492" s="1665" t="n"/>
      <c r="Y492" s="1665" t="n"/>
      <c r="Z492" s="1665" t="n"/>
    </row>
    <row r="493" ht="15.75" customHeight="1" s="1666">
      <c r="K493" s="1665" t="n"/>
      <c r="L493" s="1665" t="n"/>
      <c r="M493" s="1665" t="n"/>
      <c r="N493" s="1665" t="n"/>
      <c r="O493" s="1665" t="n"/>
      <c r="P493" s="1665" t="n"/>
      <c r="Q493" s="1665" t="n"/>
      <c r="R493" s="1665" t="n"/>
      <c r="S493" s="1665" t="n"/>
      <c r="T493" s="1665" t="n"/>
      <c r="U493" s="1665" t="n"/>
      <c r="V493" s="1665" t="n"/>
      <c r="W493" s="1665" t="n"/>
      <c r="X493" s="1665" t="n"/>
      <c r="Y493" s="1665" t="n"/>
      <c r="Z493" s="1665" t="n"/>
    </row>
    <row r="494" ht="15.75" customHeight="1" s="1666">
      <c r="K494" s="1665" t="n"/>
      <c r="L494" s="1665" t="n"/>
      <c r="M494" s="1665" t="n"/>
      <c r="N494" s="1665" t="n"/>
      <c r="O494" s="1665" t="n"/>
      <c r="P494" s="1665" t="n"/>
      <c r="Q494" s="1665" t="n"/>
      <c r="R494" s="1665" t="n"/>
      <c r="S494" s="1665" t="n"/>
      <c r="T494" s="1665" t="n"/>
      <c r="U494" s="1665" t="n"/>
      <c r="V494" s="1665" t="n"/>
      <c r="W494" s="1665" t="n"/>
      <c r="X494" s="1665" t="n"/>
      <c r="Y494" s="1665" t="n"/>
      <c r="Z494" s="1665" t="n"/>
    </row>
    <row r="495" ht="15.75" customHeight="1" s="1666">
      <c r="K495" s="1665" t="n"/>
      <c r="L495" s="1665" t="n"/>
      <c r="M495" s="1665" t="n"/>
      <c r="N495" s="1665" t="n"/>
      <c r="O495" s="1665" t="n"/>
      <c r="P495" s="1665" t="n"/>
      <c r="Q495" s="1665" t="n"/>
      <c r="R495" s="1665" t="n"/>
      <c r="S495" s="1665" t="n"/>
      <c r="T495" s="1665" t="n"/>
      <c r="U495" s="1665" t="n"/>
      <c r="V495" s="1665" t="n"/>
      <c r="W495" s="1665" t="n"/>
      <c r="X495" s="1665" t="n"/>
      <c r="Y495" s="1665" t="n"/>
      <c r="Z495" s="1665" t="n"/>
    </row>
    <row r="496" ht="15.75" customHeight="1" s="1666">
      <c r="K496" s="1665" t="n"/>
      <c r="L496" s="1665" t="n"/>
      <c r="M496" s="1665" t="n"/>
      <c r="N496" s="1665" t="n"/>
      <c r="O496" s="1665" t="n"/>
      <c r="P496" s="1665" t="n"/>
      <c r="Q496" s="1665" t="n"/>
      <c r="R496" s="1665" t="n"/>
      <c r="S496" s="1665" t="n"/>
      <c r="T496" s="1665" t="n"/>
      <c r="U496" s="1665" t="n"/>
      <c r="V496" s="1665" t="n"/>
      <c r="W496" s="1665" t="n"/>
      <c r="X496" s="1665" t="n"/>
      <c r="Y496" s="1665" t="n"/>
      <c r="Z496" s="1665" t="n"/>
    </row>
    <row r="497" ht="15.75" customHeight="1" s="1666">
      <c r="K497" s="1665" t="n"/>
      <c r="L497" s="1665" t="n"/>
      <c r="M497" s="1665" t="n"/>
      <c r="N497" s="1665" t="n"/>
      <c r="O497" s="1665" t="n"/>
      <c r="P497" s="1665" t="n"/>
      <c r="Q497" s="1665" t="n"/>
      <c r="R497" s="1665" t="n"/>
      <c r="S497" s="1665" t="n"/>
      <c r="T497" s="1665" t="n"/>
      <c r="U497" s="1665" t="n"/>
      <c r="V497" s="1665" t="n"/>
      <c r="W497" s="1665" t="n"/>
      <c r="X497" s="1665" t="n"/>
      <c r="Y497" s="1665" t="n"/>
      <c r="Z497" s="1665" t="n"/>
    </row>
    <row r="498" ht="15.75" customHeight="1" s="1666">
      <c r="K498" s="1665" t="n"/>
      <c r="L498" s="1665" t="n"/>
      <c r="M498" s="1665" t="n"/>
      <c r="N498" s="1665" t="n"/>
      <c r="O498" s="1665" t="n"/>
      <c r="P498" s="1665" t="n"/>
      <c r="Q498" s="1665" t="n"/>
      <c r="R498" s="1665" t="n"/>
      <c r="S498" s="1665" t="n"/>
      <c r="T498" s="1665" t="n"/>
      <c r="U498" s="1665" t="n"/>
      <c r="V498" s="1665" t="n"/>
      <c r="W498" s="1665" t="n"/>
      <c r="X498" s="1665" t="n"/>
      <c r="Y498" s="1665" t="n"/>
      <c r="Z498" s="1665" t="n"/>
    </row>
    <row r="499" ht="15.75" customHeight="1" s="1666">
      <c r="K499" s="1665" t="n"/>
      <c r="L499" s="1665" t="n"/>
      <c r="M499" s="1665" t="n"/>
      <c r="N499" s="1665" t="n"/>
      <c r="O499" s="1665" t="n"/>
      <c r="P499" s="1665" t="n"/>
      <c r="Q499" s="1665" t="n"/>
      <c r="R499" s="1665" t="n"/>
      <c r="S499" s="1665" t="n"/>
      <c r="T499" s="1665" t="n"/>
      <c r="U499" s="1665" t="n"/>
      <c r="V499" s="1665" t="n"/>
      <c r="W499" s="1665" t="n"/>
      <c r="X499" s="1665" t="n"/>
      <c r="Y499" s="1665" t="n"/>
      <c r="Z499" s="1665" t="n"/>
    </row>
    <row r="500" ht="15.75" customHeight="1" s="1666">
      <c r="K500" s="1665" t="n"/>
      <c r="L500" s="1665" t="n"/>
      <c r="M500" s="1665" t="n"/>
      <c r="N500" s="1665" t="n"/>
      <c r="O500" s="1665" t="n"/>
      <c r="P500" s="1665" t="n"/>
      <c r="Q500" s="1665" t="n"/>
      <c r="R500" s="1665" t="n"/>
      <c r="S500" s="1665" t="n"/>
      <c r="T500" s="1665" t="n"/>
      <c r="U500" s="1665" t="n"/>
      <c r="V500" s="1665" t="n"/>
      <c r="W500" s="1665" t="n"/>
      <c r="X500" s="1665" t="n"/>
      <c r="Y500" s="1665" t="n"/>
      <c r="Z500" s="1665" t="n"/>
    </row>
    <row r="501" ht="15.75" customHeight="1" s="1666">
      <c r="K501" s="1665" t="n"/>
      <c r="L501" s="1665" t="n"/>
      <c r="M501" s="1665" t="n"/>
      <c r="N501" s="1665" t="n"/>
      <c r="O501" s="1665" t="n"/>
      <c r="P501" s="1665" t="n"/>
      <c r="Q501" s="1665" t="n"/>
      <c r="R501" s="1665" t="n"/>
      <c r="S501" s="1665" t="n"/>
      <c r="T501" s="1665" t="n"/>
      <c r="U501" s="1665" t="n"/>
      <c r="V501" s="1665" t="n"/>
      <c r="W501" s="1665" t="n"/>
      <c r="X501" s="1665" t="n"/>
      <c r="Y501" s="1665" t="n"/>
      <c r="Z501" s="1665" t="n"/>
    </row>
    <row r="502" ht="15.75" customHeight="1" s="1666">
      <c r="K502" s="1665" t="n"/>
      <c r="L502" s="1665" t="n"/>
      <c r="M502" s="1665" t="n"/>
      <c r="N502" s="1665" t="n"/>
      <c r="O502" s="1665" t="n"/>
      <c r="P502" s="1665" t="n"/>
      <c r="Q502" s="1665" t="n"/>
      <c r="R502" s="1665" t="n"/>
      <c r="S502" s="1665" t="n"/>
      <c r="T502" s="1665" t="n"/>
      <c r="U502" s="1665" t="n"/>
      <c r="V502" s="1665" t="n"/>
      <c r="W502" s="1665" t="n"/>
      <c r="X502" s="1665" t="n"/>
      <c r="Y502" s="1665" t="n"/>
      <c r="Z502" s="1665" t="n"/>
    </row>
    <row r="503" ht="15.75" customHeight="1" s="1666">
      <c r="K503" s="1665" t="n"/>
      <c r="L503" s="1665" t="n"/>
      <c r="M503" s="1665" t="n"/>
      <c r="N503" s="1665" t="n"/>
      <c r="O503" s="1665" t="n"/>
      <c r="P503" s="1665" t="n"/>
      <c r="Q503" s="1665" t="n"/>
      <c r="R503" s="1665" t="n"/>
      <c r="S503" s="1665" t="n"/>
      <c r="T503" s="1665" t="n"/>
      <c r="U503" s="1665" t="n"/>
      <c r="V503" s="1665" t="n"/>
      <c r="W503" s="1665" t="n"/>
      <c r="X503" s="1665" t="n"/>
      <c r="Y503" s="1665" t="n"/>
      <c r="Z503" s="1665" t="n"/>
    </row>
    <row r="504" ht="15.75" customHeight="1" s="1666">
      <c r="K504" s="1665" t="n"/>
      <c r="L504" s="1665" t="n"/>
      <c r="M504" s="1665" t="n"/>
      <c r="N504" s="1665" t="n"/>
      <c r="O504" s="1665" t="n"/>
      <c r="P504" s="1665" t="n"/>
      <c r="Q504" s="1665" t="n"/>
      <c r="R504" s="1665" t="n"/>
      <c r="S504" s="1665" t="n"/>
      <c r="T504" s="1665" t="n"/>
      <c r="U504" s="1665" t="n"/>
      <c r="V504" s="1665" t="n"/>
      <c r="W504" s="1665" t="n"/>
      <c r="X504" s="1665" t="n"/>
      <c r="Y504" s="1665" t="n"/>
      <c r="Z504" s="1665" t="n"/>
    </row>
    <row r="505" ht="15.75" customHeight="1" s="1666">
      <c r="K505" s="1665" t="n"/>
      <c r="L505" s="1665" t="n"/>
      <c r="M505" s="1665" t="n"/>
      <c r="N505" s="1665" t="n"/>
      <c r="O505" s="1665" t="n"/>
      <c r="P505" s="1665" t="n"/>
      <c r="Q505" s="1665" t="n"/>
      <c r="R505" s="1665" t="n"/>
      <c r="S505" s="1665" t="n"/>
      <c r="T505" s="1665" t="n"/>
      <c r="U505" s="1665" t="n"/>
      <c r="V505" s="1665" t="n"/>
      <c r="W505" s="1665" t="n"/>
      <c r="X505" s="1665" t="n"/>
      <c r="Y505" s="1665" t="n"/>
      <c r="Z505" s="1665" t="n"/>
    </row>
    <row r="506" ht="15.75" customHeight="1" s="1666">
      <c r="K506" s="1665" t="n"/>
      <c r="L506" s="1665" t="n"/>
      <c r="M506" s="1665" t="n"/>
      <c r="N506" s="1665" t="n"/>
      <c r="O506" s="1665" t="n"/>
      <c r="P506" s="1665" t="n"/>
      <c r="Q506" s="1665" t="n"/>
      <c r="R506" s="1665" t="n"/>
      <c r="S506" s="1665" t="n"/>
      <c r="T506" s="1665" t="n"/>
      <c r="U506" s="1665" t="n"/>
      <c r="V506" s="1665" t="n"/>
      <c r="W506" s="1665" t="n"/>
      <c r="X506" s="1665" t="n"/>
      <c r="Y506" s="1665" t="n"/>
      <c r="Z506" s="1665" t="n"/>
    </row>
    <row r="507" ht="15.75" customHeight="1" s="1666">
      <c r="K507" s="1665" t="n"/>
      <c r="L507" s="1665" t="n"/>
      <c r="M507" s="1665" t="n"/>
      <c r="N507" s="1665" t="n"/>
      <c r="O507" s="1665" t="n"/>
      <c r="P507" s="1665" t="n"/>
      <c r="Q507" s="1665" t="n"/>
      <c r="R507" s="1665" t="n"/>
      <c r="S507" s="1665" t="n"/>
      <c r="T507" s="1665" t="n"/>
      <c r="U507" s="1665" t="n"/>
      <c r="V507" s="1665" t="n"/>
      <c r="W507" s="1665" t="n"/>
      <c r="X507" s="1665" t="n"/>
      <c r="Y507" s="1665" t="n"/>
      <c r="Z507" s="1665" t="n"/>
    </row>
    <row r="508" ht="15.75" customHeight="1" s="1666">
      <c r="K508" s="1665" t="n"/>
      <c r="L508" s="1665" t="n"/>
      <c r="M508" s="1665" t="n"/>
      <c r="N508" s="1665" t="n"/>
      <c r="O508" s="1665" t="n"/>
      <c r="P508" s="1665" t="n"/>
      <c r="Q508" s="1665" t="n"/>
      <c r="R508" s="1665" t="n"/>
      <c r="S508" s="1665" t="n"/>
      <c r="T508" s="1665" t="n"/>
      <c r="U508" s="1665" t="n"/>
      <c r="V508" s="1665" t="n"/>
      <c r="W508" s="1665" t="n"/>
      <c r="X508" s="1665" t="n"/>
      <c r="Y508" s="1665" t="n"/>
      <c r="Z508" s="1665" t="n"/>
    </row>
    <row r="509" ht="15.75" customHeight="1" s="1666">
      <c r="K509" s="1665" t="n"/>
      <c r="L509" s="1665" t="n"/>
      <c r="M509" s="1665" t="n"/>
      <c r="N509" s="1665" t="n"/>
      <c r="O509" s="1665" t="n"/>
      <c r="P509" s="1665" t="n"/>
      <c r="Q509" s="1665" t="n"/>
      <c r="R509" s="1665" t="n"/>
      <c r="S509" s="1665" t="n"/>
      <c r="T509" s="1665" t="n"/>
      <c r="U509" s="1665" t="n"/>
      <c r="V509" s="1665" t="n"/>
      <c r="W509" s="1665" t="n"/>
      <c r="X509" s="1665" t="n"/>
      <c r="Y509" s="1665" t="n"/>
      <c r="Z509" s="1665" t="n"/>
    </row>
    <row r="510" ht="15.75" customHeight="1" s="1666">
      <c r="K510" s="1665" t="n"/>
      <c r="L510" s="1665" t="n"/>
      <c r="M510" s="1665" t="n"/>
      <c r="N510" s="1665" t="n"/>
      <c r="O510" s="1665" t="n"/>
      <c r="P510" s="1665" t="n"/>
      <c r="Q510" s="1665" t="n"/>
      <c r="R510" s="1665" t="n"/>
      <c r="S510" s="1665" t="n"/>
      <c r="T510" s="1665" t="n"/>
      <c r="U510" s="1665" t="n"/>
      <c r="V510" s="1665" t="n"/>
      <c r="W510" s="1665" t="n"/>
      <c r="X510" s="1665" t="n"/>
      <c r="Y510" s="1665" t="n"/>
      <c r="Z510" s="1665" t="n"/>
    </row>
    <row r="511" ht="15.75" customHeight="1" s="1666">
      <c r="K511" s="1665" t="n"/>
      <c r="L511" s="1665" t="n"/>
      <c r="M511" s="1665" t="n"/>
      <c r="N511" s="1665" t="n"/>
      <c r="O511" s="1665" t="n"/>
      <c r="P511" s="1665" t="n"/>
      <c r="Q511" s="1665" t="n"/>
      <c r="R511" s="1665" t="n"/>
      <c r="S511" s="1665" t="n"/>
      <c r="T511" s="1665" t="n"/>
      <c r="U511" s="1665" t="n"/>
      <c r="V511" s="1665" t="n"/>
      <c r="W511" s="1665" t="n"/>
      <c r="X511" s="1665" t="n"/>
      <c r="Y511" s="1665" t="n"/>
      <c r="Z511" s="1665" t="n"/>
    </row>
    <row r="512" ht="15.75" customHeight="1" s="1666">
      <c r="K512" s="1665" t="n"/>
      <c r="L512" s="1665" t="n"/>
      <c r="M512" s="1665" t="n"/>
      <c r="N512" s="1665" t="n"/>
      <c r="O512" s="1665" t="n"/>
      <c r="P512" s="1665" t="n"/>
      <c r="Q512" s="1665" t="n"/>
      <c r="R512" s="1665" t="n"/>
      <c r="S512" s="1665" t="n"/>
      <c r="T512" s="1665" t="n"/>
      <c r="U512" s="1665" t="n"/>
      <c r="V512" s="1665" t="n"/>
      <c r="W512" s="1665" t="n"/>
      <c r="X512" s="1665" t="n"/>
      <c r="Y512" s="1665" t="n"/>
      <c r="Z512" s="1665" t="n"/>
    </row>
    <row r="513" ht="15.75" customHeight="1" s="1666">
      <c r="K513" s="1665" t="n"/>
      <c r="L513" s="1665" t="n"/>
      <c r="M513" s="1665" t="n"/>
      <c r="N513" s="1665" t="n"/>
      <c r="O513" s="1665" t="n"/>
      <c r="P513" s="1665" t="n"/>
      <c r="Q513" s="1665" t="n"/>
      <c r="R513" s="1665" t="n"/>
      <c r="S513" s="1665" t="n"/>
      <c r="T513" s="1665" t="n"/>
      <c r="U513" s="1665" t="n"/>
      <c r="V513" s="1665" t="n"/>
      <c r="W513" s="1665" t="n"/>
      <c r="X513" s="1665" t="n"/>
      <c r="Y513" s="1665" t="n"/>
      <c r="Z513" s="1665" t="n"/>
    </row>
    <row r="514" ht="15.75" customHeight="1" s="1666">
      <c r="K514" s="1665" t="n"/>
      <c r="L514" s="1665" t="n"/>
      <c r="M514" s="1665" t="n"/>
      <c r="N514" s="1665" t="n"/>
      <c r="O514" s="1665" t="n"/>
      <c r="P514" s="1665" t="n"/>
      <c r="Q514" s="1665" t="n"/>
      <c r="R514" s="1665" t="n"/>
      <c r="S514" s="1665" t="n"/>
      <c r="T514" s="1665" t="n"/>
      <c r="U514" s="1665" t="n"/>
      <c r="V514" s="1665" t="n"/>
      <c r="W514" s="1665" t="n"/>
      <c r="X514" s="1665" t="n"/>
      <c r="Y514" s="1665" t="n"/>
      <c r="Z514" s="1665" t="n"/>
    </row>
    <row r="515" ht="15.75" customHeight="1" s="1666">
      <c r="K515" s="1665" t="n"/>
      <c r="L515" s="1665" t="n"/>
      <c r="M515" s="1665" t="n"/>
      <c r="N515" s="1665" t="n"/>
      <c r="O515" s="1665" t="n"/>
      <c r="P515" s="1665" t="n"/>
      <c r="Q515" s="1665" t="n"/>
      <c r="R515" s="1665" t="n"/>
      <c r="S515" s="1665" t="n"/>
      <c r="T515" s="1665" t="n"/>
      <c r="U515" s="1665" t="n"/>
      <c r="V515" s="1665" t="n"/>
      <c r="W515" s="1665" t="n"/>
      <c r="X515" s="1665" t="n"/>
      <c r="Y515" s="1665" t="n"/>
      <c r="Z515" s="1665" t="n"/>
    </row>
    <row r="516" ht="15.75" customHeight="1" s="1666">
      <c r="K516" s="1665" t="n"/>
      <c r="L516" s="1665" t="n"/>
      <c r="M516" s="1665" t="n"/>
      <c r="N516" s="1665" t="n"/>
      <c r="O516" s="1665" t="n"/>
      <c r="P516" s="1665" t="n"/>
      <c r="Q516" s="1665" t="n"/>
      <c r="R516" s="1665" t="n"/>
      <c r="S516" s="1665" t="n"/>
      <c r="T516" s="1665" t="n"/>
      <c r="U516" s="1665" t="n"/>
      <c r="V516" s="1665" t="n"/>
      <c r="W516" s="1665" t="n"/>
      <c r="X516" s="1665" t="n"/>
      <c r="Y516" s="1665" t="n"/>
      <c r="Z516" s="1665" t="n"/>
    </row>
    <row r="517" ht="15.75" customHeight="1" s="1666">
      <c r="K517" s="1665" t="n"/>
      <c r="L517" s="1665" t="n"/>
      <c r="M517" s="1665" t="n"/>
      <c r="N517" s="1665" t="n"/>
      <c r="O517" s="1665" t="n"/>
      <c r="P517" s="1665" t="n"/>
      <c r="Q517" s="1665" t="n"/>
      <c r="R517" s="1665" t="n"/>
      <c r="S517" s="1665" t="n"/>
      <c r="T517" s="1665" t="n"/>
      <c r="U517" s="1665" t="n"/>
      <c r="V517" s="1665" t="n"/>
      <c r="W517" s="1665" t="n"/>
      <c r="X517" s="1665" t="n"/>
      <c r="Y517" s="1665" t="n"/>
      <c r="Z517" s="1665" t="n"/>
    </row>
    <row r="518" ht="15.75" customHeight="1" s="1666">
      <c r="K518" s="1665" t="n"/>
      <c r="L518" s="1665" t="n"/>
      <c r="M518" s="1665" t="n"/>
      <c r="N518" s="1665" t="n"/>
      <c r="O518" s="1665" t="n"/>
      <c r="P518" s="1665" t="n"/>
      <c r="Q518" s="1665" t="n"/>
      <c r="R518" s="1665" t="n"/>
      <c r="S518" s="1665" t="n"/>
      <c r="T518" s="1665" t="n"/>
      <c r="U518" s="1665" t="n"/>
      <c r="V518" s="1665" t="n"/>
      <c r="W518" s="1665" t="n"/>
      <c r="X518" s="1665" t="n"/>
      <c r="Y518" s="1665" t="n"/>
      <c r="Z518" s="1665" t="n"/>
    </row>
    <row r="519" ht="15.75" customHeight="1" s="1666">
      <c r="K519" s="1665" t="n"/>
      <c r="L519" s="1665" t="n"/>
      <c r="M519" s="1665" t="n"/>
      <c r="N519" s="1665" t="n"/>
      <c r="O519" s="1665" t="n"/>
      <c r="P519" s="1665" t="n"/>
      <c r="Q519" s="1665" t="n"/>
      <c r="R519" s="1665" t="n"/>
      <c r="S519" s="1665" t="n"/>
      <c r="T519" s="1665" t="n"/>
      <c r="U519" s="1665" t="n"/>
      <c r="V519" s="1665" t="n"/>
      <c r="W519" s="1665" t="n"/>
      <c r="X519" s="1665" t="n"/>
      <c r="Y519" s="1665" t="n"/>
      <c r="Z519" s="1665" t="n"/>
    </row>
    <row r="520" ht="15.75" customHeight="1" s="1666">
      <c r="K520" s="1665" t="n"/>
      <c r="L520" s="1665" t="n"/>
      <c r="M520" s="1665" t="n"/>
      <c r="N520" s="1665" t="n"/>
      <c r="O520" s="1665" t="n"/>
      <c r="P520" s="1665" t="n"/>
      <c r="Q520" s="1665" t="n"/>
      <c r="R520" s="1665" t="n"/>
      <c r="S520" s="1665" t="n"/>
      <c r="T520" s="1665" t="n"/>
      <c r="U520" s="1665" t="n"/>
      <c r="V520" s="1665" t="n"/>
      <c r="W520" s="1665" t="n"/>
      <c r="X520" s="1665" t="n"/>
      <c r="Y520" s="1665" t="n"/>
      <c r="Z520" s="1665" t="n"/>
    </row>
    <row r="521" ht="15.75" customHeight="1" s="1666">
      <c r="K521" s="1665" t="n"/>
      <c r="L521" s="1665" t="n"/>
      <c r="M521" s="1665" t="n"/>
      <c r="N521" s="1665" t="n"/>
      <c r="O521" s="1665" t="n"/>
      <c r="P521" s="1665" t="n"/>
      <c r="Q521" s="1665" t="n"/>
      <c r="R521" s="1665" t="n"/>
      <c r="S521" s="1665" t="n"/>
      <c r="T521" s="1665" t="n"/>
      <c r="U521" s="1665" t="n"/>
      <c r="V521" s="1665" t="n"/>
      <c r="W521" s="1665" t="n"/>
      <c r="X521" s="1665" t="n"/>
      <c r="Y521" s="1665" t="n"/>
      <c r="Z521" s="1665" t="n"/>
    </row>
    <row r="522" ht="15.75" customHeight="1" s="1666">
      <c r="K522" s="1665" t="n"/>
      <c r="L522" s="1665" t="n"/>
      <c r="M522" s="1665" t="n"/>
      <c r="N522" s="1665" t="n"/>
      <c r="O522" s="1665" t="n"/>
      <c r="P522" s="1665" t="n"/>
      <c r="Q522" s="1665" t="n"/>
      <c r="R522" s="1665" t="n"/>
      <c r="S522" s="1665" t="n"/>
      <c r="T522" s="1665" t="n"/>
      <c r="U522" s="1665" t="n"/>
      <c r="V522" s="1665" t="n"/>
      <c r="W522" s="1665" t="n"/>
      <c r="X522" s="1665" t="n"/>
      <c r="Y522" s="1665" t="n"/>
      <c r="Z522" s="1665" t="n"/>
    </row>
    <row r="523" ht="15.75" customHeight="1" s="1666">
      <c r="K523" s="1665" t="n"/>
      <c r="L523" s="1665" t="n"/>
      <c r="M523" s="1665" t="n"/>
      <c r="N523" s="1665" t="n"/>
      <c r="O523" s="1665" t="n"/>
      <c r="P523" s="1665" t="n"/>
      <c r="Q523" s="1665" t="n"/>
      <c r="R523" s="1665" t="n"/>
      <c r="S523" s="1665" t="n"/>
      <c r="T523" s="1665" t="n"/>
      <c r="U523" s="1665" t="n"/>
      <c r="V523" s="1665" t="n"/>
      <c r="W523" s="1665" t="n"/>
      <c r="X523" s="1665" t="n"/>
      <c r="Y523" s="1665" t="n"/>
      <c r="Z523" s="1665" t="n"/>
    </row>
    <row r="524" ht="15.75" customHeight="1" s="1666">
      <c r="K524" s="1665" t="n"/>
      <c r="L524" s="1665" t="n"/>
      <c r="M524" s="1665" t="n"/>
      <c r="N524" s="1665" t="n"/>
      <c r="O524" s="1665" t="n"/>
      <c r="P524" s="1665" t="n"/>
      <c r="Q524" s="1665" t="n"/>
      <c r="R524" s="1665" t="n"/>
      <c r="S524" s="1665" t="n"/>
      <c r="T524" s="1665" t="n"/>
      <c r="U524" s="1665" t="n"/>
      <c r="V524" s="1665" t="n"/>
      <c r="W524" s="1665" t="n"/>
      <c r="X524" s="1665" t="n"/>
      <c r="Y524" s="1665" t="n"/>
      <c r="Z524" s="1665" t="n"/>
    </row>
    <row r="525" ht="15.75" customHeight="1" s="1666">
      <c r="K525" s="1665" t="n"/>
      <c r="L525" s="1665" t="n"/>
      <c r="M525" s="1665" t="n"/>
      <c r="N525" s="1665" t="n"/>
      <c r="O525" s="1665" t="n"/>
      <c r="P525" s="1665" t="n"/>
      <c r="Q525" s="1665" t="n"/>
      <c r="R525" s="1665" t="n"/>
      <c r="S525" s="1665" t="n"/>
      <c r="T525" s="1665" t="n"/>
      <c r="U525" s="1665" t="n"/>
      <c r="V525" s="1665" t="n"/>
      <c r="W525" s="1665" t="n"/>
      <c r="X525" s="1665" t="n"/>
      <c r="Y525" s="1665" t="n"/>
      <c r="Z525" s="1665" t="n"/>
    </row>
    <row r="526" ht="15.75" customHeight="1" s="1666">
      <c r="K526" s="1665" t="n"/>
      <c r="L526" s="1665" t="n"/>
      <c r="M526" s="1665" t="n"/>
      <c r="N526" s="1665" t="n"/>
      <c r="O526" s="1665" t="n"/>
      <c r="P526" s="1665" t="n"/>
      <c r="Q526" s="1665" t="n"/>
      <c r="R526" s="1665" t="n"/>
      <c r="S526" s="1665" t="n"/>
      <c r="T526" s="1665" t="n"/>
      <c r="U526" s="1665" t="n"/>
      <c r="V526" s="1665" t="n"/>
      <c r="W526" s="1665" t="n"/>
      <c r="X526" s="1665" t="n"/>
      <c r="Y526" s="1665" t="n"/>
      <c r="Z526" s="1665" t="n"/>
    </row>
    <row r="527" ht="15.75" customHeight="1" s="1666">
      <c r="K527" s="1665" t="n"/>
      <c r="L527" s="1665" t="n"/>
      <c r="M527" s="1665" t="n"/>
      <c r="N527" s="1665" t="n"/>
      <c r="O527" s="1665" t="n"/>
      <c r="P527" s="1665" t="n"/>
      <c r="Q527" s="1665" t="n"/>
      <c r="R527" s="1665" t="n"/>
      <c r="S527" s="1665" t="n"/>
      <c r="T527" s="1665" t="n"/>
      <c r="U527" s="1665" t="n"/>
      <c r="V527" s="1665" t="n"/>
      <c r="W527" s="1665" t="n"/>
      <c r="X527" s="1665" t="n"/>
      <c r="Y527" s="1665" t="n"/>
      <c r="Z527" s="1665" t="n"/>
    </row>
    <row r="528" ht="15.75" customHeight="1" s="1666">
      <c r="K528" s="1665" t="n"/>
      <c r="L528" s="1665" t="n"/>
      <c r="M528" s="1665" t="n"/>
      <c r="N528" s="1665" t="n"/>
      <c r="O528" s="1665" t="n"/>
      <c r="P528" s="1665" t="n"/>
      <c r="Q528" s="1665" t="n"/>
      <c r="R528" s="1665" t="n"/>
      <c r="S528" s="1665" t="n"/>
      <c r="T528" s="1665" t="n"/>
      <c r="U528" s="1665" t="n"/>
      <c r="V528" s="1665" t="n"/>
      <c r="W528" s="1665" t="n"/>
      <c r="X528" s="1665" t="n"/>
      <c r="Y528" s="1665" t="n"/>
      <c r="Z528" s="1665" t="n"/>
    </row>
    <row r="529" ht="15.75" customHeight="1" s="1666">
      <c r="K529" s="1665" t="n"/>
      <c r="L529" s="1665" t="n"/>
      <c r="M529" s="1665" t="n"/>
      <c r="N529" s="1665" t="n"/>
      <c r="O529" s="1665" t="n"/>
      <c r="P529" s="1665" t="n"/>
      <c r="Q529" s="1665" t="n"/>
      <c r="R529" s="1665" t="n"/>
      <c r="S529" s="1665" t="n"/>
      <c r="T529" s="1665" t="n"/>
      <c r="U529" s="1665" t="n"/>
      <c r="V529" s="1665" t="n"/>
      <c r="W529" s="1665" t="n"/>
      <c r="X529" s="1665" t="n"/>
      <c r="Y529" s="1665" t="n"/>
      <c r="Z529" s="1665" t="n"/>
    </row>
    <row r="530" ht="15.75" customHeight="1" s="1666">
      <c r="K530" s="1665" t="n"/>
      <c r="L530" s="1665" t="n"/>
      <c r="M530" s="1665" t="n"/>
      <c r="N530" s="1665" t="n"/>
      <c r="O530" s="1665" t="n"/>
      <c r="P530" s="1665" t="n"/>
      <c r="Q530" s="1665" t="n"/>
      <c r="R530" s="1665" t="n"/>
      <c r="S530" s="1665" t="n"/>
      <c r="T530" s="1665" t="n"/>
      <c r="U530" s="1665" t="n"/>
      <c r="V530" s="1665" t="n"/>
      <c r="W530" s="1665" t="n"/>
      <c r="X530" s="1665" t="n"/>
      <c r="Y530" s="1665" t="n"/>
      <c r="Z530" s="1665" t="n"/>
    </row>
    <row r="531" ht="15.75" customHeight="1" s="1666">
      <c r="K531" s="1665" t="n"/>
      <c r="L531" s="1665" t="n"/>
      <c r="M531" s="1665" t="n"/>
      <c r="N531" s="1665" t="n"/>
      <c r="O531" s="1665" t="n"/>
      <c r="P531" s="1665" t="n"/>
      <c r="Q531" s="1665" t="n"/>
      <c r="R531" s="1665" t="n"/>
      <c r="S531" s="1665" t="n"/>
      <c r="T531" s="1665" t="n"/>
      <c r="U531" s="1665" t="n"/>
      <c r="V531" s="1665" t="n"/>
      <c r="W531" s="1665" t="n"/>
      <c r="X531" s="1665" t="n"/>
      <c r="Y531" s="1665" t="n"/>
      <c r="Z531" s="1665" t="n"/>
    </row>
    <row r="532" ht="15.75" customHeight="1" s="1666">
      <c r="K532" s="1665" t="n"/>
      <c r="L532" s="1665" t="n"/>
      <c r="M532" s="1665" t="n"/>
      <c r="N532" s="1665" t="n"/>
      <c r="O532" s="1665" t="n"/>
      <c r="P532" s="1665" t="n"/>
      <c r="Q532" s="1665" t="n"/>
      <c r="R532" s="1665" t="n"/>
      <c r="S532" s="1665" t="n"/>
      <c r="T532" s="1665" t="n"/>
      <c r="U532" s="1665" t="n"/>
      <c r="V532" s="1665" t="n"/>
      <c r="W532" s="1665" t="n"/>
      <c r="X532" s="1665" t="n"/>
      <c r="Y532" s="1665" t="n"/>
      <c r="Z532" s="1665" t="n"/>
    </row>
    <row r="533" ht="15.75" customHeight="1" s="1666">
      <c r="K533" s="1665" t="n"/>
      <c r="L533" s="1665" t="n"/>
      <c r="M533" s="1665" t="n"/>
      <c r="N533" s="1665" t="n"/>
      <c r="O533" s="1665" t="n"/>
      <c r="P533" s="1665" t="n"/>
      <c r="Q533" s="1665" t="n"/>
      <c r="R533" s="1665" t="n"/>
      <c r="S533" s="1665" t="n"/>
      <c r="T533" s="1665" t="n"/>
      <c r="U533" s="1665" t="n"/>
      <c r="V533" s="1665" t="n"/>
      <c r="W533" s="1665" t="n"/>
      <c r="X533" s="1665" t="n"/>
      <c r="Y533" s="1665" t="n"/>
      <c r="Z533" s="1665" t="n"/>
    </row>
    <row r="534" ht="15.75" customHeight="1" s="1666">
      <c r="K534" s="1665" t="n"/>
      <c r="L534" s="1665" t="n"/>
      <c r="M534" s="1665" t="n"/>
      <c r="N534" s="1665" t="n"/>
      <c r="O534" s="1665" t="n"/>
      <c r="P534" s="1665" t="n"/>
      <c r="Q534" s="1665" t="n"/>
      <c r="R534" s="1665" t="n"/>
      <c r="S534" s="1665" t="n"/>
      <c r="T534" s="1665" t="n"/>
      <c r="U534" s="1665" t="n"/>
      <c r="V534" s="1665" t="n"/>
      <c r="W534" s="1665" t="n"/>
      <c r="X534" s="1665" t="n"/>
      <c r="Y534" s="1665" t="n"/>
      <c r="Z534" s="1665" t="n"/>
    </row>
    <row r="535" ht="15.75" customHeight="1" s="1666">
      <c r="K535" s="1665" t="n"/>
      <c r="L535" s="1665" t="n"/>
      <c r="M535" s="1665" t="n"/>
      <c r="N535" s="1665" t="n"/>
      <c r="O535" s="1665" t="n"/>
      <c r="P535" s="1665" t="n"/>
      <c r="Q535" s="1665" t="n"/>
      <c r="R535" s="1665" t="n"/>
      <c r="S535" s="1665" t="n"/>
      <c r="T535" s="1665" t="n"/>
      <c r="U535" s="1665" t="n"/>
      <c r="V535" s="1665" t="n"/>
      <c r="W535" s="1665" t="n"/>
      <c r="X535" s="1665" t="n"/>
      <c r="Y535" s="1665" t="n"/>
      <c r="Z535" s="1665" t="n"/>
    </row>
    <row r="536" ht="15.75" customHeight="1" s="1666">
      <c r="K536" s="1665" t="n"/>
      <c r="L536" s="1665" t="n"/>
      <c r="M536" s="1665" t="n"/>
      <c r="N536" s="1665" t="n"/>
      <c r="O536" s="1665" t="n"/>
      <c r="P536" s="1665" t="n"/>
      <c r="Q536" s="1665" t="n"/>
      <c r="R536" s="1665" t="n"/>
      <c r="S536" s="1665" t="n"/>
      <c r="T536" s="1665" t="n"/>
      <c r="U536" s="1665" t="n"/>
      <c r="V536" s="1665" t="n"/>
      <c r="W536" s="1665" t="n"/>
      <c r="X536" s="1665" t="n"/>
      <c r="Y536" s="1665" t="n"/>
      <c r="Z536" s="1665" t="n"/>
    </row>
    <row r="537" ht="15.75" customHeight="1" s="1666">
      <c r="K537" s="1665" t="n"/>
      <c r="L537" s="1665" t="n"/>
      <c r="M537" s="1665" t="n"/>
      <c r="N537" s="1665" t="n"/>
      <c r="O537" s="1665" t="n"/>
      <c r="P537" s="1665" t="n"/>
      <c r="Q537" s="1665" t="n"/>
      <c r="R537" s="1665" t="n"/>
      <c r="S537" s="1665" t="n"/>
      <c r="T537" s="1665" t="n"/>
      <c r="U537" s="1665" t="n"/>
      <c r="V537" s="1665" t="n"/>
      <c r="W537" s="1665" t="n"/>
      <c r="X537" s="1665" t="n"/>
      <c r="Y537" s="1665" t="n"/>
      <c r="Z537" s="1665" t="n"/>
    </row>
    <row r="538" ht="15.75" customHeight="1" s="1666">
      <c r="K538" s="1665" t="n"/>
      <c r="L538" s="1665" t="n"/>
      <c r="M538" s="1665" t="n"/>
      <c r="N538" s="1665" t="n"/>
      <c r="O538" s="1665" t="n"/>
      <c r="P538" s="1665" t="n"/>
      <c r="Q538" s="1665" t="n"/>
      <c r="R538" s="1665" t="n"/>
      <c r="S538" s="1665" t="n"/>
      <c r="T538" s="1665" t="n"/>
      <c r="U538" s="1665" t="n"/>
      <c r="V538" s="1665" t="n"/>
      <c r="W538" s="1665" t="n"/>
      <c r="X538" s="1665" t="n"/>
      <c r="Y538" s="1665" t="n"/>
      <c r="Z538" s="1665" t="n"/>
    </row>
    <row r="539" ht="15.75" customHeight="1" s="1666">
      <c r="K539" s="1665" t="n"/>
      <c r="L539" s="1665" t="n"/>
      <c r="M539" s="1665" t="n"/>
      <c r="N539" s="1665" t="n"/>
      <c r="O539" s="1665" t="n"/>
      <c r="P539" s="1665" t="n"/>
      <c r="Q539" s="1665" t="n"/>
      <c r="R539" s="1665" t="n"/>
      <c r="S539" s="1665" t="n"/>
      <c r="T539" s="1665" t="n"/>
      <c r="U539" s="1665" t="n"/>
      <c r="V539" s="1665" t="n"/>
      <c r="W539" s="1665" t="n"/>
      <c r="X539" s="1665" t="n"/>
      <c r="Y539" s="1665" t="n"/>
      <c r="Z539" s="1665" t="n"/>
    </row>
    <row r="540" ht="15.75" customHeight="1" s="1666">
      <c r="K540" s="1665" t="n"/>
      <c r="L540" s="1665" t="n"/>
      <c r="M540" s="1665" t="n"/>
      <c r="N540" s="1665" t="n"/>
      <c r="O540" s="1665" t="n"/>
      <c r="P540" s="1665" t="n"/>
      <c r="Q540" s="1665" t="n"/>
      <c r="R540" s="1665" t="n"/>
      <c r="S540" s="1665" t="n"/>
      <c r="T540" s="1665" t="n"/>
      <c r="U540" s="1665" t="n"/>
      <c r="V540" s="1665" t="n"/>
      <c r="W540" s="1665" t="n"/>
      <c r="X540" s="1665" t="n"/>
      <c r="Y540" s="1665" t="n"/>
      <c r="Z540" s="1665" t="n"/>
    </row>
    <row r="541" ht="15.75" customHeight="1" s="1666">
      <c r="K541" s="1665" t="n"/>
      <c r="L541" s="1665" t="n"/>
      <c r="M541" s="1665" t="n"/>
      <c r="N541" s="1665" t="n"/>
      <c r="O541" s="1665" t="n"/>
      <c r="P541" s="1665" t="n"/>
      <c r="Q541" s="1665" t="n"/>
      <c r="R541" s="1665" t="n"/>
      <c r="S541" s="1665" t="n"/>
      <c r="T541" s="1665" t="n"/>
      <c r="U541" s="1665" t="n"/>
      <c r="V541" s="1665" t="n"/>
      <c r="W541" s="1665" t="n"/>
      <c r="X541" s="1665" t="n"/>
      <c r="Y541" s="1665" t="n"/>
      <c r="Z541" s="1665" t="n"/>
    </row>
    <row r="542" ht="15.75" customHeight="1" s="1666">
      <c r="K542" s="1665" t="n"/>
      <c r="L542" s="1665" t="n"/>
      <c r="M542" s="1665" t="n"/>
      <c r="N542" s="1665" t="n"/>
      <c r="O542" s="1665" t="n"/>
      <c r="P542" s="1665" t="n"/>
      <c r="Q542" s="1665" t="n"/>
      <c r="R542" s="1665" t="n"/>
      <c r="S542" s="1665" t="n"/>
      <c r="T542" s="1665" t="n"/>
      <c r="U542" s="1665" t="n"/>
      <c r="V542" s="1665" t="n"/>
      <c r="W542" s="1665" t="n"/>
      <c r="X542" s="1665" t="n"/>
      <c r="Y542" s="1665" t="n"/>
      <c r="Z542" s="1665" t="n"/>
    </row>
    <row r="543" ht="15.75" customHeight="1" s="1666">
      <c r="K543" s="1665" t="n"/>
      <c r="L543" s="1665" t="n"/>
      <c r="M543" s="1665" t="n"/>
      <c r="N543" s="1665" t="n"/>
      <c r="O543" s="1665" t="n"/>
      <c r="P543" s="1665" t="n"/>
      <c r="Q543" s="1665" t="n"/>
      <c r="R543" s="1665" t="n"/>
      <c r="S543" s="1665" t="n"/>
      <c r="T543" s="1665" t="n"/>
      <c r="U543" s="1665" t="n"/>
      <c r="V543" s="1665" t="n"/>
      <c r="W543" s="1665" t="n"/>
      <c r="X543" s="1665" t="n"/>
      <c r="Y543" s="1665" t="n"/>
      <c r="Z543" s="1665" t="n"/>
    </row>
    <row r="544" ht="15.75" customHeight="1" s="1666">
      <c r="K544" s="1665" t="n"/>
      <c r="L544" s="1665" t="n"/>
      <c r="M544" s="1665" t="n"/>
      <c r="N544" s="1665" t="n"/>
      <c r="O544" s="1665" t="n"/>
      <c r="P544" s="1665" t="n"/>
      <c r="Q544" s="1665" t="n"/>
      <c r="R544" s="1665" t="n"/>
      <c r="S544" s="1665" t="n"/>
      <c r="T544" s="1665" t="n"/>
      <c r="U544" s="1665" t="n"/>
      <c r="V544" s="1665" t="n"/>
      <c r="W544" s="1665" t="n"/>
      <c r="X544" s="1665" t="n"/>
      <c r="Y544" s="1665" t="n"/>
      <c r="Z544" s="1665" t="n"/>
    </row>
    <row r="545" ht="15.75" customHeight="1" s="1666">
      <c r="K545" s="1665" t="n"/>
      <c r="L545" s="1665" t="n"/>
      <c r="M545" s="1665" t="n"/>
      <c r="N545" s="1665" t="n"/>
      <c r="O545" s="1665" t="n"/>
      <c r="P545" s="1665" t="n"/>
      <c r="Q545" s="1665" t="n"/>
      <c r="R545" s="1665" t="n"/>
      <c r="S545" s="1665" t="n"/>
      <c r="T545" s="1665" t="n"/>
      <c r="U545" s="1665" t="n"/>
      <c r="V545" s="1665" t="n"/>
      <c r="W545" s="1665" t="n"/>
      <c r="X545" s="1665" t="n"/>
      <c r="Y545" s="1665" t="n"/>
      <c r="Z545" s="1665" t="n"/>
    </row>
    <row r="546" ht="15.75" customHeight="1" s="1666">
      <c r="K546" s="1665" t="n"/>
      <c r="L546" s="1665" t="n"/>
      <c r="M546" s="1665" t="n"/>
      <c r="N546" s="1665" t="n"/>
      <c r="O546" s="1665" t="n"/>
      <c r="P546" s="1665" t="n"/>
      <c r="Q546" s="1665" t="n"/>
      <c r="R546" s="1665" t="n"/>
      <c r="S546" s="1665" t="n"/>
      <c r="T546" s="1665" t="n"/>
      <c r="U546" s="1665" t="n"/>
      <c r="V546" s="1665" t="n"/>
      <c r="W546" s="1665" t="n"/>
      <c r="X546" s="1665" t="n"/>
      <c r="Y546" s="1665" t="n"/>
      <c r="Z546" s="1665" t="n"/>
    </row>
    <row r="547" ht="15.75" customHeight="1" s="1666">
      <c r="K547" s="1665" t="n"/>
      <c r="L547" s="1665" t="n"/>
      <c r="M547" s="1665" t="n"/>
      <c r="N547" s="1665" t="n"/>
      <c r="O547" s="1665" t="n"/>
      <c r="P547" s="1665" t="n"/>
      <c r="Q547" s="1665" t="n"/>
      <c r="R547" s="1665" t="n"/>
      <c r="S547" s="1665" t="n"/>
      <c r="T547" s="1665" t="n"/>
      <c r="U547" s="1665" t="n"/>
      <c r="V547" s="1665" t="n"/>
      <c r="W547" s="1665" t="n"/>
      <c r="X547" s="1665" t="n"/>
      <c r="Y547" s="1665" t="n"/>
      <c r="Z547" s="1665" t="n"/>
    </row>
    <row r="548" ht="15.75" customHeight="1" s="1666">
      <c r="K548" s="1665" t="n"/>
      <c r="L548" s="1665" t="n"/>
      <c r="M548" s="1665" t="n"/>
      <c r="N548" s="1665" t="n"/>
      <c r="O548" s="1665" t="n"/>
      <c r="P548" s="1665" t="n"/>
      <c r="Q548" s="1665" t="n"/>
      <c r="R548" s="1665" t="n"/>
      <c r="S548" s="1665" t="n"/>
      <c r="T548" s="1665" t="n"/>
      <c r="U548" s="1665" t="n"/>
      <c r="V548" s="1665" t="n"/>
      <c r="W548" s="1665" t="n"/>
      <c r="X548" s="1665" t="n"/>
      <c r="Y548" s="1665" t="n"/>
      <c r="Z548" s="1665" t="n"/>
    </row>
    <row r="549" ht="15.75" customHeight="1" s="1666">
      <c r="K549" s="1665" t="n"/>
      <c r="L549" s="1665" t="n"/>
      <c r="M549" s="1665" t="n"/>
      <c r="N549" s="1665" t="n"/>
      <c r="O549" s="1665" t="n"/>
      <c r="P549" s="1665" t="n"/>
      <c r="Q549" s="1665" t="n"/>
      <c r="R549" s="1665" t="n"/>
      <c r="S549" s="1665" t="n"/>
      <c r="T549" s="1665" t="n"/>
      <c r="U549" s="1665" t="n"/>
      <c r="V549" s="1665" t="n"/>
      <c r="W549" s="1665" t="n"/>
      <c r="X549" s="1665" t="n"/>
      <c r="Y549" s="1665" t="n"/>
      <c r="Z549" s="1665" t="n"/>
    </row>
    <row r="550" ht="15.75" customHeight="1" s="1666">
      <c r="K550" s="1665" t="n"/>
      <c r="L550" s="1665" t="n"/>
      <c r="M550" s="1665" t="n"/>
      <c r="N550" s="1665" t="n"/>
      <c r="O550" s="1665" t="n"/>
      <c r="P550" s="1665" t="n"/>
      <c r="Q550" s="1665" t="n"/>
      <c r="R550" s="1665" t="n"/>
      <c r="S550" s="1665" t="n"/>
      <c r="T550" s="1665" t="n"/>
      <c r="U550" s="1665" t="n"/>
      <c r="V550" s="1665" t="n"/>
      <c r="W550" s="1665" t="n"/>
      <c r="X550" s="1665" t="n"/>
      <c r="Y550" s="1665" t="n"/>
      <c r="Z550" s="1665" t="n"/>
    </row>
    <row r="551" ht="15.75" customHeight="1" s="1666">
      <c r="K551" s="1665" t="n"/>
      <c r="L551" s="1665" t="n"/>
      <c r="M551" s="1665" t="n"/>
      <c r="N551" s="1665" t="n"/>
      <c r="O551" s="1665" t="n"/>
      <c r="P551" s="1665" t="n"/>
      <c r="Q551" s="1665" t="n"/>
      <c r="R551" s="1665" t="n"/>
      <c r="S551" s="1665" t="n"/>
      <c r="T551" s="1665" t="n"/>
      <c r="U551" s="1665" t="n"/>
      <c r="V551" s="1665" t="n"/>
      <c r="W551" s="1665" t="n"/>
      <c r="X551" s="1665" t="n"/>
      <c r="Y551" s="1665" t="n"/>
      <c r="Z551" s="1665" t="n"/>
    </row>
    <row r="552" ht="15.75" customHeight="1" s="1666">
      <c r="K552" s="1665" t="n"/>
      <c r="L552" s="1665" t="n"/>
      <c r="M552" s="1665" t="n"/>
      <c r="N552" s="1665" t="n"/>
      <c r="O552" s="1665" t="n"/>
      <c r="P552" s="1665" t="n"/>
      <c r="Q552" s="1665" t="n"/>
      <c r="R552" s="1665" t="n"/>
      <c r="S552" s="1665" t="n"/>
      <c r="T552" s="1665" t="n"/>
      <c r="U552" s="1665" t="n"/>
      <c r="V552" s="1665" t="n"/>
      <c r="W552" s="1665" t="n"/>
      <c r="X552" s="1665" t="n"/>
      <c r="Y552" s="1665" t="n"/>
      <c r="Z552" s="1665" t="n"/>
    </row>
    <row r="553" ht="15.75" customHeight="1" s="1666">
      <c r="K553" s="1665" t="n"/>
      <c r="L553" s="1665" t="n"/>
      <c r="M553" s="1665" t="n"/>
      <c r="N553" s="1665" t="n"/>
      <c r="O553" s="1665" t="n"/>
      <c r="P553" s="1665" t="n"/>
      <c r="Q553" s="1665" t="n"/>
      <c r="R553" s="1665" t="n"/>
      <c r="S553" s="1665" t="n"/>
      <c r="T553" s="1665" t="n"/>
      <c r="U553" s="1665" t="n"/>
      <c r="V553" s="1665" t="n"/>
      <c r="W553" s="1665" t="n"/>
      <c r="X553" s="1665" t="n"/>
      <c r="Y553" s="1665" t="n"/>
      <c r="Z553" s="1665" t="n"/>
    </row>
    <row r="554" ht="15.75" customHeight="1" s="1666">
      <c r="K554" s="1665" t="n"/>
      <c r="L554" s="1665" t="n"/>
      <c r="M554" s="1665" t="n"/>
      <c r="N554" s="1665" t="n"/>
      <c r="O554" s="1665" t="n"/>
      <c r="P554" s="1665" t="n"/>
      <c r="Q554" s="1665" t="n"/>
      <c r="R554" s="1665" t="n"/>
      <c r="S554" s="1665" t="n"/>
      <c r="T554" s="1665" t="n"/>
      <c r="U554" s="1665" t="n"/>
      <c r="V554" s="1665" t="n"/>
      <c r="W554" s="1665" t="n"/>
      <c r="X554" s="1665" t="n"/>
      <c r="Y554" s="1665" t="n"/>
      <c r="Z554" s="1665" t="n"/>
    </row>
    <row r="555" ht="15.75" customHeight="1" s="1666">
      <c r="K555" s="1665" t="n"/>
      <c r="L555" s="1665" t="n"/>
      <c r="M555" s="1665" t="n"/>
      <c r="N555" s="1665" t="n"/>
      <c r="O555" s="1665" t="n"/>
      <c r="P555" s="1665" t="n"/>
      <c r="Q555" s="1665" t="n"/>
      <c r="R555" s="1665" t="n"/>
      <c r="S555" s="1665" t="n"/>
      <c r="T555" s="1665" t="n"/>
      <c r="U555" s="1665" t="n"/>
      <c r="V555" s="1665" t="n"/>
      <c r="W555" s="1665" t="n"/>
      <c r="X555" s="1665" t="n"/>
      <c r="Y555" s="1665" t="n"/>
      <c r="Z555" s="1665" t="n"/>
    </row>
    <row r="556" ht="15.75" customHeight="1" s="1666">
      <c r="K556" s="1665" t="n"/>
      <c r="L556" s="1665" t="n"/>
      <c r="M556" s="1665" t="n"/>
      <c r="N556" s="1665" t="n"/>
      <c r="O556" s="1665" t="n"/>
      <c r="P556" s="1665" t="n"/>
      <c r="Q556" s="1665" t="n"/>
      <c r="R556" s="1665" t="n"/>
      <c r="S556" s="1665" t="n"/>
      <c r="T556" s="1665" t="n"/>
      <c r="U556" s="1665" t="n"/>
      <c r="V556" s="1665" t="n"/>
      <c r="W556" s="1665" t="n"/>
      <c r="X556" s="1665" t="n"/>
      <c r="Y556" s="1665" t="n"/>
      <c r="Z556" s="1665" t="n"/>
    </row>
    <row r="557" ht="15.75" customHeight="1" s="1666">
      <c r="K557" s="1665" t="n"/>
      <c r="L557" s="1665" t="n"/>
      <c r="M557" s="1665" t="n"/>
      <c r="N557" s="1665" t="n"/>
      <c r="O557" s="1665" t="n"/>
      <c r="P557" s="1665" t="n"/>
      <c r="Q557" s="1665" t="n"/>
      <c r="R557" s="1665" t="n"/>
      <c r="S557" s="1665" t="n"/>
      <c r="T557" s="1665" t="n"/>
      <c r="U557" s="1665" t="n"/>
      <c r="V557" s="1665" t="n"/>
      <c r="W557" s="1665" t="n"/>
      <c r="X557" s="1665" t="n"/>
      <c r="Y557" s="1665" t="n"/>
      <c r="Z557" s="1665" t="n"/>
    </row>
    <row r="558" ht="15.75" customHeight="1" s="1666">
      <c r="K558" s="1665" t="n"/>
      <c r="L558" s="1665" t="n"/>
      <c r="M558" s="1665" t="n"/>
      <c r="N558" s="1665" t="n"/>
      <c r="O558" s="1665" t="n"/>
      <c r="P558" s="1665" t="n"/>
      <c r="Q558" s="1665" t="n"/>
      <c r="R558" s="1665" t="n"/>
      <c r="S558" s="1665" t="n"/>
      <c r="T558" s="1665" t="n"/>
      <c r="U558" s="1665" t="n"/>
      <c r="V558" s="1665" t="n"/>
      <c r="W558" s="1665" t="n"/>
      <c r="X558" s="1665" t="n"/>
      <c r="Y558" s="1665" t="n"/>
      <c r="Z558" s="1665" t="n"/>
    </row>
    <row r="559" ht="15.75" customHeight="1" s="1666">
      <c r="K559" s="1665" t="n"/>
      <c r="L559" s="1665" t="n"/>
      <c r="M559" s="1665" t="n"/>
      <c r="N559" s="1665" t="n"/>
      <c r="O559" s="1665" t="n"/>
      <c r="P559" s="1665" t="n"/>
      <c r="Q559" s="1665" t="n"/>
      <c r="R559" s="1665" t="n"/>
      <c r="S559" s="1665" t="n"/>
      <c r="T559" s="1665" t="n"/>
      <c r="U559" s="1665" t="n"/>
      <c r="V559" s="1665" t="n"/>
      <c r="W559" s="1665" t="n"/>
      <c r="X559" s="1665" t="n"/>
      <c r="Y559" s="1665" t="n"/>
      <c r="Z559" s="1665" t="n"/>
    </row>
    <row r="560" ht="15.75" customHeight="1" s="1666">
      <c r="K560" s="1665" t="n"/>
      <c r="L560" s="1665" t="n"/>
      <c r="M560" s="1665" t="n"/>
      <c r="N560" s="1665" t="n"/>
      <c r="O560" s="1665" t="n"/>
      <c r="P560" s="1665" t="n"/>
      <c r="Q560" s="1665" t="n"/>
      <c r="R560" s="1665" t="n"/>
      <c r="S560" s="1665" t="n"/>
      <c r="T560" s="1665" t="n"/>
      <c r="U560" s="1665" t="n"/>
      <c r="V560" s="1665" t="n"/>
      <c r="W560" s="1665" t="n"/>
      <c r="X560" s="1665" t="n"/>
      <c r="Y560" s="1665" t="n"/>
      <c r="Z560" s="1665" t="n"/>
    </row>
    <row r="561" ht="15.75" customHeight="1" s="1666">
      <c r="K561" s="1665" t="n"/>
      <c r="L561" s="1665" t="n"/>
      <c r="M561" s="1665" t="n"/>
      <c r="N561" s="1665" t="n"/>
      <c r="O561" s="1665" t="n"/>
      <c r="P561" s="1665" t="n"/>
      <c r="Q561" s="1665" t="n"/>
      <c r="R561" s="1665" t="n"/>
      <c r="S561" s="1665" t="n"/>
      <c r="T561" s="1665" t="n"/>
      <c r="U561" s="1665" t="n"/>
      <c r="V561" s="1665" t="n"/>
      <c r="W561" s="1665" t="n"/>
      <c r="X561" s="1665" t="n"/>
      <c r="Y561" s="1665" t="n"/>
      <c r="Z561" s="1665" t="n"/>
    </row>
    <row r="562" ht="15.75" customHeight="1" s="1666">
      <c r="K562" s="1665" t="n"/>
      <c r="L562" s="1665" t="n"/>
      <c r="M562" s="1665" t="n"/>
      <c r="N562" s="1665" t="n"/>
      <c r="O562" s="1665" t="n"/>
      <c r="P562" s="1665" t="n"/>
      <c r="Q562" s="1665" t="n"/>
      <c r="R562" s="1665" t="n"/>
      <c r="S562" s="1665" t="n"/>
      <c r="T562" s="1665" t="n"/>
      <c r="U562" s="1665" t="n"/>
      <c r="V562" s="1665" t="n"/>
      <c r="W562" s="1665" t="n"/>
      <c r="X562" s="1665" t="n"/>
      <c r="Y562" s="1665" t="n"/>
      <c r="Z562" s="1665" t="n"/>
    </row>
    <row r="563" ht="15.75" customHeight="1" s="1666">
      <c r="K563" s="1665" t="n"/>
      <c r="L563" s="1665" t="n"/>
      <c r="M563" s="1665" t="n"/>
      <c r="N563" s="1665" t="n"/>
      <c r="O563" s="1665" t="n"/>
      <c r="P563" s="1665" t="n"/>
      <c r="Q563" s="1665" t="n"/>
      <c r="R563" s="1665" t="n"/>
      <c r="S563" s="1665" t="n"/>
      <c r="T563" s="1665" t="n"/>
      <c r="U563" s="1665" t="n"/>
      <c r="V563" s="1665" t="n"/>
      <c r="W563" s="1665" t="n"/>
      <c r="X563" s="1665" t="n"/>
      <c r="Y563" s="1665" t="n"/>
      <c r="Z563" s="1665" t="n"/>
    </row>
    <row r="564" ht="15.75" customHeight="1" s="1666">
      <c r="K564" s="1665" t="n"/>
      <c r="L564" s="1665" t="n"/>
      <c r="M564" s="1665" t="n"/>
      <c r="N564" s="1665" t="n"/>
      <c r="O564" s="1665" t="n"/>
      <c r="P564" s="1665" t="n"/>
      <c r="Q564" s="1665" t="n"/>
      <c r="R564" s="1665" t="n"/>
      <c r="S564" s="1665" t="n"/>
      <c r="T564" s="1665" t="n"/>
      <c r="U564" s="1665" t="n"/>
      <c r="V564" s="1665" t="n"/>
      <c r="W564" s="1665" t="n"/>
      <c r="X564" s="1665" t="n"/>
      <c r="Y564" s="1665" t="n"/>
      <c r="Z564" s="1665" t="n"/>
    </row>
    <row r="565" ht="15.75" customHeight="1" s="1666">
      <c r="K565" s="1665" t="n"/>
      <c r="L565" s="1665" t="n"/>
      <c r="M565" s="1665" t="n"/>
      <c r="N565" s="1665" t="n"/>
      <c r="O565" s="1665" t="n"/>
      <c r="P565" s="1665" t="n"/>
      <c r="Q565" s="1665" t="n"/>
      <c r="R565" s="1665" t="n"/>
      <c r="S565" s="1665" t="n"/>
      <c r="T565" s="1665" t="n"/>
      <c r="U565" s="1665" t="n"/>
      <c r="V565" s="1665" t="n"/>
      <c r="W565" s="1665" t="n"/>
      <c r="X565" s="1665" t="n"/>
      <c r="Y565" s="1665" t="n"/>
      <c r="Z565" s="1665" t="n"/>
    </row>
    <row r="566" ht="15.75" customHeight="1" s="1666">
      <c r="K566" s="1665" t="n"/>
      <c r="L566" s="1665" t="n"/>
      <c r="M566" s="1665" t="n"/>
      <c r="N566" s="1665" t="n"/>
      <c r="O566" s="1665" t="n"/>
      <c r="P566" s="1665" t="n"/>
      <c r="Q566" s="1665" t="n"/>
      <c r="R566" s="1665" t="n"/>
      <c r="S566" s="1665" t="n"/>
      <c r="T566" s="1665" t="n"/>
      <c r="U566" s="1665" t="n"/>
      <c r="V566" s="1665" t="n"/>
      <c r="W566" s="1665" t="n"/>
      <c r="X566" s="1665" t="n"/>
      <c r="Y566" s="1665" t="n"/>
      <c r="Z566" s="1665" t="n"/>
    </row>
    <row r="567" ht="15.75" customHeight="1" s="1666">
      <c r="K567" s="1665" t="n"/>
      <c r="L567" s="1665" t="n"/>
      <c r="M567" s="1665" t="n"/>
      <c r="N567" s="1665" t="n"/>
      <c r="O567" s="1665" t="n"/>
      <c r="P567" s="1665" t="n"/>
      <c r="Q567" s="1665" t="n"/>
      <c r="R567" s="1665" t="n"/>
      <c r="S567" s="1665" t="n"/>
      <c r="T567" s="1665" t="n"/>
      <c r="U567" s="1665" t="n"/>
      <c r="V567" s="1665" t="n"/>
      <c r="W567" s="1665" t="n"/>
      <c r="X567" s="1665" t="n"/>
      <c r="Y567" s="1665" t="n"/>
      <c r="Z567" s="1665" t="n"/>
    </row>
    <row r="568" ht="15.75" customHeight="1" s="1666">
      <c r="K568" s="1665" t="n"/>
      <c r="L568" s="1665" t="n"/>
      <c r="M568" s="1665" t="n"/>
      <c r="N568" s="1665" t="n"/>
      <c r="O568" s="1665" t="n"/>
      <c r="P568" s="1665" t="n"/>
      <c r="Q568" s="1665" t="n"/>
      <c r="R568" s="1665" t="n"/>
      <c r="S568" s="1665" t="n"/>
      <c r="T568" s="1665" t="n"/>
      <c r="U568" s="1665" t="n"/>
      <c r="V568" s="1665" t="n"/>
      <c r="W568" s="1665" t="n"/>
      <c r="X568" s="1665" t="n"/>
      <c r="Y568" s="1665" t="n"/>
      <c r="Z568" s="1665" t="n"/>
    </row>
    <row r="569" ht="15.75" customHeight="1" s="1666">
      <c r="K569" s="1665" t="n"/>
      <c r="L569" s="1665" t="n"/>
      <c r="M569" s="1665" t="n"/>
      <c r="N569" s="1665" t="n"/>
      <c r="O569" s="1665" t="n"/>
      <c r="P569" s="1665" t="n"/>
      <c r="Q569" s="1665" t="n"/>
      <c r="R569" s="1665" t="n"/>
      <c r="S569" s="1665" t="n"/>
      <c r="T569" s="1665" t="n"/>
      <c r="U569" s="1665" t="n"/>
      <c r="V569" s="1665" t="n"/>
      <c r="W569" s="1665" t="n"/>
      <c r="X569" s="1665" t="n"/>
      <c r="Y569" s="1665" t="n"/>
      <c r="Z569" s="1665" t="n"/>
    </row>
    <row r="570" ht="15.75" customHeight="1" s="1666">
      <c r="K570" s="1665" t="n"/>
      <c r="L570" s="1665" t="n"/>
      <c r="M570" s="1665" t="n"/>
      <c r="N570" s="1665" t="n"/>
      <c r="O570" s="1665" t="n"/>
      <c r="P570" s="1665" t="n"/>
      <c r="Q570" s="1665" t="n"/>
      <c r="R570" s="1665" t="n"/>
      <c r="S570" s="1665" t="n"/>
      <c r="T570" s="1665" t="n"/>
      <c r="U570" s="1665" t="n"/>
      <c r="V570" s="1665" t="n"/>
      <c r="W570" s="1665" t="n"/>
      <c r="X570" s="1665" t="n"/>
      <c r="Y570" s="1665" t="n"/>
      <c r="Z570" s="1665" t="n"/>
    </row>
    <row r="571" ht="15.75" customHeight="1" s="1666">
      <c r="K571" s="1665" t="n"/>
      <c r="L571" s="1665" t="n"/>
      <c r="M571" s="1665" t="n"/>
      <c r="N571" s="1665" t="n"/>
      <c r="O571" s="1665" t="n"/>
      <c r="P571" s="1665" t="n"/>
      <c r="Q571" s="1665" t="n"/>
      <c r="R571" s="1665" t="n"/>
      <c r="S571" s="1665" t="n"/>
      <c r="T571" s="1665" t="n"/>
      <c r="U571" s="1665" t="n"/>
      <c r="V571" s="1665" t="n"/>
      <c r="W571" s="1665" t="n"/>
      <c r="X571" s="1665" t="n"/>
      <c r="Y571" s="1665" t="n"/>
      <c r="Z571" s="1665" t="n"/>
    </row>
    <row r="572" ht="15.75" customHeight="1" s="1666">
      <c r="K572" s="1665" t="n"/>
      <c r="L572" s="1665" t="n"/>
      <c r="M572" s="1665" t="n"/>
      <c r="N572" s="1665" t="n"/>
      <c r="O572" s="1665" t="n"/>
      <c r="P572" s="1665" t="n"/>
      <c r="Q572" s="1665" t="n"/>
      <c r="R572" s="1665" t="n"/>
      <c r="S572" s="1665" t="n"/>
      <c r="T572" s="1665" t="n"/>
      <c r="U572" s="1665" t="n"/>
      <c r="V572" s="1665" t="n"/>
      <c r="W572" s="1665" t="n"/>
      <c r="X572" s="1665" t="n"/>
      <c r="Y572" s="1665" t="n"/>
      <c r="Z572" s="1665" t="n"/>
    </row>
    <row r="573" ht="15.75" customHeight="1" s="1666">
      <c r="K573" s="1665" t="n"/>
      <c r="L573" s="1665" t="n"/>
      <c r="M573" s="1665" t="n"/>
      <c r="N573" s="1665" t="n"/>
      <c r="O573" s="1665" t="n"/>
      <c r="P573" s="1665" t="n"/>
      <c r="Q573" s="1665" t="n"/>
      <c r="R573" s="1665" t="n"/>
      <c r="S573" s="1665" t="n"/>
      <c r="T573" s="1665" t="n"/>
      <c r="U573" s="1665" t="n"/>
      <c r="V573" s="1665" t="n"/>
      <c r="W573" s="1665" t="n"/>
      <c r="X573" s="1665" t="n"/>
      <c r="Y573" s="1665" t="n"/>
      <c r="Z573" s="1665" t="n"/>
    </row>
    <row r="574" ht="15.75" customHeight="1" s="1666">
      <c r="K574" s="1665" t="n"/>
      <c r="L574" s="1665" t="n"/>
      <c r="M574" s="1665" t="n"/>
      <c r="N574" s="1665" t="n"/>
      <c r="O574" s="1665" t="n"/>
      <c r="P574" s="1665" t="n"/>
      <c r="Q574" s="1665" t="n"/>
      <c r="R574" s="1665" t="n"/>
      <c r="S574" s="1665" t="n"/>
      <c r="T574" s="1665" t="n"/>
      <c r="U574" s="1665" t="n"/>
      <c r="V574" s="1665" t="n"/>
      <c r="W574" s="1665" t="n"/>
      <c r="X574" s="1665" t="n"/>
      <c r="Y574" s="1665" t="n"/>
      <c r="Z574" s="1665" t="n"/>
    </row>
    <row r="575" ht="15.75" customHeight="1" s="1666">
      <c r="K575" s="1665" t="n"/>
      <c r="L575" s="1665" t="n"/>
      <c r="M575" s="1665" t="n"/>
      <c r="N575" s="1665" t="n"/>
      <c r="O575" s="1665" t="n"/>
      <c r="P575" s="1665" t="n"/>
      <c r="Q575" s="1665" t="n"/>
      <c r="R575" s="1665" t="n"/>
      <c r="S575" s="1665" t="n"/>
      <c r="T575" s="1665" t="n"/>
      <c r="U575" s="1665" t="n"/>
      <c r="V575" s="1665" t="n"/>
      <c r="W575" s="1665" t="n"/>
      <c r="X575" s="1665" t="n"/>
      <c r="Y575" s="1665" t="n"/>
      <c r="Z575" s="1665" t="n"/>
    </row>
    <row r="576" ht="15.75" customHeight="1" s="1666">
      <c r="K576" s="1665" t="n"/>
      <c r="L576" s="1665" t="n"/>
      <c r="M576" s="1665" t="n"/>
      <c r="N576" s="1665" t="n"/>
      <c r="O576" s="1665" t="n"/>
      <c r="P576" s="1665" t="n"/>
      <c r="Q576" s="1665" t="n"/>
      <c r="R576" s="1665" t="n"/>
      <c r="S576" s="1665" t="n"/>
      <c r="T576" s="1665" t="n"/>
      <c r="U576" s="1665" t="n"/>
      <c r="V576" s="1665" t="n"/>
      <c r="W576" s="1665" t="n"/>
      <c r="X576" s="1665" t="n"/>
      <c r="Y576" s="1665" t="n"/>
      <c r="Z576" s="1665" t="n"/>
    </row>
    <row r="577" ht="15.75" customHeight="1" s="1666">
      <c r="K577" s="1665" t="n"/>
      <c r="L577" s="1665" t="n"/>
      <c r="M577" s="1665" t="n"/>
      <c r="N577" s="1665" t="n"/>
      <c r="O577" s="1665" t="n"/>
      <c r="P577" s="1665" t="n"/>
      <c r="Q577" s="1665" t="n"/>
      <c r="R577" s="1665" t="n"/>
      <c r="S577" s="1665" t="n"/>
      <c r="T577" s="1665" t="n"/>
      <c r="U577" s="1665" t="n"/>
      <c r="V577" s="1665" t="n"/>
      <c r="W577" s="1665" t="n"/>
      <c r="X577" s="1665" t="n"/>
      <c r="Y577" s="1665" t="n"/>
      <c r="Z577" s="1665" t="n"/>
    </row>
    <row r="578" ht="15.75" customHeight="1" s="1666">
      <c r="K578" s="1665" t="n"/>
      <c r="L578" s="1665" t="n"/>
      <c r="M578" s="1665" t="n"/>
      <c r="N578" s="1665" t="n"/>
      <c r="O578" s="1665" t="n"/>
      <c r="P578" s="1665" t="n"/>
      <c r="Q578" s="1665" t="n"/>
      <c r="R578" s="1665" t="n"/>
      <c r="S578" s="1665" t="n"/>
      <c r="T578" s="1665" t="n"/>
      <c r="U578" s="1665" t="n"/>
      <c r="V578" s="1665" t="n"/>
      <c r="W578" s="1665" t="n"/>
      <c r="X578" s="1665" t="n"/>
      <c r="Y578" s="1665" t="n"/>
      <c r="Z578" s="1665" t="n"/>
    </row>
    <row r="579" ht="15.75" customHeight="1" s="1666">
      <c r="K579" s="1665" t="n"/>
      <c r="L579" s="1665" t="n"/>
      <c r="M579" s="1665" t="n"/>
      <c r="N579" s="1665" t="n"/>
      <c r="O579" s="1665" t="n"/>
      <c r="P579" s="1665" t="n"/>
      <c r="Q579" s="1665" t="n"/>
      <c r="R579" s="1665" t="n"/>
      <c r="S579" s="1665" t="n"/>
      <c r="T579" s="1665" t="n"/>
      <c r="U579" s="1665" t="n"/>
      <c r="V579" s="1665" t="n"/>
      <c r="W579" s="1665" t="n"/>
      <c r="X579" s="1665" t="n"/>
      <c r="Y579" s="1665" t="n"/>
      <c r="Z579" s="1665" t="n"/>
    </row>
    <row r="580" ht="15.75" customHeight="1" s="1666">
      <c r="K580" s="1665" t="n"/>
      <c r="L580" s="1665" t="n"/>
      <c r="M580" s="1665" t="n"/>
      <c r="N580" s="1665" t="n"/>
      <c r="O580" s="1665" t="n"/>
      <c r="P580" s="1665" t="n"/>
      <c r="Q580" s="1665" t="n"/>
      <c r="R580" s="1665" t="n"/>
      <c r="S580" s="1665" t="n"/>
      <c r="T580" s="1665" t="n"/>
      <c r="U580" s="1665" t="n"/>
      <c r="V580" s="1665" t="n"/>
      <c r="W580" s="1665" t="n"/>
      <c r="X580" s="1665" t="n"/>
      <c r="Y580" s="1665" t="n"/>
      <c r="Z580" s="1665" t="n"/>
    </row>
    <row r="581" ht="15.75" customHeight="1" s="1666">
      <c r="K581" s="1665" t="n"/>
      <c r="L581" s="1665" t="n"/>
      <c r="M581" s="1665" t="n"/>
      <c r="N581" s="1665" t="n"/>
      <c r="O581" s="1665" t="n"/>
      <c r="P581" s="1665" t="n"/>
      <c r="Q581" s="1665" t="n"/>
      <c r="R581" s="1665" t="n"/>
      <c r="S581" s="1665" t="n"/>
      <c r="T581" s="1665" t="n"/>
      <c r="U581" s="1665" t="n"/>
      <c r="V581" s="1665" t="n"/>
      <c r="W581" s="1665" t="n"/>
      <c r="X581" s="1665" t="n"/>
      <c r="Y581" s="1665" t="n"/>
      <c r="Z581" s="1665" t="n"/>
    </row>
    <row r="582" ht="15.75" customHeight="1" s="1666">
      <c r="K582" s="1665" t="n"/>
      <c r="L582" s="1665" t="n"/>
      <c r="M582" s="1665" t="n"/>
      <c r="N582" s="1665" t="n"/>
      <c r="O582" s="1665" t="n"/>
      <c r="P582" s="1665" t="n"/>
      <c r="Q582" s="1665" t="n"/>
      <c r="R582" s="1665" t="n"/>
      <c r="S582" s="1665" t="n"/>
      <c r="T582" s="1665" t="n"/>
      <c r="U582" s="1665" t="n"/>
      <c r="V582" s="1665" t="n"/>
      <c r="W582" s="1665" t="n"/>
      <c r="X582" s="1665" t="n"/>
      <c r="Y582" s="1665" t="n"/>
      <c r="Z582" s="1665" t="n"/>
    </row>
    <row r="583" ht="15.75" customHeight="1" s="1666">
      <c r="K583" s="1665" t="n"/>
      <c r="L583" s="1665" t="n"/>
      <c r="M583" s="1665" t="n"/>
      <c r="N583" s="1665" t="n"/>
      <c r="O583" s="1665" t="n"/>
      <c r="P583" s="1665" t="n"/>
      <c r="Q583" s="1665" t="n"/>
      <c r="R583" s="1665" t="n"/>
      <c r="S583" s="1665" t="n"/>
      <c r="T583" s="1665" t="n"/>
      <c r="U583" s="1665" t="n"/>
      <c r="V583" s="1665" t="n"/>
      <c r="W583" s="1665" t="n"/>
      <c r="X583" s="1665" t="n"/>
      <c r="Y583" s="1665" t="n"/>
      <c r="Z583" s="1665" t="n"/>
    </row>
    <row r="584" ht="15.75" customHeight="1" s="1666">
      <c r="K584" s="1665" t="n"/>
      <c r="L584" s="1665" t="n"/>
      <c r="M584" s="1665" t="n"/>
      <c r="N584" s="1665" t="n"/>
      <c r="O584" s="1665" t="n"/>
      <c r="P584" s="1665" t="n"/>
      <c r="Q584" s="1665" t="n"/>
      <c r="R584" s="1665" t="n"/>
      <c r="S584" s="1665" t="n"/>
      <c r="T584" s="1665" t="n"/>
      <c r="U584" s="1665" t="n"/>
      <c r="V584" s="1665" t="n"/>
      <c r="W584" s="1665" t="n"/>
      <c r="X584" s="1665" t="n"/>
      <c r="Y584" s="1665" t="n"/>
      <c r="Z584" s="1665" t="n"/>
    </row>
    <row r="585" ht="15.75" customHeight="1" s="1666">
      <c r="K585" s="1665" t="n"/>
      <c r="L585" s="1665" t="n"/>
      <c r="M585" s="1665" t="n"/>
      <c r="N585" s="1665" t="n"/>
      <c r="O585" s="1665" t="n"/>
      <c r="P585" s="1665" t="n"/>
      <c r="Q585" s="1665" t="n"/>
      <c r="R585" s="1665" t="n"/>
      <c r="S585" s="1665" t="n"/>
      <c r="T585" s="1665" t="n"/>
      <c r="U585" s="1665" t="n"/>
      <c r="V585" s="1665" t="n"/>
      <c r="W585" s="1665" t="n"/>
      <c r="X585" s="1665" t="n"/>
      <c r="Y585" s="1665" t="n"/>
      <c r="Z585" s="1665" t="n"/>
    </row>
    <row r="586" ht="15.75" customHeight="1" s="1666">
      <c r="K586" s="1665" t="n"/>
      <c r="L586" s="1665" t="n"/>
      <c r="M586" s="1665" t="n"/>
      <c r="N586" s="1665" t="n"/>
      <c r="O586" s="1665" t="n"/>
      <c r="P586" s="1665" t="n"/>
      <c r="Q586" s="1665" t="n"/>
      <c r="R586" s="1665" t="n"/>
      <c r="S586" s="1665" t="n"/>
      <c r="T586" s="1665" t="n"/>
      <c r="U586" s="1665" t="n"/>
      <c r="V586" s="1665" t="n"/>
      <c r="W586" s="1665" t="n"/>
      <c r="X586" s="1665" t="n"/>
      <c r="Y586" s="1665" t="n"/>
      <c r="Z586" s="1665" t="n"/>
    </row>
    <row r="587" ht="15.75" customHeight="1" s="1666">
      <c r="K587" s="1665" t="n"/>
      <c r="L587" s="1665" t="n"/>
      <c r="M587" s="1665" t="n"/>
      <c r="N587" s="1665" t="n"/>
      <c r="O587" s="1665" t="n"/>
      <c r="P587" s="1665" t="n"/>
      <c r="Q587" s="1665" t="n"/>
      <c r="R587" s="1665" t="n"/>
      <c r="S587" s="1665" t="n"/>
      <c r="T587" s="1665" t="n"/>
      <c r="U587" s="1665" t="n"/>
      <c r="V587" s="1665" t="n"/>
      <c r="W587" s="1665" t="n"/>
      <c r="X587" s="1665" t="n"/>
      <c r="Y587" s="1665" t="n"/>
      <c r="Z587" s="1665" t="n"/>
    </row>
    <row r="588" ht="15.75" customHeight="1" s="1666">
      <c r="K588" s="1665" t="n"/>
      <c r="L588" s="1665" t="n"/>
      <c r="M588" s="1665" t="n"/>
      <c r="N588" s="1665" t="n"/>
      <c r="O588" s="1665" t="n"/>
      <c r="P588" s="1665" t="n"/>
      <c r="Q588" s="1665" t="n"/>
      <c r="R588" s="1665" t="n"/>
      <c r="S588" s="1665" t="n"/>
      <c r="T588" s="1665" t="n"/>
      <c r="U588" s="1665" t="n"/>
      <c r="V588" s="1665" t="n"/>
      <c r="W588" s="1665" t="n"/>
      <c r="X588" s="1665" t="n"/>
      <c r="Y588" s="1665" t="n"/>
      <c r="Z588" s="1665" t="n"/>
    </row>
    <row r="589" ht="15.75" customHeight="1" s="1666">
      <c r="K589" s="1665" t="n"/>
      <c r="L589" s="1665" t="n"/>
      <c r="M589" s="1665" t="n"/>
      <c r="N589" s="1665" t="n"/>
      <c r="O589" s="1665" t="n"/>
      <c r="P589" s="1665" t="n"/>
      <c r="Q589" s="1665" t="n"/>
      <c r="R589" s="1665" t="n"/>
      <c r="S589" s="1665" t="n"/>
      <c r="T589" s="1665" t="n"/>
      <c r="U589" s="1665" t="n"/>
      <c r="V589" s="1665" t="n"/>
      <c r="W589" s="1665" t="n"/>
      <c r="X589" s="1665" t="n"/>
      <c r="Y589" s="1665" t="n"/>
      <c r="Z589" s="1665" t="n"/>
    </row>
    <row r="590" ht="15.75" customHeight="1" s="1666">
      <c r="K590" s="1665" t="n"/>
      <c r="L590" s="1665" t="n"/>
      <c r="M590" s="1665" t="n"/>
      <c r="N590" s="1665" t="n"/>
      <c r="O590" s="1665" t="n"/>
      <c r="P590" s="1665" t="n"/>
      <c r="Q590" s="1665" t="n"/>
      <c r="R590" s="1665" t="n"/>
      <c r="S590" s="1665" t="n"/>
      <c r="T590" s="1665" t="n"/>
      <c r="U590" s="1665" t="n"/>
      <c r="V590" s="1665" t="n"/>
      <c r="W590" s="1665" t="n"/>
      <c r="X590" s="1665" t="n"/>
      <c r="Y590" s="1665" t="n"/>
      <c r="Z590" s="1665" t="n"/>
    </row>
    <row r="591" ht="15.75" customHeight="1" s="1666">
      <c r="K591" s="1665" t="n"/>
      <c r="L591" s="1665" t="n"/>
      <c r="M591" s="1665" t="n"/>
      <c r="N591" s="1665" t="n"/>
      <c r="O591" s="1665" t="n"/>
      <c r="P591" s="1665" t="n"/>
      <c r="Q591" s="1665" t="n"/>
      <c r="R591" s="1665" t="n"/>
      <c r="S591" s="1665" t="n"/>
      <c r="T591" s="1665" t="n"/>
      <c r="U591" s="1665" t="n"/>
      <c r="V591" s="1665" t="n"/>
      <c r="W591" s="1665" t="n"/>
      <c r="X591" s="1665" t="n"/>
      <c r="Y591" s="1665" t="n"/>
      <c r="Z591" s="1665" t="n"/>
    </row>
    <row r="592" ht="15.75" customHeight="1" s="1666">
      <c r="K592" s="1665" t="n"/>
      <c r="L592" s="1665" t="n"/>
      <c r="M592" s="1665" t="n"/>
      <c r="N592" s="1665" t="n"/>
      <c r="O592" s="1665" t="n"/>
      <c r="P592" s="1665" t="n"/>
      <c r="Q592" s="1665" t="n"/>
      <c r="R592" s="1665" t="n"/>
      <c r="S592" s="1665" t="n"/>
      <c r="T592" s="1665" t="n"/>
      <c r="U592" s="1665" t="n"/>
      <c r="V592" s="1665" t="n"/>
      <c r="W592" s="1665" t="n"/>
      <c r="X592" s="1665" t="n"/>
      <c r="Y592" s="1665" t="n"/>
      <c r="Z592" s="1665" t="n"/>
    </row>
    <row r="593" ht="15.75" customHeight="1" s="1666">
      <c r="K593" s="1665" t="n"/>
      <c r="L593" s="1665" t="n"/>
      <c r="M593" s="1665" t="n"/>
      <c r="N593" s="1665" t="n"/>
      <c r="O593" s="1665" t="n"/>
      <c r="P593" s="1665" t="n"/>
      <c r="Q593" s="1665" t="n"/>
      <c r="R593" s="1665" t="n"/>
      <c r="S593" s="1665" t="n"/>
      <c r="T593" s="1665" t="n"/>
      <c r="U593" s="1665" t="n"/>
      <c r="V593" s="1665" t="n"/>
      <c r="W593" s="1665" t="n"/>
      <c r="X593" s="1665" t="n"/>
      <c r="Y593" s="1665" t="n"/>
      <c r="Z593" s="1665" t="n"/>
    </row>
    <row r="594" ht="15.75" customHeight="1" s="1666">
      <c r="K594" s="1665" t="n"/>
      <c r="L594" s="1665" t="n"/>
      <c r="M594" s="1665" t="n"/>
      <c r="N594" s="1665" t="n"/>
      <c r="O594" s="1665" t="n"/>
      <c r="P594" s="1665" t="n"/>
      <c r="Q594" s="1665" t="n"/>
      <c r="R594" s="1665" t="n"/>
      <c r="S594" s="1665" t="n"/>
      <c r="T594" s="1665" t="n"/>
      <c r="U594" s="1665" t="n"/>
      <c r="V594" s="1665" t="n"/>
      <c r="W594" s="1665" t="n"/>
      <c r="X594" s="1665" t="n"/>
      <c r="Y594" s="1665" t="n"/>
      <c r="Z594" s="1665" t="n"/>
    </row>
    <row r="595" ht="15.75" customHeight="1" s="1666">
      <c r="K595" s="1665" t="n"/>
      <c r="L595" s="1665" t="n"/>
      <c r="M595" s="1665" t="n"/>
      <c r="N595" s="1665" t="n"/>
      <c r="O595" s="1665" t="n"/>
      <c r="P595" s="1665" t="n"/>
      <c r="Q595" s="1665" t="n"/>
      <c r="R595" s="1665" t="n"/>
      <c r="S595" s="1665" t="n"/>
      <c r="T595" s="1665" t="n"/>
      <c r="U595" s="1665" t="n"/>
      <c r="V595" s="1665" t="n"/>
      <c r="W595" s="1665" t="n"/>
      <c r="X595" s="1665" t="n"/>
      <c r="Y595" s="1665" t="n"/>
      <c r="Z595" s="1665" t="n"/>
    </row>
    <row r="596" ht="15.75" customHeight="1" s="1666">
      <c r="K596" s="1665" t="n"/>
      <c r="L596" s="1665" t="n"/>
      <c r="M596" s="1665" t="n"/>
      <c r="N596" s="1665" t="n"/>
      <c r="O596" s="1665" t="n"/>
      <c r="P596" s="1665" t="n"/>
      <c r="Q596" s="1665" t="n"/>
      <c r="R596" s="1665" t="n"/>
      <c r="S596" s="1665" t="n"/>
      <c r="T596" s="1665" t="n"/>
      <c r="U596" s="1665" t="n"/>
      <c r="V596" s="1665" t="n"/>
      <c r="W596" s="1665" t="n"/>
      <c r="X596" s="1665" t="n"/>
      <c r="Y596" s="1665" t="n"/>
      <c r="Z596" s="1665" t="n"/>
    </row>
    <row r="597" ht="15.75" customHeight="1" s="1666">
      <c r="K597" s="1665" t="n"/>
      <c r="L597" s="1665" t="n"/>
      <c r="M597" s="1665" t="n"/>
      <c r="N597" s="1665" t="n"/>
      <c r="O597" s="1665" t="n"/>
      <c r="P597" s="1665" t="n"/>
      <c r="Q597" s="1665" t="n"/>
      <c r="R597" s="1665" t="n"/>
      <c r="S597" s="1665" t="n"/>
      <c r="T597" s="1665" t="n"/>
      <c r="U597" s="1665" t="n"/>
      <c r="V597" s="1665" t="n"/>
      <c r="W597" s="1665" t="n"/>
      <c r="X597" s="1665" t="n"/>
      <c r="Y597" s="1665" t="n"/>
      <c r="Z597" s="1665" t="n"/>
    </row>
    <row r="598" ht="15.75" customHeight="1" s="1666">
      <c r="K598" s="1665" t="n"/>
      <c r="L598" s="1665" t="n"/>
      <c r="M598" s="1665" t="n"/>
      <c r="N598" s="1665" t="n"/>
      <c r="O598" s="1665" t="n"/>
      <c r="P598" s="1665" t="n"/>
      <c r="Q598" s="1665" t="n"/>
      <c r="R598" s="1665" t="n"/>
      <c r="S598" s="1665" t="n"/>
      <c r="T598" s="1665" t="n"/>
      <c r="U598" s="1665" t="n"/>
      <c r="V598" s="1665" t="n"/>
      <c r="W598" s="1665" t="n"/>
      <c r="X598" s="1665" t="n"/>
      <c r="Y598" s="1665" t="n"/>
      <c r="Z598" s="1665" t="n"/>
    </row>
    <row r="599" ht="15.75" customHeight="1" s="1666">
      <c r="K599" s="1665" t="n"/>
      <c r="L599" s="1665" t="n"/>
      <c r="M599" s="1665" t="n"/>
      <c r="N599" s="1665" t="n"/>
      <c r="O599" s="1665" t="n"/>
      <c r="P599" s="1665" t="n"/>
      <c r="Q599" s="1665" t="n"/>
      <c r="R599" s="1665" t="n"/>
      <c r="S599" s="1665" t="n"/>
      <c r="T599" s="1665" t="n"/>
      <c r="U599" s="1665" t="n"/>
      <c r="V599" s="1665" t="n"/>
      <c r="W599" s="1665" t="n"/>
      <c r="X599" s="1665" t="n"/>
      <c r="Y599" s="1665" t="n"/>
      <c r="Z599" s="1665" t="n"/>
    </row>
    <row r="600" ht="15.75" customHeight="1" s="1666">
      <c r="K600" s="1665" t="n"/>
      <c r="L600" s="1665" t="n"/>
      <c r="M600" s="1665" t="n"/>
      <c r="N600" s="1665" t="n"/>
      <c r="O600" s="1665" t="n"/>
      <c r="P600" s="1665" t="n"/>
      <c r="Q600" s="1665" t="n"/>
      <c r="R600" s="1665" t="n"/>
      <c r="S600" s="1665" t="n"/>
      <c r="T600" s="1665" t="n"/>
      <c r="U600" s="1665" t="n"/>
      <c r="V600" s="1665" t="n"/>
      <c r="W600" s="1665" t="n"/>
      <c r="X600" s="1665" t="n"/>
      <c r="Y600" s="1665" t="n"/>
      <c r="Z600" s="1665" t="n"/>
    </row>
    <row r="601" ht="15.75" customHeight="1" s="1666">
      <c r="K601" s="1665" t="n"/>
      <c r="L601" s="1665" t="n"/>
      <c r="M601" s="1665" t="n"/>
      <c r="N601" s="1665" t="n"/>
      <c r="O601" s="1665" t="n"/>
      <c r="P601" s="1665" t="n"/>
      <c r="Q601" s="1665" t="n"/>
      <c r="R601" s="1665" t="n"/>
      <c r="S601" s="1665" t="n"/>
      <c r="T601" s="1665" t="n"/>
      <c r="U601" s="1665" t="n"/>
      <c r="V601" s="1665" t="n"/>
      <c r="W601" s="1665" t="n"/>
      <c r="X601" s="1665" t="n"/>
      <c r="Y601" s="1665" t="n"/>
      <c r="Z601" s="1665" t="n"/>
    </row>
    <row r="602" ht="15.75" customHeight="1" s="1666">
      <c r="K602" s="1665" t="n"/>
      <c r="L602" s="1665" t="n"/>
      <c r="M602" s="1665" t="n"/>
      <c r="N602" s="1665" t="n"/>
      <c r="O602" s="1665" t="n"/>
      <c r="P602" s="1665" t="n"/>
      <c r="Q602" s="1665" t="n"/>
      <c r="R602" s="1665" t="n"/>
      <c r="S602" s="1665" t="n"/>
      <c r="T602" s="1665" t="n"/>
      <c r="U602" s="1665" t="n"/>
      <c r="V602" s="1665" t="n"/>
      <c r="W602" s="1665" t="n"/>
      <c r="X602" s="1665" t="n"/>
      <c r="Y602" s="1665" t="n"/>
      <c r="Z602" s="1665" t="n"/>
    </row>
    <row r="603" ht="15.75" customHeight="1" s="1666">
      <c r="K603" s="1665" t="n"/>
      <c r="L603" s="1665" t="n"/>
      <c r="M603" s="1665" t="n"/>
      <c r="N603" s="1665" t="n"/>
      <c r="O603" s="1665" t="n"/>
      <c r="P603" s="1665" t="n"/>
      <c r="Q603" s="1665" t="n"/>
      <c r="R603" s="1665" t="n"/>
      <c r="S603" s="1665" t="n"/>
      <c r="T603" s="1665" t="n"/>
      <c r="U603" s="1665" t="n"/>
      <c r="V603" s="1665" t="n"/>
      <c r="W603" s="1665" t="n"/>
      <c r="X603" s="1665" t="n"/>
      <c r="Y603" s="1665" t="n"/>
      <c r="Z603" s="1665" t="n"/>
    </row>
    <row r="604" ht="15.75" customHeight="1" s="1666">
      <c r="K604" s="1665" t="n"/>
      <c r="L604" s="1665" t="n"/>
      <c r="M604" s="1665" t="n"/>
      <c r="N604" s="1665" t="n"/>
      <c r="O604" s="1665" t="n"/>
      <c r="P604" s="1665" t="n"/>
      <c r="Q604" s="1665" t="n"/>
      <c r="R604" s="1665" t="n"/>
      <c r="S604" s="1665" t="n"/>
      <c r="T604" s="1665" t="n"/>
      <c r="U604" s="1665" t="n"/>
      <c r="V604" s="1665" t="n"/>
      <c r="W604" s="1665" t="n"/>
      <c r="X604" s="1665" t="n"/>
      <c r="Y604" s="1665" t="n"/>
      <c r="Z604" s="1665" t="n"/>
    </row>
    <row r="605" ht="15.75" customHeight="1" s="1666">
      <c r="K605" s="1665" t="n"/>
      <c r="L605" s="1665" t="n"/>
      <c r="M605" s="1665" t="n"/>
      <c r="N605" s="1665" t="n"/>
      <c r="O605" s="1665" t="n"/>
      <c r="P605" s="1665" t="n"/>
      <c r="Q605" s="1665" t="n"/>
      <c r="R605" s="1665" t="n"/>
      <c r="S605" s="1665" t="n"/>
      <c r="T605" s="1665" t="n"/>
      <c r="U605" s="1665" t="n"/>
      <c r="V605" s="1665" t="n"/>
      <c r="W605" s="1665" t="n"/>
      <c r="X605" s="1665" t="n"/>
      <c r="Y605" s="1665" t="n"/>
      <c r="Z605" s="1665" t="n"/>
    </row>
    <row r="606" ht="15.75" customHeight="1" s="1666">
      <c r="K606" s="1665" t="n"/>
      <c r="L606" s="1665" t="n"/>
      <c r="M606" s="1665" t="n"/>
      <c r="N606" s="1665" t="n"/>
      <c r="O606" s="1665" t="n"/>
      <c r="P606" s="1665" t="n"/>
      <c r="Q606" s="1665" t="n"/>
      <c r="R606" s="1665" t="n"/>
      <c r="S606" s="1665" t="n"/>
      <c r="T606" s="1665" t="n"/>
      <c r="U606" s="1665" t="n"/>
      <c r="V606" s="1665" t="n"/>
      <c r="W606" s="1665" t="n"/>
      <c r="X606" s="1665" t="n"/>
      <c r="Y606" s="1665" t="n"/>
      <c r="Z606" s="1665" t="n"/>
    </row>
    <row r="607" ht="15.75" customHeight="1" s="1666">
      <c r="K607" s="1665" t="n"/>
      <c r="L607" s="1665" t="n"/>
      <c r="M607" s="1665" t="n"/>
      <c r="N607" s="1665" t="n"/>
      <c r="O607" s="1665" t="n"/>
      <c r="P607" s="1665" t="n"/>
      <c r="Q607" s="1665" t="n"/>
      <c r="R607" s="1665" t="n"/>
      <c r="S607" s="1665" t="n"/>
      <c r="T607" s="1665" t="n"/>
      <c r="U607" s="1665" t="n"/>
      <c r="V607" s="1665" t="n"/>
      <c r="W607" s="1665" t="n"/>
      <c r="X607" s="1665" t="n"/>
      <c r="Y607" s="1665" t="n"/>
      <c r="Z607" s="1665" t="n"/>
    </row>
    <row r="608" ht="15.75" customHeight="1" s="1666">
      <c r="K608" s="1665" t="n"/>
      <c r="L608" s="1665" t="n"/>
      <c r="M608" s="1665" t="n"/>
      <c r="N608" s="1665" t="n"/>
      <c r="O608" s="1665" t="n"/>
      <c r="P608" s="1665" t="n"/>
      <c r="Q608" s="1665" t="n"/>
      <c r="R608" s="1665" t="n"/>
      <c r="S608" s="1665" t="n"/>
      <c r="T608" s="1665" t="n"/>
      <c r="U608" s="1665" t="n"/>
      <c r="V608" s="1665" t="n"/>
      <c r="W608" s="1665" t="n"/>
      <c r="X608" s="1665" t="n"/>
      <c r="Y608" s="1665" t="n"/>
      <c r="Z608" s="1665" t="n"/>
    </row>
    <row r="609" ht="15.75" customHeight="1" s="1666">
      <c r="K609" s="1665" t="n"/>
      <c r="L609" s="1665" t="n"/>
      <c r="M609" s="1665" t="n"/>
      <c r="N609" s="1665" t="n"/>
      <c r="O609" s="1665" t="n"/>
      <c r="P609" s="1665" t="n"/>
      <c r="Q609" s="1665" t="n"/>
      <c r="R609" s="1665" t="n"/>
      <c r="S609" s="1665" t="n"/>
      <c r="T609" s="1665" t="n"/>
      <c r="U609" s="1665" t="n"/>
      <c r="V609" s="1665" t="n"/>
      <c r="W609" s="1665" t="n"/>
      <c r="X609" s="1665" t="n"/>
      <c r="Y609" s="1665" t="n"/>
      <c r="Z609" s="1665" t="n"/>
    </row>
    <row r="610" ht="15.75" customHeight="1" s="1666">
      <c r="K610" s="1665" t="n"/>
      <c r="L610" s="1665" t="n"/>
      <c r="M610" s="1665" t="n"/>
      <c r="N610" s="1665" t="n"/>
      <c r="O610" s="1665" t="n"/>
      <c r="P610" s="1665" t="n"/>
      <c r="Q610" s="1665" t="n"/>
      <c r="R610" s="1665" t="n"/>
      <c r="S610" s="1665" t="n"/>
      <c r="T610" s="1665" t="n"/>
      <c r="U610" s="1665" t="n"/>
      <c r="V610" s="1665" t="n"/>
      <c r="W610" s="1665" t="n"/>
      <c r="X610" s="1665" t="n"/>
      <c r="Y610" s="1665" t="n"/>
      <c r="Z610" s="1665" t="n"/>
    </row>
    <row r="611" ht="15.75" customHeight="1" s="1666">
      <c r="K611" s="1665" t="n"/>
      <c r="L611" s="1665" t="n"/>
      <c r="M611" s="1665" t="n"/>
      <c r="N611" s="1665" t="n"/>
      <c r="O611" s="1665" t="n"/>
      <c r="P611" s="1665" t="n"/>
      <c r="Q611" s="1665" t="n"/>
      <c r="R611" s="1665" t="n"/>
      <c r="S611" s="1665" t="n"/>
      <c r="T611" s="1665" t="n"/>
      <c r="U611" s="1665" t="n"/>
      <c r="V611" s="1665" t="n"/>
      <c r="W611" s="1665" t="n"/>
      <c r="X611" s="1665" t="n"/>
      <c r="Y611" s="1665" t="n"/>
      <c r="Z611" s="1665" t="n"/>
    </row>
    <row r="612" ht="15.75" customHeight="1" s="1666">
      <c r="K612" s="1665" t="n"/>
      <c r="L612" s="1665" t="n"/>
      <c r="M612" s="1665" t="n"/>
      <c r="N612" s="1665" t="n"/>
      <c r="O612" s="1665" t="n"/>
      <c r="P612" s="1665" t="n"/>
      <c r="Q612" s="1665" t="n"/>
      <c r="R612" s="1665" t="n"/>
      <c r="S612" s="1665" t="n"/>
      <c r="T612" s="1665" t="n"/>
      <c r="U612" s="1665" t="n"/>
      <c r="V612" s="1665" t="n"/>
      <c r="W612" s="1665" t="n"/>
      <c r="X612" s="1665" t="n"/>
      <c r="Y612" s="1665" t="n"/>
      <c r="Z612" s="1665" t="n"/>
    </row>
    <row r="613" ht="15.75" customHeight="1" s="1666">
      <c r="K613" s="1665" t="n"/>
      <c r="L613" s="1665" t="n"/>
      <c r="M613" s="1665" t="n"/>
      <c r="N613" s="1665" t="n"/>
      <c r="O613" s="1665" t="n"/>
      <c r="P613" s="1665" t="n"/>
      <c r="Q613" s="1665" t="n"/>
      <c r="R613" s="1665" t="n"/>
      <c r="S613" s="1665" t="n"/>
      <c r="T613" s="1665" t="n"/>
      <c r="U613" s="1665" t="n"/>
      <c r="V613" s="1665" t="n"/>
      <c r="W613" s="1665" t="n"/>
      <c r="X613" s="1665" t="n"/>
      <c r="Y613" s="1665" t="n"/>
      <c r="Z613" s="1665" t="n"/>
    </row>
    <row r="614" ht="15.75" customHeight="1" s="1666">
      <c r="K614" s="1665" t="n"/>
      <c r="L614" s="1665" t="n"/>
      <c r="M614" s="1665" t="n"/>
      <c r="N614" s="1665" t="n"/>
      <c r="O614" s="1665" t="n"/>
      <c r="P614" s="1665" t="n"/>
      <c r="Q614" s="1665" t="n"/>
      <c r="R614" s="1665" t="n"/>
      <c r="S614" s="1665" t="n"/>
      <c r="T614" s="1665" t="n"/>
      <c r="U614" s="1665" t="n"/>
      <c r="V614" s="1665" t="n"/>
      <c r="W614" s="1665" t="n"/>
      <c r="X614" s="1665" t="n"/>
      <c r="Y614" s="1665" t="n"/>
      <c r="Z614" s="1665" t="n"/>
    </row>
    <row r="615" ht="15.75" customHeight="1" s="1666">
      <c r="K615" s="1665" t="n"/>
      <c r="L615" s="1665" t="n"/>
      <c r="M615" s="1665" t="n"/>
      <c r="N615" s="1665" t="n"/>
      <c r="O615" s="1665" t="n"/>
      <c r="P615" s="1665" t="n"/>
      <c r="Q615" s="1665" t="n"/>
      <c r="R615" s="1665" t="n"/>
      <c r="S615" s="1665" t="n"/>
      <c r="T615" s="1665" t="n"/>
      <c r="U615" s="1665" t="n"/>
      <c r="V615" s="1665" t="n"/>
      <c r="W615" s="1665" t="n"/>
      <c r="X615" s="1665" t="n"/>
      <c r="Y615" s="1665" t="n"/>
      <c r="Z615" s="1665" t="n"/>
    </row>
    <row r="616" ht="15.75" customHeight="1" s="1666">
      <c r="K616" s="1665" t="n"/>
      <c r="L616" s="1665" t="n"/>
      <c r="M616" s="1665" t="n"/>
      <c r="N616" s="1665" t="n"/>
      <c r="O616" s="1665" t="n"/>
      <c r="P616" s="1665" t="n"/>
      <c r="Q616" s="1665" t="n"/>
      <c r="R616" s="1665" t="n"/>
      <c r="S616" s="1665" t="n"/>
      <c r="T616" s="1665" t="n"/>
      <c r="U616" s="1665" t="n"/>
      <c r="V616" s="1665" t="n"/>
      <c r="W616" s="1665" t="n"/>
      <c r="X616" s="1665" t="n"/>
      <c r="Y616" s="1665" t="n"/>
      <c r="Z616" s="1665" t="n"/>
    </row>
    <row r="617" ht="15.75" customHeight="1" s="1666">
      <c r="K617" s="1665" t="n"/>
      <c r="L617" s="1665" t="n"/>
      <c r="M617" s="1665" t="n"/>
      <c r="N617" s="1665" t="n"/>
      <c r="O617" s="1665" t="n"/>
      <c r="P617" s="1665" t="n"/>
      <c r="Q617" s="1665" t="n"/>
      <c r="R617" s="1665" t="n"/>
      <c r="S617" s="1665" t="n"/>
      <c r="T617" s="1665" t="n"/>
      <c r="U617" s="1665" t="n"/>
      <c r="V617" s="1665" t="n"/>
      <c r="W617" s="1665" t="n"/>
      <c r="X617" s="1665" t="n"/>
      <c r="Y617" s="1665" t="n"/>
      <c r="Z617" s="1665" t="n"/>
    </row>
    <row r="618" ht="15.75" customHeight="1" s="1666">
      <c r="K618" s="1665" t="n"/>
      <c r="L618" s="1665" t="n"/>
      <c r="M618" s="1665" t="n"/>
      <c r="N618" s="1665" t="n"/>
      <c r="O618" s="1665" t="n"/>
      <c r="P618" s="1665" t="n"/>
      <c r="Q618" s="1665" t="n"/>
      <c r="R618" s="1665" t="n"/>
      <c r="S618" s="1665" t="n"/>
      <c r="T618" s="1665" t="n"/>
      <c r="U618" s="1665" t="n"/>
      <c r="V618" s="1665" t="n"/>
      <c r="W618" s="1665" t="n"/>
      <c r="X618" s="1665" t="n"/>
      <c r="Y618" s="1665" t="n"/>
      <c r="Z618" s="1665" t="n"/>
    </row>
    <row r="619" ht="15.75" customHeight="1" s="1666">
      <c r="K619" s="1665" t="n"/>
      <c r="L619" s="1665" t="n"/>
      <c r="M619" s="1665" t="n"/>
      <c r="N619" s="1665" t="n"/>
      <c r="O619" s="1665" t="n"/>
      <c r="P619" s="1665" t="n"/>
      <c r="Q619" s="1665" t="n"/>
      <c r="R619" s="1665" t="n"/>
      <c r="S619" s="1665" t="n"/>
      <c r="T619" s="1665" t="n"/>
      <c r="U619" s="1665" t="n"/>
      <c r="V619" s="1665" t="n"/>
      <c r="W619" s="1665" t="n"/>
      <c r="X619" s="1665" t="n"/>
      <c r="Y619" s="1665" t="n"/>
      <c r="Z619" s="1665" t="n"/>
    </row>
    <row r="620" ht="15.75" customHeight="1" s="1666">
      <c r="K620" s="1665" t="n"/>
      <c r="L620" s="1665" t="n"/>
      <c r="M620" s="1665" t="n"/>
      <c r="N620" s="1665" t="n"/>
      <c r="O620" s="1665" t="n"/>
      <c r="P620" s="1665" t="n"/>
      <c r="Q620" s="1665" t="n"/>
      <c r="R620" s="1665" t="n"/>
      <c r="S620" s="1665" t="n"/>
      <c r="T620" s="1665" t="n"/>
      <c r="U620" s="1665" t="n"/>
      <c r="V620" s="1665" t="n"/>
      <c r="W620" s="1665" t="n"/>
      <c r="X620" s="1665" t="n"/>
      <c r="Y620" s="1665" t="n"/>
      <c r="Z620" s="1665" t="n"/>
    </row>
    <row r="621" ht="15.75" customHeight="1" s="1666">
      <c r="K621" s="1665" t="n"/>
      <c r="L621" s="1665" t="n"/>
      <c r="M621" s="1665" t="n"/>
      <c r="N621" s="1665" t="n"/>
      <c r="O621" s="1665" t="n"/>
      <c r="P621" s="1665" t="n"/>
      <c r="Q621" s="1665" t="n"/>
      <c r="R621" s="1665" t="n"/>
      <c r="S621" s="1665" t="n"/>
      <c r="T621" s="1665" t="n"/>
      <c r="U621" s="1665" t="n"/>
      <c r="V621" s="1665" t="n"/>
      <c r="W621" s="1665" t="n"/>
      <c r="X621" s="1665" t="n"/>
      <c r="Y621" s="1665" t="n"/>
      <c r="Z621" s="1665" t="n"/>
    </row>
    <row r="622" ht="15.75" customHeight="1" s="1666">
      <c r="K622" s="1665" t="n"/>
      <c r="L622" s="1665" t="n"/>
      <c r="M622" s="1665" t="n"/>
      <c r="N622" s="1665" t="n"/>
      <c r="O622" s="1665" t="n"/>
      <c r="P622" s="1665" t="n"/>
      <c r="Q622" s="1665" t="n"/>
      <c r="R622" s="1665" t="n"/>
      <c r="S622" s="1665" t="n"/>
      <c r="T622" s="1665" t="n"/>
      <c r="U622" s="1665" t="n"/>
      <c r="V622" s="1665" t="n"/>
      <c r="W622" s="1665" t="n"/>
      <c r="X622" s="1665" t="n"/>
      <c r="Y622" s="1665" t="n"/>
      <c r="Z622" s="1665" t="n"/>
    </row>
    <row r="623" ht="15.75" customHeight="1" s="1666">
      <c r="K623" s="1665" t="n"/>
      <c r="L623" s="1665" t="n"/>
      <c r="M623" s="1665" t="n"/>
      <c r="N623" s="1665" t="n"/>
      <c r="O623" s="1665" t="n"/>
      <c r="P623" s="1665" t="n"/>
      <c r="Q623" s="1665" t="n"/>
      <c r="R623" s="1665" t="n"/>
      <c r="S623" s="1665" t="n"/>
      <c r="T623" s="1665" t="n"/>
      <c r="U623" s="1665" t="n"/>
      <c r="V623" s="1665" t="n"/>
      <c r="W623" s="1665" t="n"/>
      <c r="X623" s="1665" t="n"/>
      <c r="Y623" s="1665" t="n"/>
      <c r="Z623" s="1665" t="n"/>
    </row>
    <row r="624" ht="15.75" customHeight="1" s="1666">
      <c r="K624" s="1665" t="n"/>
      <c r="L624" s="1665" t="n"/>
      <c r="M624" s="1665" t="n"/>
      <c r="N624" s="1665" t="n"/>
      <c r="O624" s="1665" t="n"/>
      <c r="P624" s="1665" t="n"/>
      <c r="Q624" s="1665" t="n"/>
      <c r="R624" s="1665" t="n"/>
      <c r="S624" s="1665" t="n"/>
      <c r="T624" s="1665" t="n"/>
      <c r="U624" s="1665" t="n"/>
      <c r="V624" s="1665" t="n"/>
      <c r="W624" s="1665" t="n"/>
      <c r="X624" s="1665" t="n"/>
      <c r="Y624" s="1665" t="n"/>
      <c r="Z624" s="1665" t="n"/>
    </row>
    <row r="625" ht="15.75" customHeight="1" s="1666">
      <c r="K625" s="1665" t="n"/>
      <c r="L625" s="1665" t="n"/>
      <c r="M625" s="1665" t="n"/>
      <c r="N625" s="1665" t="n"/>
      <c r="O625" s="1665" t="n"/>
      <c r="P625" s="1665" t="n"/>
      <c r="Q625" s="1665" t="n"/>
      <c r="R625" s="1665" t="n"/>
      <c r="S625" s="1665" t="n"/>
      <c r="T625" s="1665" t="n"/>
      <c r="U625" s="1665" t="n"/>
      <c r="V625" s="1665" t="n"/>
      <c r="W625" s="1665" t="n"/>
      <c r="X625" s="1665" t="n"/>
      <c r="Y625" s="1665" t="n"/>
      <c r="Z625" s="1665" t="n"/>
    </row>
    <row r="626" ht="15.75" customHeight="1" s="1666">
      <c r="K626" s="1665" t="n"/>
      <c r="L626" s="1665" t="n"/>
      <c r="M626" s="1665" t="n"/>
      <c r="N626" s="1665" t="n"/>
      <c r="O626" s="1665" t="n"/>
      <c r="P626" s="1665" t="n"/>
      <c r="Q626" s="1665" t="n"/>
      <c r="R626" s="1665" t="n"/>
      <c r="S626" s="1665" t="n"/>
      <c r="T626" s="1665" t="n"/>
      <c r="U626" s="1665" t="n"/>
      <c r="V626" s="1665" t="n"/>
      <c r="W626" s="1665" t="n"/>
      <c r="X626" s="1665" t="n"/>
      <c r="Y626" s="1665" t="n"/>
      <c r="Z626" s="1665" t="n"/>
    </row>
    <row r="627" ht="15.75" customHeight="1" s="1666">
      <c r="K627" s="1665" t="n"/>
      <c r="L627" s="1665" t="n"/>
      <c r="M627" s="1665" t="n"/>
      <c r="N627" s="1665" t="n"/>
      <c r="O627" s="1665" t="n"/>
      <c r="P627" s="1665" t="n"/>
      <c r="Q627" s="1665" t="n"/>
      <c r="R627" s="1665" t="n"/>
      <c r="S627" s="1665" t="n"/>
      <c r="T627" s="1665" t="n"/>
      <c r="U627" s="1665" t="n"/>
      <c r="V627" s="1665" t="n"/>
      <c r="W627" s="1665" t="n"/>
      <c r="X627" s="1665" t="n"/>
      <c r="Y627" s="1665" t="n"/>
      <c r="Z627" s="1665" t="n"/>
    </row>
    <row r="628" ht="15.75" customHeight="1" s="1666">
      <c r="K628" s="1665" t="n"/>
      <c r="L628" s="1665" t="n"/>
      <c r="M628" s="1665" t="n"/>
      <c r="N628" s="1665" t="n"/>
      <c r="O628" s="1665" t="n"/>
      <c r="P628" s="1665" t="n"/>
      <c r="Q628" s="1665" t="n"/>
      <c r="R628" s="1665" t="n"/>
      <c r="S628" s="1665" t="n"/>
      <c r="T628" s="1665" t="n"/>
      <c r="U628" s="1665" t="n"/>
      <c r="V628" s="1665" t="n"/>
      <c r="W628" s="1665" t="n"/>
      <c r="X628" s="1665" t="n"/>
      <c r="Y628" s="1665" t="n"/>
      <c r="Z628" s="1665" t="n"/>
    </row>
    <row r="629" ht="15.75" customHeight="1" s="1666">
      <c r="K629" s="1665" t="n"/>
      <c r="L629" s="1665" t="n"/>
      <c r="M629" s="1665" t="n"/>
      <c r="N629" s="1665" t="n"/>
      <c r="O629" s="1665" t="n"/>
      <c r="P629" s="1665" t="n"/>
      <c r="Q629" s="1665" t="n"/>
      <c r="R629" s="1665" t="n"/>
      <c r="S629" s="1665" t="n"/>
      <c r="T629" s="1665" t="n"/>
      <c r="U629" s="1665" t="n"/>
      <c r="V629" s="1665" t="n"/>
      <c r="W629" s="1665" t="n"/>
      <c r="X629" s="1665" t="n"/>
      <c r="Y629" s="1665" t="n"/>
      <c r="Z629" s="1665" t="n"/>
    </row>
    <row r="630" ht="15.75" customHeight="1" s="1666">
      <c r="K630" s="1665" t="n"/>
      <c r="L630" s="1665" t="n"/>
      <c r="M630" s="1665" t="n"/>
      <c r="N630" s="1665" t="n"/>
      <c r="O630" s="1665" t="n"/>
      <c r="P630" s="1665" t="n"/>
      <c r="Q630" s="1665" t="n"/>
      <c r="R630" s="1665" t="n"/>
      <c r="S630" s="1665" t="n"/>
      <c r="T630" s="1665" t="n"/>
      <c r="U630" s="1665" t="n"/>
      <c r="V630" s="1665" t="n"/>
      <c r="W630" s="1665" t="n"/>
      <c r="X630" s="1665" t="n"/>
      <c r="Y630" s="1665" t="n"/>
      <c r="Z630" s="1665" t="n"/>
    </row>
    <row r="631" ht="15.75" customHeight="1" s="1666">
      <c r="K631" s="1665" t="n"/>
      <c r="L631" s="1665" t="n"/>
      <c r="M631" s="1665" t="n"/>
      <c r="N631" s="1665" t="n"/>
      <c r="O631" s="1665" t="n"/>
      <c r="P631" s="1665" t="n"/>
      <c r="Q631" s="1665" t="n"/>
      <c r="R631" s="1665" t="n"/>
      <c r="S631" s="1665" t="n"/>
      <c r="T631" s="1665" t="n"/>
      <c r="U631" s="1665" t="n"/>
      <c r="V631" s="1665" t="n"/>
      <c r="W631" s="1665" t="n"/>
      <c r="X631" s="1665" t="n"/>
      <c r="Y631" s="1665" t="n"/>
      <c r="Z631" s="1665" t="n"/>
    </row>
    <row r="632" ht="15.75" customHeight="1" s="1666">
      <c r="K632" s="1665" t="n"/>
      <c r="L632" s="1665" t="n"/>
      <c r="M632" s="1665" t="n"/>
      <c r="N632" s="1665" t="n"/>
      <c r="O632" s="1665" t="n"/>
      <c r="P632" s="1665" t="n"/>
      <c r="Q632" s="1665" t="n"/>
      <c r="R632" s="1665" t="n"/>
      <c r="S632" s="1665" t="n"/>
      <c r="T632" s="1665" t="n"/>
      <c r="U632" s="1665" t="n"/>
      <c r="V632" s="1665" t="n"/>
      <c r="W632" s="1665" t="n"/>
      <c r="X632" s="1665" t="n"/>
      <c r="Y632" s="1665" t="n"/>
      <c r="Z632" s="1665" t="n"/>
    </row>
    <row r="633" ht="15.75" customHeight="1" s="1666">
      <c r="K633" s="1665" t="n"/>
      <c r="L633" s="1665" t="n"/>
      <c r="M633" s="1665" t="n"/>
      <c r="N633" s="1665" t="n"/>
      <c r="O633" s="1665" t="n"/>
      <c r="P633" s="1665" t="n"/>
      <c r="Q633" s="1665" t="n"/>
      <c r="R633" s="1665" t="n"/>
      <c r="S633" s="1665" t="n"/>
      <c r="T633" s="1665" t="n"/>
      <c r="U633" s="1665" t="n"/>
      <c r="V633" s="1665" t="n"/>
      <c r="W633" s="1665" t="n"/>
      <c r="X633" s="1665" t="n"/>
      <c r="Y633" s="1665" t="n"/>
      <c r="Z633" s="1665" t="n"/>
    </row>
    <row r="634" ht="15.75" customHeight="1" s="1666">
      <c r="K634" s="1665" t="n"/>
      <c r="L634" s="1665" t="n"/>
      <c r="M634" s="1665" t="n"/>
      <c r="N634" s="1665" t="n"/>
      <c r="O634" s="1665" t="n"/>
      <c r="P634" s="1665" t="n"/>
      <c r="Q634" s="1665" t="n"/>
      <c r="R634" s="1665" t="n"/>
      <c r="S634" s="1665" t="n"/>
      <c r="T634" s="1665" t="n"/>
      <c r="U634" s="1665" t="n"/>
      <c r="V634" s="1665" t="n"/>
      <c r="W634" s="1665" t="n"/>
      <c r="X634" s="1665" t="n"/>
      <c r="Y634" s="1665" t="n"/>
      <c r="Z634" s="1665" t="n"/>
    </row>
    <row r="635" ht="15.75" customHeight="1" s="1666">
      <c r="K635" s="1665" t="n"/>
      <c r="L635" s="1665" t="n"/>
      <c r="M635" s="1665" t="n"/>
      <c r="N635" s="1665" t="n"/>
      <c r="O635" s="1665" t="n"/>
      <c r="P635" s="1665" t="n"/>
      <c r="Q635" s="1665" t="n"/>
      <c r="R635" s="1665" t="n"/>
      <c r="S635" s="1665" t="n"/>
      <c r="T635" s="1665" t="n"/>
      <c r="U635" s="1665" t="n"/>
      <c r="V635" s="1665" t="n"/>
      <c r="W635" s="1665" t="n"/>
      <c r="X635" s="1665" t="n"/>
      <c r="Y635" s="1665" t="n"/>
      <c r="Z635" s="1665" t="n"/>
    </row>
    <row r="636" ht="15.75" customHeight="1" s="1666">
      <c r="K636" s="1665" t="n"/>
      <c r="L636" s="1665" t="n"/>
      <c r="M636" s="1665" t="n"/>
      <c r="N636" s="1665" t="n"/>
      <c r="O636" s="1665" t="n"/>
      <c r="P636" s="1665" t="n"/>
      <c r="Q636" s="1665" t="n"/>
      <c r="R636" s="1665" t="n"/>
      <c r="S636" s="1665" t="n"/>
      <c r="T636" s="1665" t="n"/>
      <c r="U636" s="1665" t="n"/>
      <c r="V636" s="1665" t="n"/>
      <c r="W636" s="1665" t="n"/>
      <c r="X636" s="1665" t="n"/>
      <c r="Y636" s="1665" t="n"/>
      <c r="Z636" s="1665" t="n"/>
    </row>
    <row r="637" ht="15.75" customHeight="1" s="1666">
      <c r="K637" s="1665" t="n"/>
      <c r="L637" s="1665" t="n"/>
      <c r="M637" s="1665" t="n"/>
      <c r="N637" s="1665" t="n"/>
      <c r="O637" s="1665" t="n"/>
      <c r="P637" s="1665" t="n"/>
      <c r="Q637" s="1665" t="n"/>
      <c r="R637" s="1665" t="n"/>
      <c r="S637" s="1665" t="n"/>
      <c r="T637" s="1665" t="n"/>
      <c r="U637" s="1665" t="n"/>
      <c r="V637" s="1665" t="n"/>
      <c r="W637" s="1665" t="n"/>
      <c r="X637" s="1665" t="n"/>
      <c r="Y637" s="1665" t="n"/>
      <c r="Z637" s="1665" t="n"/>
    </row>
    <row r="638" ht="15.75" customHeight="1" s="1666">
      <c r="K638" s="1665" t="n"/>
      <c r="L638" s="1665" t="n"/>
      <c r="M638" s="1665" t="n"/>
      <c r="N638" s="1665" t="n"/>
      <c r="O638" s="1665" t="n"/>
      <c r="P638" s="1665" t="n"/>
      <c r="Q638" s="1665" t="n"/>
      <c r="R638" s="1665" t="n"/>
      <c r="S638" s="1665" t="n"/>
      <c r="T638" s="1665" t="n"/>
      <c r="U638" s="1665" t="n"/>
      <c r="V638" s="1665" t="n"/>
      <c r="W638" s="1665" t="n"/>
      <c r="X638" s="1665" t="n"/>
      <c r="Y638" s="1665" t="n"/>
      <c r="Z638" s="1665" t="n"/>
    </row>
    <row r="639" ht="15.75" customHeight="1" s="1666">
      <c r="K639" s="1665" t="n"/>
      <c r="L639" s="1665" t="n"/>
      <c r="M639" s="1665" t="n"/>
      <c r="N639" s="1665" t="n"/>
      <c r="O639" s="1665" t="n"/>
      <c r="P639" s="1665" t="n"/>
      <c r="Q639" s="1665" t="n"/>
      <c r="R639" s="1665" t="n"/>
      <c r="S639" s="1665" t="n"/>
      <c r="T639" s="1665" t="n"/>
      <c r="U639" s="1665" t="n"/>
      <c r="V639" s="1665" t="n"/>
      <c r="W639" s="1665" t="n"/>
      <c r="X639" s="1665" t="n"/>
      <c r="Y639" s="1665" t="n"/>
      <c r="Z639" s="1665" t="n"/>
    </row>
    <row r="640" ht="15.75" customHeight="1" s="1666">
      <c r="K640" s="1665" t="n"/>
      <c r="L640" s="1665" t="n"/>
      <c r="M640" s="1665" t="n"/>
      <c r="N640" s="1665" t="n"/>
      <c r="O640" s="1665" t="n"/>
      <c r="P640" s="1665" t="n"/>
      <c r="Q640" s="1665" t="n"/>
      <c r="R640" s="1665" t="n"/>
      <c r="S640" s="1665" t="n"/>
      <c r="T640" s="1665" t="n"/>
      <c r="U640" s="1665" t="n"/>
      <c r="V640" s="1665" t="n"/>
      <c r="W640" s="1665" t="n"/>
      <c r="X640" s="1665" t="n"/>
      <c r="Y640" s="1665" t="n"/>
      <c r="Z640" s="1665" t="n"/>
    </row>
    <row r="641" ht="15.75" customHeight="1" s="1666">
      <c r="K641" s="1665" t="n"/>
      <c r="L641" s="1665" t="n"/>
      <c r="M641" s="1665" t="n"/>
      <c r="N641" s="1665" t="n"/>
      <c r="O641" s="1665" t="n"/>
      <c r="P641" s="1665" t="n"/>
      <c r="Q641" s="1665" t="n"/>
      <c r="R641" s="1665" t="n"/>
      <c r="S641" s="1665" t="n"/>
      <c r="T641" s="1665" t="n"/>
      <c r="U641" s="1665" t="n"/>
      <c r="V641" s="1665" t="n"/>
      <c r="W641" s="1665" t="n"/>
      <c r="X641" s="1665" t="n"/>
      <c r="Y641" s="1665" t="n"/>
      <c r="Z641" s="1665" t="n"/>
    </row>
    <row r="642" ht="15.75" customHeight="1" s="1666">
      <c r="K642" s="1665" t="n"/>
      <c r="L642" s="1665" t="n"/>
      <c r="M642" s="1665" t="n"/>
      <c r="N642" s="1665" t="n"/>
      <c r="O642" s="1665" t="n"/>
      <c r="P642" s="1665" t="n"/>
      <c r="Q642" s="1665" t="n"/>
      <c r="R642" s="1665" t="n"/>
      <c r="S642" s="1665" t="n"/>
      <c r="T642" s="1665" t="n"/>
      <c r="U642" s="1665" t="n"/>
      <c r="V642" s="1665" t="n"/>
      <c r="W642" s="1665" t="n"/>
      <c r="X642" s="1665" t="n"/>
      <c r="Y642" s="1665" t="n"/>
      <c r="Z642" s="1665" t="n"/>
    </row>
    <row r="643" ht="15.75" customHeight="1" s="1666">
      <c r="K643" s="1665" t="n"/>
      <c r="L643" s="1665" t="n"/>
      <c r="M643" s="1665" t="n"/>
      <c r="N643" s="1665" t="n"/>
      <c r="O643" s="1665" t="n"/>
      <c r="P643" s="1665" t="n"/>
      <c r="Q643" s="1665" t="n"/>
      <c r="R643" s="1665" t="n"/>
      <c r="S643" s="1665" t="n"/>
      <c r="T643" s="1665" t="n"/>
      <c r="U643" s="1665" t="n"/>
      <c r="V643" s="1665" t="n"/>
      <c r="W643" s="1665" t="n"/>
      <c r="X643" s="1665" t="n"/>
      <c r="Y643" s="1665" t="n"/>
      <c r="Z643" s="1665" t="n"/>
    </row>
    <row r="644" ht="15.75" customHeight="1" s="1666">
      <c r="K644" s="1665" t="n"/>
      <c r="L644" s="1665" t="n"/>
      <c r="M644" s="1665" t="n"/>
      <c r="N644" s="1665" t="n"/>
      <c r="O644" s="1665" t="n"/>
      <c r="P644" s="1665" t="n"/>
      <c r="Q644" s="1665" t="n"/>
      <c r="R644" s="1665" t="n"/>
      <c r="S644" s="1665" t="n"/>
      <c r="T644" s="1665" t="n"/>
      <c r="U644" s="1665" t="n"/>
      <c r="V644" s="1665" t="n"/>
      <c r="W644" s="1665" t="n"/>
      <c r="X644" s="1665" t="n"/>
      <c r="Y644" s="1665" t="n"/>
      <c r="Z644" s="1665" t="n"/>
    </row>
    <row r="645" ht="15.75" customHeight="1" s="1666">
      <c r="K645" s="1665" t="n"/>
      <c r="L645" s="1665" t="n"/>
      <c r="M645" s="1665" t="n"/>
      <c r="N645" s="1665" t="n"/>
      <c r="O645" s="1665" t="n"/>
      <c r="P645" s="1665" t="n"/>
      <c r="Q645" s="1665" t="n"/>
      <c r="R645" s="1665" t="n"/>
      <c r="S645" s="1665" t="n"/>
      <c r="T645" s="1665" t="n"/>
      <c r="U645" s="1665" t="n"/>
      <c r="V645" s="1665" t="n"/>
      <c r="W645" s="1665" t="n"/>
      <c r="X645" s="1665" t="n"/>
      <c r="Y645" s="1665" t="n"/>
      <c r="Z645" s="1665" t="n"/>
    </row>
    <row r="646" ht="15.75" customHeight="1" s="1666">
      <c r="K646" s="1665" t="n"/>
      <c r="L646" s="1665" t="n"/>
      <c r="M646" s="1665" t="n"/>
      <c r="N646" s="1665" t="n"/>
      <c r="O646" s="1665" t="n"/>
      <c r="P646" s="1665" t="n"/>
      <c r="Q646" s="1665" t="n"/>
      <c r="R646" s="1665" t="n"/>
      <c r="S646" s="1665" t="n"/>
      <c r="T646" s="1665" t="n"/>
      <c r="U646" s="1665" t="n"/>
      <c r="V646" s="1665" t="n"/>
      <c r="W646" s="1665" t="n"/>
      <c r="X646" s="1665" t="n"/>
      <c r="Y646" s="1665" t="n"/>
      <c r="Z646" s="1665" t="n"/>
    </row>
    <row r="647" ht="15.75" customHeight="1" s="1666">
      <c r="K647" s="1665" t="n"/>
      <c r="L647" s="1665" t="n"/>
      <c r="M647" s="1665" t="n"/>
      <c r="N647" s="1665" t="n"/>
      <c r="O647" s="1665" t="n"/>
      <c r="P647" s="1665" t="n"/>
      <c r="Q647" s="1665" t="n"/>
      <c r="R647" s="1665" t="n"/>
      <c r="S647" s="1665" t="n"/>
      <c r="T647" s="1665" t="n"/>
      <c r="U647" s="1665" t="n"/>
      <c r="V647" s="1665" t="n"/>
      <c r="W647" s="1665" t="n"/>
      <c r="X647" s="1665" t="n"/>
      <c r="Y647" s="1665" t="n"/>
      <c r="Z647" s="1665" t="n"/>
    </row>
    <row r="648" ht="15.75" customHeight="1" s="1666">
      <c r="K648" s="1665" t="n"/>
      <c r="L648" s="1665" t="n"/>
      <c r="M648" s="1665" t="n"/>
      <c r="N648" s="1665" t="n"/>
      <c r="O648" s="1665" t="n"/>
      <c r="P648" s="1665" t="n"/>
      <c r="Q648" s="1665" t="n"/>
      <c r="R648" s="1665" t="n"/>
      <c r="S648" s="1665" t="n"/>
      <c r="T648" s="1665" t="n"/>
      <c r="U648" s="1665" t="n"/>
      <c r="V648" s="1665" t="n"/>
      <c r="W648" s="1665" t="n"/>
      <c r="X648" s="1665" t="n"/>
      <c r="Y648" s="1665" t="n"/>
      <c r="Z648" s="1665" t="n"/>
    </row>
    <row r="649" ht="15.75" customHeight="1" s="1666">
      <c r="K649" s="1665" t="n"/>
      <c r="L649" s="1665" t="n"/>
      <c r="M649" s="1665" t="n"/>
      <c r="N649" s="1665" t="n"/>
      <c r="O649" s="1665" t="n"/>
      <c r="P649" s="1665" t="n"/>
      <c r="Q649" s="1665" t="n"/>
      <c r="R649" s="1665" t="n"/>
      <c r="S649" s="1665" t="n"/>
      <c r="T649" s="1665" t="n"/>
      <c r="U649" s="1665" t="n"/>
      <c r="V649" s="1665" t="n"/>
      <c r="W649" s="1665" t="n"/>
      <c r="X649" s="1665" t="n"/>
      <c r="Y649" s="1665" t="n"/>
      <c r="Z649" s="1665" t="n"/>
    </row>
    <row r="650" ht="15.75" customHeight="1" s="1666">
      <c r="K650" s="1665" t="n"/>
      <c r="L650" s="1665" t="n"/>
      <c r="M650" s="1665" t="n"/>
      <c r="N650" s="1665" t="n"/>
      <c r="O650" s="1665" t="n"/>
      <c r="P650" s="1665" t="n"/>
      <c r="Q650" s="1665" t="n"/>
      <c r="R650" s="1665" t="n"/>
      <c r="S650" s="1665" t="n"/>
      <c r="T650" s="1665" t="n"/>
      <c r="U650" s="1665" t="n"/>
      <c r="V650" s="1665" t="n"/>
      <c r="W650" s="1665" t="n"/>
      <c r="X650" s="1665" t="n"/>
      <c r="Y650" s="1665" t="n"/>
      <c r="Z650" s="1665" t="n"/>
    </row>
    <row r="651" ht="15.75" customHeight="1" s="1666">
      <c r="K651" s="1665" t="n"/>
      <c r="L651" s="1665" t="n"/>
      <c r="M651" s="1665" t="n"/>
      <c r="N651" s="1665" t="n"/>
      <c r="O651" s="1665" t="n"/>
      <c r="P651" s="1665" t="n"/>
      <c r="Q651" s="1665" t="n"/>
      <c r="R651" s="1665" t="n"/>
      <c r="S651" s="1665" t="n"/>
      <c r="T651" s="1665" t="n"/>
      <c r="U651" s="1665" t="n"/>
      <c r="V651" s="1665" t="n"/>
      <c r="W651" s="1665" t="n"/>
      <c r="X651" s="1665" t="n"/>
      <c r="Y651" s="1665" t="n"/>
      <c r="Z651" s="1665" t="n"/>
    </row>
    <row r="652" ht="15.75" customHeight="1" s="1666">
      <c r="K652" s="1665" t="n"/>
      <c r="L652" s="1665" t="n"/>
      <c r="M652" s="1665" t="n"/>
      <c r="N652" s="1665" t="n"/>
      <c r="O652" s="1665" t="n"/>
      <c r="P652" s="1665" t="n"/>
      <c r="Q652" s="1665" t="n"/>
      <c r="R652" s="1665" t="n"/>
      <c r="S652" s="1665" t="n"/>
      <c r="T652" s="1665" t="n"/>
      <c r="U652" s="1665" t="n"/>
      <c r="V652" s="1665" t="n"/>
      <c r="W652" s="1665" t="n"/>
      <c r="X652" s="1665" t="n"/>
      <c r="Y652" s="1665" t="n"/>
      <c r="Z652" s="1665" t="n"/>
    </row>
    <row r="653" ht="15.75" customHeight="1" s="1666">
      <c r="K653" s="1665" t="n"/>
      <c r="L653" s="1665" t="n"/>
      <c r="M653" s="1665" t="n"/>
      <c r="N653" s="1665" t="n"/>
      <c r="O653" s="1665" t="n"/>
      <c r="P653" s="1665" t="n"/>
      <c r="Q653" s="1665" t="n"/>
      <c r="R653" s="1665" t="n"/>
      <c r="S653" s="1665" t="n"/>
      <c r="T653" s="1665" t="n"/>
      <c r="U653" s="1665" t="n"/>
      <c r="V653" s="1665" t="n"/>
      <c r="W653" s="1665" t="n"/>
      <c r="X653" s="1665" t="n"/>
      <c r="Y653" s="1665" t="n"/>
      <c r="Z653" s="1665" t="n"/>
    </row>
    <row r="654" ht="15.75" customHeight="1" s="1666">
      <c r="K654" s="1665" t="n"/>
      <c r="L654" s="1665" t="n"/>
      <c r="M654" s="1665" t="n"/>
      <c r="N654" s="1665" t="n"/>
      <c r="O654" s="1665" t="n"/>
      <c r="P654" s="1665" t="n"/>
      <c r="Q654" s="1665" t="n"/>
      <c r="R654" s="1665" t="n"/>
      <c r="S654" s="1665" t="n"/>
      <c r="T654" s="1665" t="n"/>
      <c r="U654" s="1665" t="n"/>
      <c r="V654" s="1665" t="n"/>
      <c r="W654" s="1665" t="n"/>
      <c r="X654" s="1665" t="n"/>
      <c r="Y654" s="1665" t="n"/>
      <c r="Z654" s="1665" t="n"/>
    </row>
    <row r="655" ht="15.75" customHeight="1" s="1666">
      <c r="K655" s="1665" t="n"/>
      <c r="L655" s="1665" t="n"/>
      <c r="M655" s="1665" t="n"/>
      <c r="N655" s="1665" t="n"/>
      <c r="O655" s="1665" t="n"/>
      <c r="P655" s="1665" t="n"/>
      <c r="Q655" s="1665" t="n"/>
      <c r="R655" s="1665" t="n"/>
      <c r="S655" s="1665" t="n"/>
      <c r="T655" s="1665" t="n"/>
      <c r="U655" s="1665" t="n"/>
      <c r="V655" s="1665" t="n"/>
      <c r="W655" s="1665" t="n"/>
      <c r="X655" s="1665" t="n"/>
      <c r="Y655" s="1665" t="n"/>
      <c r="Z655" s="1665" t="n"/>
    </row>
    <row r="656" ht="15.75" customHeight="1" s="1666">
      <c r="K656" s="1665" t="n"/>
      <c r="L656" s="1665" t="n"/>
      <c r="M656" s="1665" t="n"/>
      <c r="N656" s="1665" t="n"/>
      <c r="O656" s="1665" t="n"/>
      <c r="P656" s="1665" t="n"/>
      <c r="Q656" s="1665" t="n"/>
      <c r="R656" s="1665" t="n"/>
      <c r="S656" s="1665" t="n"/>
      <c r="T656" s="1665" t="n"/>
      <c r="U656" s="1665" t="n"/>
      <c r="V656" s="1665" t="n"/>
      <c r="W656" s="1665" t="n"/>
      <c r="X656" s="1665" t="n"/>
      <c r="Y656" s="1665" t="n"/>
      <c r="Z656" s="1665" t="n"/>
    </row>
    <row r="657" ht="15.75" customHeight="1" s="1666">
      <c r="K657" s="1665" t="n"/>
      <c r="L657" s="1665" t="n"/>
      <c r="M657" s="1665" t="n"/>
      <c r="N657" s="1665" t="n"/>
      <c r="O657" s="1665" t="n"/>
      <c r="P657" s="1665" t="n"/>
      <c r="Q657" s="1665" t="n"/>
      <c r="R657" s="1665" t="n"/>
      <c r="S657" s="1665" t="n"/>
      <c r="T657" s="1665" t="n"/>
      <c r="U657" s="1665" t="n"/>
      <c r="V657" s="1665" t="n"/>
      <c r="W657" s="1665" t="n"/>
      <c r="X657" s="1665" t="n"/>
      <c r="Y657" s="1665" t="n"/>
      <c r="Z657" s="1665" t="n"/>
    </row>
    <row r="658" ht="15.75" customHeight="1" s="1666">
      <c r="K658" s="1665" t="n"/>
      <c r="L658" s="1665" t="n"/>
      <c r="M658" s="1665" t="n"/>
      <c r="N658" s="1665" t="n"/>
      <c r="O658" s="1665" t="n"/>
      <c r="P658" s="1665" t="n"/>
      <c r="Q658" s="1665" t="n"/>
      <c r="R658" s="1665" t="n"/>
      <c r="S658" s="1665" t="n"/>
      <c r="T658" s="1665" t="n"/>
      <c r="U658" s="1665" t="n"/>
      <c r="V658" s="1665" t="n"/>
      <c r="W658" s="1665" t="n"/>
      <c r="X658" s="1665" t="n"/>
      <c r="Y658" s="1665" t="n"/>
      <c r="Z658" s="1665" t="n"/>
    </row>
    <row r="659" ht="15.75" customHeight="1" s="1666">
      <c r="K659" s="1665" t="n"/>
      <c r="L659" s="1665" t="n"/>
      <c r="M659" s="1665" t="n"/>
      <c r="N659" s="1665" t="n"/>
      <c r="O659" s="1665" t="n"/>
      <c r="P659" s="1665" t="n"/>
      <c r="Q659" s="1665" t="n"/>
      <c r="R659" s="1665" t="n"/>
      <c r="S659" s="1665" t="n"/>
      <c r="T659" s="1665" t="n"/>
      <c r="U659" s="1665" t="n"/>
      <c r="V659" s="1665" t="n"/>
      <c r="W659" s="1665" t="n"/>
      <c r="X659" s="1665" t="n"/>
      <c r="Y659" s="1665" t="n"/>
      <c r="Z659" s="1665" t="n"/>
    </row>
    <row r="660" ht="15.75" customHeight="1" s="1666">
      <c r="K660" s="1665" t="n"/>
      <c r="L660" s="1665" t="n"/>
      <c r="M660" s="1665" t="n"/>
      <c r="N660" s="1665" t="n"/>
      <c r="O660" s="1665" t="n"/>
      <c r="P660" s="1665" t="n"/>
      <c r="Q660" s="1665" t="n"/>
      <c r="R660" s="1665" t="n"/>
      <c r="S660" s="1665" t="n"/>
      <c r="T660" s="1665" t="n"/>
      <c r="U660" s="1665" t="n"/>
      <c r="V660" s="1665" t="n"/>
      <c r="W660" s="1665" t="n"/>
      <c r="X660" s="1665" t="n"/>
      <c r="Y660" s="1665" t="n"/>
      <c r="Z660" s="1665" t="n"/>
    </row>
    <row r="661" ht="15.75" customHeight="1" s="1666">
      <c r="K661" s="1665" t="n"/>
      <c r="L661" s="1665" t="n"/>
      <c r="M661" s="1665" t="n"/>
      <c r="N661" s="1665" t="n"/>
      <c r="O661" s="1665" t="n"/>
      <c r="P661" s="1665" t="n"/>
      <c r="Q661" s="1665" t="n"/>
      <c r="R661" s="1665" t="n"/>
      <c r="S661" s="1665" t="n"/>
      <c r="T661" s="1665" t="n"/>
      <c r="U661" s="1665" t="n"/>
      <c r="V661" s="1665" t="n"/>
      <c r="W661" s="1665" t="n"/>
      <c r="X661" s="1665" t="n"/>
      <c r="Y661" s="1665" t="n"/>
      <c r="Z661" s="1665" t="n"/>
    </row>
    <row r="662" ht="15.75" customHeight="1" s="1666">
      <c r="K662" s="1665" t="n"/>
      <c r="L662" s="1665" t="n"/>
      <c r="M662" s="1665" t="n"/>
      <c r="N662" s="1665" t="n"/>
      <c r="O662" s="1665" t="n"/>
      <c r="P662" s="1665" t="n"/>
      <c r="Q662" s="1665" t="n"/>
      <c r="R662" s="1665" t="n"/>
      <c r="S662" s="1665" t="n"/>
      <c r="T662" s="1665" t="n"/>
      <c r="U662" s="1665" t="n"/>
      <c r="V662" s="1665" t="n"/>
      <c r="W662" s="1665" t="n"/>
      <c r="X662" s="1665" t="n"/>
      <c r="Y662" s="1665" t="n"/>
      <c r="Z662" s="1665" t="n"/>
    </row>
    <row r="663" ht="15.75" customHeight="1" s="1666">
      <c r="K663" s="1665" t="n"/>
      <c r="L663" s="1665" t="n"/>
      <c r="M663" s="1665" t="n"/>
      <c r="N663" s="1665" t="n"/>
      <c r="O663" s="1665" t="n"/>
      <c r="P663" s="1665" t="n"/>
      <c r="Q663" s="1665" t="n"/>
      <c r="R663" s="1665" t="n"/>
      <c r="S663" s="1665" t="n"/>
      <c r="T663" s="1665" t="n"/>
      <c r="U663" s="1665" t="n"/>
      <c r="V663" s="1665" t="n"/>
      <c r="W663" s="1665" t="n"/>
      <c r="X663" s="1665" t="n"/>
      <c r="Y663" s="1665" t="n"/>
      <c r="Z663" s="1665" t="n"/>
    </row>
    <row r="664" ht="15.75" customHeight="1" s="1666">
      <c r="K664" s="1665" t="n"/>
      <c r="L664" s="1665" t="n"/>
      <c r="M664" s="1665" t="n"/>
      <c r="N664" s="1665" t="n"/>
      <c r="O664" s="1665" t="n"/>
      <c r="P664" s="1665" t="n"/>
      <c r="Q664" s="1665" t="n"/>
      <c r="R664" s="1665" t="n"/>
      <c r="S664" s="1665" t="n"/>
      <c r="T664" s="1665" t="n"/>
      <c r="U664" s="1665" t="n"/>
      <c r="V664" s="1665" t="n"/>
      <c r="W664" s="1665" t="n"/>
      <c r="X664" s="1665" t="n"/>
      <c r="Y664" s="1665" t="n"/>
      <c r="Z664" s="1665" t="n"/>
    </row>
    <row r="665" ht="15.75" customHeight="1" s="1666">
      <c r="K665" s="1665" t="n"/>
      <c r="L665" s="1665" t="n"/>
      <c r="M665" s="1665" t="n"/>
      <c r="N665" s="1665" t="n"/>
      <c r="O665" s="1665" t="n"/>
      <c r="P665" s="1665" t="n"/>
      <c r="Q665" s="1665" t="n"/>
      <c r="R665" s="1665" t="n"/>
      <c r="S665" s="1665" t="n"/>
      <c r="T665" s="1665" t="n"/>
      <c r="U665" s="1665" t="n"/>
      <c r="V665" s="1665" t="n"/>
      <c r="W665" s="1665" t="n"/>
      <c r="X665" s="1665" t="n"/>
      <c r="Y665" s="1665" t="n"/>
      <c r="Z665" s="1665" t="n"/>
    </row>
    <row r="666" ht="15.75" customHeight="1" s="1666">
      <c r="K666" s="1665" t="n"/>
      <c r="L666" s="1665" t="n"/>
      <c r="M666" s="1665" t="n"/>
      <c r="N666" s="1665" t="n"/>
      <c r="O666" s="1665" t="n"/>
      <c r="P666" s="1665" t="n"/>
      <c r="Q666" s="1665" t="n"/>
      <c r="R666" s="1665" t="n"/>
      <c r="S666" s="1665" t="n"/>
      <c r="T666" s="1665" t="n"/>
      <c r="U666" s="1665" t="n"/>
      <c r="V666" s="1665" t="n"/>
      <c r="W666" s="1665" t="n"/>
      <c r="X666" s="1665" t="n"/>
      <c r="Y666" s="1665" t="n"/>
      <c r="Z666" s="1665" t="n"/>
    </row>
    <row r="667" ht="15.75" customHeight="1" s="1666">
      <c r="K667" s="1665" t="n"/>
      <c r="L667" s="1665" t="n"/>
      <c r="M667" s="1665" t="n"/>
      <c r="N667" s="1665" t="n"/>
      <c r="O667" s="1665" t="n"/>
      <c r="P667" s="1665" t="n"/>
      <c r="Q667" s="1665" t="n"/>
      <c r="R667" s="1665" t="n"/>
      <c r="S667" s="1665" t="n"/>
      <c r="T667" s="1665" t="n"/>
      <c r="U667" s="1665" t="n"/>
      <c r="V667" s="1665" t="n"/>
      <c r="W667" s="1665" t="n"/>
      <c r="X667" s="1665" t="n"/>
      <c r="Y667" s="1665" t="n"/>
      <c r="Z667" s="1665" t="n"/>
    </row>
    <row r="668" ht="15.75" customHeight="1" s="1666">
      <c r="K668" s="1665" t="n"/>
      <c r="L668" s="1665" t="n"/>
      <c r="M668" s="1665" t="n"/>
      <c r="N668" s="1665" t="n"/>
      <c r="O668" s="1665" t="n"/>
      <c r="P668" s="1665" t="n"/>
      <c r="Q668" s="1665" t="n"/>
      <c r="R668" s="1665" t="n"/>
      <c r="S668" s="1665" t="n"/>
      <c r="T668" s="1665" t="n"/>
      <c r="U668" s="1665" t="n"/>
      <c r="V668" s="1665" t="n"/>
      <c r="W668" s="1665" t="n"/>
      <c r="X668" s="1665" t="n"/>
      <c r="Y668" s="1665" t="n"/>
      <c r="Z668" s="1665" t="n"/>
    </row>
    <row r="669" ht="15.75" customHeight="1" s="1666">
      <c r="K669" s="1665" t="n"/>
      <c r="L669" s="1665" t="n"/>
      <c r="M669" s="1665" t="n"/>
      <c r="N669" s="1665" t="n"/>
      <c r="O669" s="1665" t="n"/>
      <c r="P669" s="1665" t="n"/>
      <c r="Q669" s="1665" t="n"/>
      <c r="R669" s="1665" t="n"/>
      <c r="S669" s="1665" t="n"/>
      <c r="T669" s="1665" t="n"/>
      <c r="U669" s="1665" t="n"/>
      <c r="V669" s="1665" t="n"/>
      <c r="W669" s="1665" t="n"/>
      <c r="X669" s="1665" t="n"/>
      <c r="Y669" s="1665" t="n"/>
      <c r="Z669" s="1665" t="n"/>
    </row>
    <row r="670" ht="15.75" customHeight="1" s="1666">
      <c r="K670" s="1665" t="n"/>
      <c r="L670" s="1665" t="n"/>
      <c r="M670" s="1665" t="n"/>
      <c r="N670" s="1665" t="n"/>
      <c r="O670" s="1665" t="n"/>
      <c r="P670" s="1665" t="n"/>
      <c r="Q670" s="1665" t="n"/>
      <c r="R670" s="1665" t="n"/>
      <c r="S670" s="1665" t="n"/>
      <c r="T670" s="1665" t="n"/>
      <c r="U670" s="1665" t="n"/>
      <c r="V670" s="1665" t="n"/>
      <c r="W670" s="1665" t="n"/>
      <c r="X670" s="1665" t="n"/>
      <c r="Y670" s="1665" t="n"/>
      <c r="Z670" s="1665" t="n"/>
    </row>
    <row r="671" ht="15.75" customHeight="1" s="1666">
      <c r="K671" s="1665" t="n"/>
      <c r="L671" s="1665" t="n"/>
      <c r="M671" s="1665" t="n"/>
      <c r="N671" s="1665" t="n"/>
      <c r="O671" s="1665" t="n"/>
      <c r="P671" s="1665" t="n"/>
      <c r="Q671" s="1665" t="n"/>
      <c r="R671" s="1665" t="n"/>
      <c r="S671" s="1665" t="n"/>
      <c r="T671" s="1665" t="n"/>
      <c r="U671" s="1665" t="n"/>
      <c r="V671" s="1665" t="n"/>
      <c r="W671" s="1665" t="n"/>
      <c r="X671" s="1665" t="n"/>
      <c r="Y671" s="1665" t="n"/>
      <c r="Z671" s="1665" t="n"/>
    </row>
    <row r="672" ht="15.75" customHeight="1" s="1666">
      <c r="K672" s="1665" t="n"/>
      <c r="L672" s="1665" t="n"/>
      <c r="M672" s="1665" t="n"/>
      <c r="N672" s="1665" t="n"/>
      <c r="O672" s="1665" t="n"/>
      <c r="P672" s="1665" t="n"/>
      <c r="Q672" s="1665" t="n"/>
      <c r="R672" s="1665" t="n"/>
      <c r="S672" s="1665" t="n"/>
      <c r="T672" s="1665" t="n"/>
      <c r="U672" s="1665" t="n"/>
      <c r="V672" s="1665" t="n"/>
      <c r="W672" s="1665" t="n"/>
      <c r="X672" s="1665" t="n"/>
      <c r="Y672" s="1665" t="n"/>
      <c r="Z672" s="1665" t="n"/>
    </row>
    <row r="673" ht="15.75" customHeight="1" s="1666">
      <c r="K673" s="1665" t="n"/>
      <c r="L673" s="1665" t="n"/>
      <c r="M673" s="1665" t="n"/>
      <c r="N673" s="1665" t="n"/>
      <c r="O673" s="1665" t="n"/>
      <c r="P673" s="1665" t="n"/>
      <c r="Q673" s="1665" t="n"/>
      <c r="R673" s="1665" t="n"/>
      <c r="S673" s="1665" t="n"/>
      <c r="T673" s="1665" t="n"/>
      <c r="U673" s="1665" t="n"/>
      <c r="V673" s="1665" t="n"/>
      <c r="W673" s="1665" t="n"/>
      <c r="X673" s="1665" t="n"/>
      <c r="Y673" s="1665" t="n"/>
      <c r="Z673" s="1665" t="n"/>
    </row>
    <row r="674" ht="15.75" customHeight="1" s="1666">
      <c r="K674" s="1665" t="n"/>
      <c r="L674" s="1665" t="n"/>
      <c r="M674" s="1665" t="n"/>
      <c r="N674" s="1665" t="n"/>
      <c r="O674" s="1665" t="n"/>
      <c r="P674" s="1665" t="n"/>
      <c r="Q674" s="1665" t="n"/>
      <c r="R674" s="1665" t="n"/>
      <c r="S674" s="1665" t="n"/>
      <c r="T674" s="1665" t="n"/>
      <c r="U674" s="1665" t="n"/>
      <c r="V674" s="1665" t="n"/>
      <c r="W674" s="1665" t="n"/>
      <c r="X674" s="1665" t="n"/>
      <c r="Y674" s="1665" t="n"/>
      <c r="Z674" s="1665" t="n"/>
    </row>
    <row r="675" ht="15.75" customHeight="1" s="1666">
      <c r="K675" s="1665" t="n"/>
      <c r="L675" s="1665" t="n"/>
      <c r="M675" s="1665" t="n"/>
      <c r="N675" s="1665" t="n"/>
      <c r="O675" s="1665" t="n"/>
      <c r="P675" s="1665" t="n"/>
      <c r="Q675" s="1665" t="n"/>
      <c r="R675" s="1665" t="n"/>
      <c r="S675" s="1665" t="n"/>
      <c r="T675" s="1665" t="n"/>
      <c r="U675" s="1665" t="n"/>
      <c r="V675" s="1665" t="n"/>
      <c r="W675" s="1665" t="n"/>
      <c r="X675" s="1665" t="n"/>
      <c r="Y675" s="1665" t="n"/>
      <c r="Z675" s="1665" t="n"/>
    </row>
    <row r="676" ht="15.75" customHeight="1" s="1666">
      <c r="K676" s="1665" t="n"/>
      <c r="L676" s="1665" t="n"/>
      <c r="M676" s="1665" t="n"/>
      <c r="N676" s="1665" t="n"/>
      <c r="O676" s="1665" t="n"/>
      <c r="P676" s="1665" t="n"/>
      <c r="Q676" s="1665" t="n"/>
      <c r="R676" s="1665" t="n"/>
      <c r="S676" s="1665" t="n"/>
      <c r="T676" s="1665" t="n"/>
      <c r="U676" s="1665" t="n"/>
      <c r="V676" s="1665" t="n"/>
      <c r="W676" s="1665" t="n"/>
      <c r="X676" s="1665" t="n"/>
      <c r="Y676" s="1665" t="n"/>
      <c r="Z676" s="1665" t="n"/>
    </row>
    <row r="677" ht="15.75" customHeight="1" s="1666">
      <c r="K677" s="1665" t="n"/>
      <c r="L677" s="1665" t="n"/>
      <c r="M677" s="1665" t="n"/>
      <c r="N677" s="1665" t="n"/>
      <c r="O677" s="1665" t="n"/>
      <c r="P677" s="1665" t="n"/>
      <c r="Q677" s="1665" t="n"/>
      <c r="R677" s="1665" t="n"/>
      <c r="S677" s="1665" t="n"/>
      <c r="T677" s="1665" t="n"/>
      <c r="U677" s="1665" t="n"/>
      <c r="V677" s="1665" t="n"/>
      <c r="W677" s="1665" t="n"/>
      <c r="X677" s="1665" t="n"/>
      <c r="Y677" s="1665" t="n"/>
      <c r="Z677" s="1665" t="n"/>
    </row>
    <row r="678" ht="15.75" customHeight="1" s="1666">
      <c r="K678" s="1665" t="n"/>
      <c r="L678" s="1665" t="n"/>
      <c r="M678" s="1665" t="n"/>
      <c r="N678" s="1665" t="n"/>
      <c r="O678" s="1665" t="n"/>
      <c r="P678" s="1665" t="n"/>
      <c r="Q678" s="1665" t="n"/>
      <c r="R678" s="1665" t="n"/>
      <c r="S678" s="1665" t="n"/>
      <c r="T678" s="1665" t="n"/>
      <c r="U678" s="1665" t="n"/>
      <c r="V678" s="1665" t="n"/>
      <c r="W678" s="1665" t="n"/>
      <c r="X678" s="1665" t="n"/>
      <c r="Y678" s="1665" t="n"/>
      <c r="Z678" s="1665" t="n"/>
    </row>
    <row r="679" ht="15.75" customHeight="1" s="1666">
      <c r="K679" s="1665" t="n"/>
      <c r="L679" s="1665" t="n"/>
      <c r="M679" s="1665" t="n"/>
      <c r="N679" s="1665" t="n"/>
      <c r="O679" s="1665" t="n"/>
      <c r="P679" s="1665" t="n"/>
      <c r="Q679" s="1665" t="n"/>
      <c r="R679" s="1665" t="n"/>
      <c r="S679" s="1665" t="n"/>
      <c r="T679" s="1665" t="n"/>
      <c r="U679" s="1665" t="n"/>
      <c r="V679" s="1665" t="n"/>
      <c r="W679" s="1665" t="n"/>
      <c r="X679" s="1665" t="n"/>
      <c r="Y679" s="1665" t="n"/>
      <c r="Z679" s="1665" t="n"/>
    </row>
    <row r="680" ht="15.75" customHeight="1" s="1666">
      <c r="K680" s="1665" t="n"/>
      <c r="L680" s="1665" t="n"/>
      <c r="M680" s="1665" t="n"/>
      <c r="N680" s="1665" t="n"/>
      <c r="O680" s="1665" t="n"/>
      <c r="P680" s="1665" t="n"/>
      <c r="Q680" s="1665" t="n"/>
      <c r="R680" s="1665" t="n"/>
      <c r="S680" s="1665" t="n"/>
      <c r="T680" s="1665" t="n"/>
      <c r="U680" s="1665" t="n"/>
      <c r="V680" s="1665" t="n"/>
      <c r="W680" s="1665" t="n"/>
      <c r="X680" s="1665" t="n"/>
      <c r="Y680" s="1665" t="n"/>
      <c r="Z680" s="1665" t="n"/>
    </row>
    <row r="681" ht="15.75" customHeight="1" s="1666">
      <c r="K681" s="1665" t="n"/>
      <c r="L681" s="1665" t="n"/>
      <c r="M681" s="1665" t="n"/>
      <c r="N681" s="1665" t="n"/>
      <c r="O681" s="1665" t="n"/>
      <c r="P681" s="1665" t="n"/>
      <c r="Q681" s="1665" t="n"/>
      <c r="R681" s="1665" t="n"/>
      <c r="S681" s="1665" t="n"/>
      <c r="T681" s="1665" t="n"/>
      <c r="U681" s="1665" t="n"/>
      <c r="V681" s="1665" t="n"/>
      <c r="W681" s="1665" t="n"/>
      <c r="X681" s="1665" t="n"/>
      <c r="Y681" s="1665" t="n"/>
      <c r="Z681" s="1665" t="n"/>
    </row>
    <row r="682" ht="15.75" customHeight="1" s="1666">
      <c r="K682" s="1665" t="n"/>
      <c r="L682" s="1665" t="n"/>
      <c r="M682" s="1665" t="n"/>
      <c r="N682" s="1665" t="n"/>
      <c r="O682" s="1665" t="n"/>
      <c r="P682" s="1665" t="n"/>
      <c r="Q682" s="1665" t="n"/>
      <c r="R682" s="1665" t="n"/>
      <c r="S682" s="1665" t="n"/>
      <c r="T682" s="1665" t="n"/>
      <c r="U682" s="1665" t="n"/>
      <c r="V682" s="1665" t="n"/>
      <c r="W682" s="1665" t="n"/>
      <c r="X682" s="1665" t="n"/>
      <c r="Y682" s="1665" t="n"/>
      <c r="Z682" s="1665" t="n"/>
    </row>
    <row r="683" ht="15.75" customHeight="1" s="1666">
      <c r="K683" s="1665" t="n"/>
      <c r="L683" s="1665" t="n"/>
      <c r="M683" s="1665" t="n"/>
      <c r="N683" s="1665" t="n"/>
      <c r="O683" s="1665" t="n"/>
      <c r="P683" s="1665" t="n"/>
      <c r="Q683" s="1665" t="n"/>
      <c r="R683" s="1665" t="n"/>
      <c r="S683" s="1665" t="n"/>
      <c r="T683" s="1665" t="n"/>
      <c r="U683" s="1665" t="n"/>
      <c r="V683" s="1665" t="n"/>
      <c r="W683" s="1665" t="n"/>
      <c r="X683" s="1665" t="n"/>
      <c r="Y683" s="1665" t="n"/>
      <c r="Z683" s="1665" t="n"/>
    </row>
    <row r="684" ht="15.75" customHeight="1" s="1666">
      <c r="K684" s="1665" t="n"/>
      <c r="L684" s="1665" t="n"/>
      <c r="M684" s="1665" t="n"/>
      <c r="N684" s="1665" t="n"/>
      <c r="O684" s="1665" t="n"/>
      <c r="P684" s="1665" t="n"/>
      <c r="Q684" s="1665" t="n"/>
      <c r="R684" s="1665" t="n"/>
      <c r="S684" s="1665" t="n"/>
      <c r="T684" s="1665" t="n"/>
      <c r="U684" s="1665" t="n"/>
      <c r="V684" s="1665" t="n"/>
      <c r="W684" s="1665" t="n"/>
      <c r="X684" s="1665" t="n"/>
      <c r="Y684" s="1665" t="n"/>
      <c r="Z684" s="1665" t="n"/>
    </row>
    <row r="685" ht="15.75" customHeight="1" s="1666">
      <c r="K685" s="1665" t="n"/>
      <c r="L685" s="1665" t="n"/>
      <c r="M685" s="1665" t="n"/>
      <c r="N685" s="1665" t="n"/>
      <c r="O685" s="1665" t="n"/>
      <c r="P685" s="1665" t="n"/>
      <c r="Q685" s="1665" t="n"/>
      <c r="R685" s="1665" t="n"/>
      <c r="S685" s="1665" t="n"/>
      <c r="T685" s="1665" t="n"/>
      <c r="U685" s="1665" t="n"/>
      <c r="V685" s="1665" t="n"/>
      <c r="W685" s="1665" t="n"/>
      <c r="X685" s="1665" t="n"/>
      <c r="Y685" s="1665" t="n"/>
      <c r="Z685" s="1665" t="n"/>
    </row>
    <row r="686" ht="15.75" customHeight="1" s="1666">
      <c r="K686" s="1665" t="n"/>
      <c r="L686" s="1665" t="n"/>
      <c r="M686" s="1665" t="n"/>
      <c r="N686" s="1665" t="n"/>
      <c r="O686" s="1665" t="n"/>
      <c r="P686" s="1665" t="n"/>
      <c r="Q686" s="1665" t="n"/>
      <c r="R686" s="1665" t="n"/>
      <c r="S686" s="1665" t="n"/>
      <c r="T686" s="1665" t="n"/>
      <c r="U686" s="1665" t="n"/>
      <c r="V686" s="1665" t="n"/>
      <c r="W686" s="1665" t="n"/>
      <c r="X686" s="1665" t="n"/>
      <c r="Y686" s="1665" t="n"/>
      <c r="Z686" s="1665" t="n"/>
    </row>
    <row r="687" ht="15.75" customHeight="1" s="1666">
      <c r="K687" s="1665" t="n"/>
      <c r="L687" s="1665" t="n"/>
      <c r="M687" s="1665" t="n"/>
      <c r="N687" s="1665" t="n"/>
      <c r="O687" s="1665" t="n"/>
      <c r="P687" s="1665" t="n"/>
      <c r="Q687" s="1665" t="n"/>
      <c r="R687" s="1665" t="n"/>
      <c r="S687" s="1665" t="n"/>
      <c r="T687" s="1665" t="n"/>
      <c r="U687" s="1665" t="n"/>
      <c r="V687" s="1665" t="n"/>
      <c r="W687" s="1665" t="n"/>
      <c r="X687" s="1665" t="n"/>
      <c r="Y687" s="1665" t="n"/>
      <c r="Z687" s="1665" t="n"/>
    </row>
    <row r="688" ht="15.75" customHeight="1" s="1666">
      <c r="K688" s="1665" t="n"/>
      <c r="L688" s="1665" t="n"/>
      <c r="M688" s="1665" t="n"/>
      <c r="N688" s="1665" t="n"/>
      <c r="O688" s="1665" t="n"/>
      <c r="P688" s="1665" t="n"/>
      <c r="Q688" s="1665" t="n"/>
      <c r="R688" s="1665" t="n"/>
      <c r="S688" s="1665" t="n"/>
      <c r="T688" s="1665" t="n"/>
      <c r="U688" s="1665" t="n"/>
      <c r="V688" s="1665" t="n"/>
      <c r="W688" s="1665" t="n"/>
      <c r="X688" s="1665" t="n"/>
      <c r="Y688" s="1665" t="n"/>
      <c r="Z688" s="1665" t="n"/>
    </row>
    <row r="689" ht="15.75" customHeight="1" s="1666">
      <c r="K689" s="1665" t="n"/>
      <c r="L689" s="1665" t="n"/>
      <c r="M689" s="1665" t="n"/>
      <c r="N689" s="1665" t="n"/>
      <c r="O689" s="1665" t="n"/>
      <c r="P689" s="1665" t="n"/>
      <c r="Q689" s="1665" t="n"/>
      <c r="R689" s="1665" t="n"/>
      <c r="S689" s="1665" t="n"/>
      <c r="T689" s="1665" t="n"/>
      <c r="U689" s="1665" t="n"/>
      <c r="V689" s="1665" t="n"/>
      <c r="W689" s="1665" t="n"/>
      <c r="X689" s="1665" t="n"/>
      <c r="Y689" s="1665" t="n"/>
      <c r="Z689" s="1665" t="n"/>
    </row>
    <row r="690" ht="15.75" customHeight="1" s="1666">
      <c r="K690" s="1665" t="n"/>
      <c r="L690" s="1665" t="n"/>
      <c r="M690" s="1665" t="n"/>
      <c r="N690" s="1665" t="n"/>
      <c r="O690" s="1665" t="n"/>
      <c r="P690" s="1665" t="n"/>
      <c r="Q690" s="1665" t="n"/>
      <c r="R690" s="1665" t="n"/>
      <c r="S690" s="1665" t="n"/>
      <c r="T690" s="1665" t="n"/>
      <c r="U690" s="1665" t="n"/>
      <c r="V690" s="1665" t="n"/>
      <c r="W690" s="1665" t="n"/>
      <c r="X690" s="1665" t="n"/>
      <c r="Y690" s="1665" t="n"/>
      <c r="Z690" s="1665" t="n"/>
    </row>
    <row r="691" ht="15.75" customHeight="1" s="1666">
      <c r="K691" s="1665" t="n"/>
      <c r="L691" s="1665" t="n"/>
      <c r="M691" s="1665" t="n"/>
      <c r="N691" s="1665" t="n"/>
      <c r="O691" s="1665" t="n"/>
      <c r="P691" s="1665" t="n"/>
      <c r="Q691" s="1665" t="n"/>
      <c r="R691" s="1665" t="n"/>
      <c r="S691" s="1665" t="n"/>
      <c r="T691" s="1665" t="n"/>
      <c r="U691" s="1665" t="n"/>
      <c r="V691" s="1665" t="n"/>
      <c r="W691" s="1665" t="n"/>
      <c r="X691" s="1665" t="n"/>
      <c r="Y691" s="1665" t="n"/>
      <c r="Z691" s="1665" t="n"/>
    </row>
    <row r="692" ht="15.75" customHeight="1" s="1666">
      <c r="K692" s="1665" t="n"/>
      <c r="L692" s="1665" t="n"/>
      <c r="M692" s="1665" t="n"/>
      <c r="N692" s="1665" t="n"/>
      <c r="O692" s="1665" t="n"/>
      <c r="P692" s="1665" t="n"/>
      <c r="Q692" s="1665" t="n"/>
      <c r="R692" s="1665" t="n"/>
      <c r="S692" s="1665" t="n"/>
      <c r="T692" s="1665" t="n"/>
      <c r="U692" s="1665" t="n"/>
      <c r="V692" s="1665" t="n"/>
      <c r="W692" s="1665" t="n"/>
      <c r="X692" s="1665" t="n"/>
      <c r="Y692" s="1665" t="n"/>
      <c r="Z692" s="1665" t="n"/>
    </row>
    <row r="693" ht="15.75" customHeight="1" s="1666">
      <c r="K693" s="1665" t="n"/>
      <c r="L693" s="1665" t="n"/>
      <c r="M693" s="1665" t="n"/>
      <c r="N693" s="1665" t="n"/>
      <c r="O693" s="1665" t="n"/>
      <c r="P693" s="1665" t="n"/>
      <c r="Q693" s="1665" t="n"/>
      <c r="R693" s="1665" t="n"/>
      <c r="S693" s="1665" t="n"/>
      <c r="T693" s="1665" t="n"/>
      <c r="U693" s="1665" t="n"/>
      <c r="V693" s="1665" t="n"/>
      <c r="W693" s="1665" t="n"/>
      <c r="X693" s="1665" t="n"/>
      <c r="Y693" s="1665" t="n"/>
      <c r="Z693" s="1665" t="n"/>
    </row>
    <row r="694" ht="15.75" customHeight="1" s="1666">
      <c r="K694" s="1665" t="n"/>
      <c r="L694" s="1665" t="n"/>
      <c r="M694" s="1665" t="n"/>
      <c r="N694" s="1665" t="n"/>
      <c r="O694" s="1665" t="n"/>
      <c r="P694" s="1665" t="n"/>
      <c r="Q694" s="1665" t="n"/>
      <c r="R694" s="1665" t="n"/>
      <c r="S694" s="1665" t="n"/>
      <c r="T694" s="1665" t="n"/>
      <c r="U694" s="1665" t="n"/>
      <c r="V694" s="1665" t="n"/>
      <c r="W694" s="1665" t="n"/>
      <c r="X694" s="1665" t="n"/>
      <c r="Y694" s="1665" t="n"/>
      <c r="Z694" s="1665" t="n"/>
    </row>
    <row r="695" ht="15.75" customHeight="1" s="1666">
      <c r="K695" s="1665" t="n"/>
      <c r="L695" s="1665" t="n"/>
      <c r="M695" s="1665" t="n"/>
      <c r="N695" s="1665" t="n"/>
      <c r="O695" s="1665" t="n"/>
      <c r="P695" s="1665" t="n"/>
      <c r="Q695" s="1665" t="n"/>
      <c r="R695" s="1665" t="n"/>
      <c r="S695" s="1665" t="n"/>
      <c r="T695" s="1665" t="n"/>
      <c r="U695" s="1665" t="n"/>
      <c r="V695" s="1665" t="n"/>
      <c r="W695" s="1665" t="n"/>
      <c r="X695" s="1665" t="n"/>
      <c r="Y695" s="1665" t="n"/>
      <c r="Z695" s="1665" t="n"/>
    </row>
    <row r="696" ht="15.75" customHeight="1" s="1666">
      <c r="K696" s="1665" t="n"/>
      <c r="L696" s="1665" t="n"/>
      <c r="M696" s="1665" t="n"/>
      <c r="N696" s="1665" t="n"/>
      <c r="O696" s="1665" t="n"/>
      <c r="P696" s="1665" t="n"/>
      <c r="Q696" s="1665" t="n"/>
      <c r="R696" s="1665" t="n"/>
      <c r="S696" s="1665" t="n"/>
      <c r="T696" s="1665" t="n"/>
      <c r="U696" s="1665" t="n"/>
      <c r="V696" s="1665" t="n"/>
      <c r="W696" s="1665" t="n"/>
      <c r="X696" s="1665" t="n"/>
      <c r="Y696" s="1665" t="n"/>
      <c r="Z696" s="1665" t="n"/>
    </row>
    <row r="697" ht="15.75" customHeight="1" s="1666">
      <c r="K697" s="1665" t="n"/>
      <c r="L697" s="1665" t="n"/>
      <c r="M697" s="1665" t="n"/>
      <c r="N697" s="1665" t="n"/>
      <c r="O697" s="1665" t="n"/>
      <c r="P697" s="1665" t="n"/>
      <c r="Q697" s="1665" t="n"/>
      <c r="R697" s="1665" t="n"/>
      <c r="S697" s="1665" t="n"/>
      <c r="T697" s="1665" t="n"/>
      <c r="U697" s="1665" t="n"/>
      <c r="V697" s="1665" t="n"/>
      <c r="W697" s="1665" t="n"/>
      <c r="X697" s="1665" t="n"/>
      <c r="Y697" s="1665" t="n"/>
      <c r="Z697" s="1665" t="n"/>
    </row>
    <row r="698" ht="15.75" customHeight="1" s="1666">
      <c r="K698" s="1665" t="n"/>
      <c r="L698" s="1665" t="n"/>
      <c r="M698" s="1665" t="n"/>
      <c r="N698" s="1665" t="n"/>
      <c r="O698" s="1665" t="n"/>
      <c r="P698" s="1665" t="n"/>
      <c r="Q698" s="1665" t="n"/>
      <c r="R698" s="1665" t="n"/>
      <c r="S698" s="1665" t="n"/>
      <c r="T698" s="1665" t="n"/>
      <c r="U698" s="1665" t="n"/>
      <c r="V698" s="1665" t="n"/>
      <c r="W698" s="1665" t="n"/>
      <c r="X698" s="1665" t="n"/>
      <c r="Y698" s="1665" t="n"/>
      <c r="Z698" s="1665" t="n"/>
    </row>
    <row r="699" ht="15.75" customHeight="1" s="1666">
      <c r="K699" s="1665" t="n"/>
      <c r="L699" s="1665" t="n"/>
      <c r="M699" s="1665" t="n"/>
      <c r="N699" s="1665" t="n"/>
      <c r="O699" s="1665" t="n"/>
      <c r="P699" s="1665" t="n"/>
      <c r="Q699" s="1665" t="n"/>
      <c r="R699" s="1665" t="n"/>
      <c r="S699" s="1665" t="n"/>
      <c r="T699" s="1665" t="n"/>
      <c r="U699" s="1665" t="n"/>
      <c r="V699" s="1665" t="n"/>
      <c r="W699" s="1665" t="n"/>
      <c r="X699" s="1665" t="n"/>
      <c r="Y699" s="1665" t="n"/>
      <c r="Z699" s="1665" t="n"/>
    </row>
    <row r="700" ht="15.75" customHeight="1" s="1666">
      <c r="K700" s="1665" t="n"/>
      <c r="L700" s="1665" t="n"/>
      <c r="M700" s="1665" t="n"/>
      <c r="N700" s="1665" t="n"/>
      <c r="O700" s="1665" t="n"/>
      <c r="P700" s="1665" t="n"/>
      <c r="Q700" s="1665" t="n"/>
      <c r="R700" s="1665" t="n"/>
      <c r="S700" s="1665" t="n"/>
      <c r="T700" s="1665" t="n"/>
      <c r="U700" s="1665" t="n"/>
      <c r="V700" s="1665" t="n"/>
      <c r="W700" s="1665" t="n"/>
      <c r="X700" s="1665" t="n"/>
      <c r="Y700" s="1665" t="n"/>
      <c r="Z700" s="1665" t="n"/>
    </row>
    <row r="701" ht="15.75" customHeight="1" s="1666">
      <c r="K701" s="1665" t="n"/>
      <c r="L701" s="1665" t="n"/>
      <c r="M701" s="1665" t="n"/>
      <c r="N701" s="1665" t="n"/>
      <c r="O701" s="1665" t="n"/>
      <c r="P701" s="1665" t="n"/>
      <c r="Q701" s="1665" t="n"/>
      <c r="R701" s="1665" t="n"/>
      <c r="S701" s="1665" t="n"/>
      <c r="T701" s="1665" t="n"/>
      <c r="U701" s="1665" t="n"/>
      <c r="V701" s="1665" t="n"/>
      <c r="W701" s="1665" t="n"/>
      <c r="X701" s="1665" t="n"/>
      <c r="Y701" s="1665" t="n"/>
      <c r="Z701" s="1665" t="n"/>
    </row>
    <row r="702" ht="15.75" customHeight="1" s="1666">
      <c r="K702" s="1665" t="n"/>
      <c r="L702" s="1665" t="n"/>
      <c r="M702" s="1665" t="n"/>
      <c r="N702" s="1665" t="n"/>
      <c r="O702" s="1665" t="n"/>
      <c r="P702" s="1665" t="n"/>
      <c r="Q702" s="1665" t="n"/>
      <c r="R702" s="1665" t="n"/>
      <c r="S702" s="1665" t="n"/>
      <c r="T702" s="1665" t="n"/>
      <c r="U702" s="1665" t="n"/>
      <c r="V702" s="1665" t="n"/>
      <c r="W702" s="1665" t="n"/>
      <c r="X702" s="1665" t="n"/>
      <c r="Y702" s="1665" t="n"/>
      <c r="Z702" s="1665" t="n"/>
    </row>
    <row r="703" ht="15.75" customHeight="1" s="1666">
      <c r="K703" s="1665" t="n"/>
      <c r="L703" s="1665" t="n"/>
      <c r="M703" s="1665" t="n"/>
      <c r="N703" s="1665" t="n"/>
      <c r="O703" s="1665" t="n"/>
      <c r="P703" s="1665" t="n"/>
      <c r="Q703" s="1665" t="n"/>
      <c r="R703" s="1665" t="n"/>
      <c r="S703" s="1665" t="n"/>
      <c r="T703" s="1665" t="n"/>
      <c r="U703" s="1665" t="n"/>
      <c r="V703" s="1665" t="n"/>
      <c r="W703" s="1665" t="n"/>
      <c r="X703" s="1665" t="n"/>
      <c r="Y703" s="1665" t="n"/>
      <c r="Z703" s="1665" t="n"/>
    </row>
    <row r="704" ht="15.75" customHeight="1" s="1666">
      <c r="K704" s="1665" t="n"/>
      <c r="L704" s="1665" t="n"/>
      <c r="M704" s="1665" t="n"/>
      <c r="N704" s="1665" t="n"/>
      <c r="O704" s="1665" t="n"/>
      <c r="P704" s="1665" t="n"/>
      <c r="Q704" s="1665" t="n"/>
      <c r="R704" s="1665" t="n"/>
      <c r="S704" s="1665" t="n"/>
      <c r="T704" s="1665" t="n"/>
      <c r="U704" s="1665" t="n"/>
      <c r="V704" s="1665" t="n"/>
      <c r="W704" s="1665" t="n"/>
      <c r="X704" s="1665" t="n"/>
      <c r="Y704" s="1665" t="n"/>
      <c r="Z704" s="1665" t="n"/>
    </row>
    <row r="705" ht="15.75" customHeight="1" s="1666">
      <c r="K705" s="1665" t="n"/>
      <c r="L705" s="1665" t="n"/>
      <c r="M705" s="1665" t="n"/>
      <c r="N705" s="1665" t="n"/>
      <c r="O705" s="1665" t="n"/>
      <c r="P705" s="1665" t="n"/>
      <c r="Q705" s="1665" t="n"/>
      <c r="R705" s="1665" t="n"/>
      <c r="S705" s="1665" t="n"/>
      <c r="T705" s="1665" t="n"/>
      <c r="U705" s="1665" t="n"/>
      <c r="V705" s="1665" t="n"/>
      <c r="W705" s="1665" t="n"/>
      <c r="X705" s="1665" t="n"/>
      <c r="Y705" s="1665" t="n"/>
      <c r="Z705" s="1665" t="n"/>
    </row>
    <row r="706" ht="15.75" customHeight="1" s="1666">
      <c r="K706" s="1665" t="n"/>
      <c r="L706" s="1665" t="n"/>
      <c r="M706" s="1665" t="n"/>
      <c r="N706" s="1665" t="n"/>
      <c r="O706" s="1665" t="n"/>
      <c r="P706" s="1665" t="n"/>
      <c r="Q706" s="1665" t="n"/>
      <c r="R706" s="1665" t="n"/>
      <c r="S706" s="1665" t="n"/>
      <c r="T706" s="1665" t="n"/>
      <c r="U706" s="1665" t="n"/>
      <c r="V706" s="1665" t="n"/>
      <c r="W706" s="1665" t="n"/>
      <c r="X706" s="1665" t="n"/>
      <c r="Y706" s="1665" t="n"/>
      <c r="Z706" s="1665" t="n"/>
    </row>
    <row r="707" ht="15.75" customHeight="1" s="1666">
      <c r="K707" s="1665" t="n"/>
      <c r="L707" s="1665" t="n"/>
      <c r="M707" s="1665" t="n"/>
      <c r="N707" s="1665" t="n"/>
      <c r="O707" s="1665" t="n"/>
      <c r="P707" s="1665" t="n"/>
      <c r="Q707" s="1665" t="n"/>
      <c r="R707" s="1665" t="n"/>
      <c r="S707" s="1665" t="n"/>
      <c r="T707" s="1665" t="n"/>
      <c r="U707" s="1665" t="n"/>
      <c r="V707" s="1665" t="n"/>
      <c r="W707" s="1665" t="n"/>
      <c r="X707" s="1665" t="n"/>
      <c r="Y707" s="1665" t="n"/>
      <c r="Z707" s="1665" t="n"/>
    </row>
    <row r="708" ht="15.75" customHeight="1" s="1666">
      <c r="K708" s="1665" t="n"/>
      <c r="L708" s="1665" t="n"/>
      <c r="M708" s="1665" t="n"/>
      <c r="N708" s="1665" t="n"/>
      <c r="O708" s="1665" t="n"/>
      <c r="P708" s="1665" t="n"/>
      <c r="Q708" s="1665" t="n"/>
      <c r="R708" s="1665" t="n"/>
      <c r="S708" s="1665" t="n"/>
      <c r="T708" s="1665" t="n"/>
      <c r="U708" s="1665" t="n"/>
      <c r="V708" s="1665" t="n"/>
      <c r="W708" s="1665" t="n"/>
      <c r="X708" s="1665" t="n"/>
      <c r="Y708" s="1665" t="n"/>
      <c r="Z708" s="1665" t="n"/>
    </row>
    <row r="709" ht="15.75" customHeight="1" s="1666">
      <c r="K709" s="1665" t="n"/>
      <c r="L709" s="1665" t="n"/>
      <c r="M709" s="1665" t="n"/>
      <c r="N709" s="1665" t="n"/>
      <c r="O709" s="1665" t="n"/>
      <c r="P709" s="1665" t="n"/>
      <c r="Q709" s="1665" t="n"/>
      <c r="R709" s="1665" t="n"/>
      <c r="S709" s="1665" t="n"/>
      <c r="T709" s="1665" t="n"/>
      <c r="U709" s="1665" t="n"/>
      <c r="V709" s="1665" t="n"/>
      <c r="W709" s="1665" t="n"/>
      <c r="X709" s="1665" t="n"/>
      <c r="Y709" s="1665" t="n"/>
      <c r="Z709" s="1665" t="n"/>
    </row>
    <row r="710" ht="15.75" customHeight="1" s="1666">
      <c r="K710" s="1665" t="n"/>
      <c r="L710" s="1665" t="n"/>
      <c r="M710" s="1665" t="n"/>
      <c r="N710" s="1665" t="n"/>
      <c r="O710" s="1665" t="n"/>
      <c r="P710" s="1665" t="n"/>
      <c r="Q710" s="1665" t="n"/>
      <c r="R710" s="1665" t="n"/>
      <c r="S710" s="1665" t="n"/>
      <c r="T710" s="1665" t="n"/>
      <c r="U710" s="1665" t="n"/>
      <c r="V710" s="1665" t="n"/>
      <c r="W710" s="1665" t="n"/>
      <c r="X710" s="1665" t="n"/>
      <c r="Y710" s="1665" t="n"/>
      <c r="Z710" s="1665" t="n"/>
    </row>
    <row r="711" ht="15.75" customHeight="1" s="1666">
      <c r="K711" s="1665" t="n"/>
      <c r="L711" s="1665" t="n"/>
      <c r="M711" s="1665" t="n"/>
      <c r="N711" s="1665" t="n"/>
      <c r="O711" s="1665" t="n"/>
      <c r="P711" s="1665" t="n"/>
      <c r="Q711" s="1665" t="n"/>
      <c r="R711" s="1665" t="n"/>
      <c r="S711" s="1665" t="n"/>
      <c r="T711" s="1665" t="n"/>
      <c r="U711" s="1665" t="n"/>
      <c r="V711" s="1665" t="n"/>
      <c r="W711" s="1665" t="n"/>
      <c r="X711" s="1665" t="n"/>
      <c r="Y711" s="1665" t="n"/>
      <c r="Z711" s="1665" t="n"/>
    </row>
    <row r="712" ht="15.75" customHeight="1" s="1666">
      <c r="K712" s="1665" t="n"/>
      <c r="L712" s="1665" t="n"/>
      <c r="M712" s="1665" t="n"/>
      <c r="N712" s="1665" t="n"/>
      <c r="O712" s="1665" t="n"/>
      <c r="P712" s="1665" t="n"/>
      <c r="Q712" s="1665" t="n"/>
      <c r="R712" s="1665" t="n"/>
      <c r="S712" s="1665" t="n"/>
      <c r="T712" s="1665" t="n"/>
      <c r="U712" s="1665" t="n"/>
      <c r="V712" s="1665" t="n"/>
      <c r="W712" s="1665" t="n"/>
      <c r="X712" s="1665" t="n"/>
      <c r="Y712" s="1665" t="n"/>
      <c r="Z712" s="1665" t="n"/>
    </row>
    <row r="713" ht="15.75" customHeight="1" s="1666">
      <c r="K713" s="1665" t="n"/>
      <c r="L713" s="1665" t="n"/>
      <c r="M713" s="1665" t="n"/>
      <c r="N713" s="1665" t="n"/>
      <c r="O713" s="1665" t="n"/>
      <c r="P713" s="1665" t="n"/>
      <c r="Q713" s="1665" t="n"/>
      <c r="R713" s="1665" t="n"/>
      <c r="S713" s="1665" t="n"/>
      <c r="T713" s="1665" t="n"/>
      <c r="U713" s="1665" t="n"/>
      <c r="V713" s="1665" t="n"/>
      <c r="W713" s="1665" t="n"/>
      <c r="X713" s="1665" t="n"/>
      <c r="Y713" s="1665" t="n"/>
      <c r="Z713" s="1665" t="n"/>
    </row>
    <row r="714" ht="15.75" customHeight="1" s="1666">
      <c r="K714" s="1665" t="n"/>
      <c r="L714" s="1665" t="n"/>
      <c r="M714" s="1665" t="n"/>
      <c r="N714" s="1665" t="n"/>
      <c r="O714" s="1665" t="n"/>
      <c r="P714" s="1665" t="n"/>
      <c r="Q714" s="1665" t="n"/>
      <c r="R714" s="1665" t="n"/>
      <c r="S714" s="1665" t="n"/>
      <c r="T714" s="1665" t="n"/>
      <c r="U714" s="1665" t="n"/>
      <c r="V714" s="1665" t="n"/>
      <c r="W714" s="1665" t="n"/>
      <c r="X714" s="1665" t="n"/>
      <c r="Y714" s="1665" t="n"/>
      <c r="Z714" s="1665" t="n"/>
    </row>
    <row r="715" ht="15.75" customHeight="1" s="1666">
      <c r="K715" s="1665" t="n"/>
      <c r="L715" s="1665" t="n"/>
      <c r="M715" s="1665" t="n"/>
      <c r="N715" s="1665" t="n"/>
      <c r="O715" s="1665" t="n"/>
      <c r="P715" s="1665" t="n"/>
      <c r="Q715" s="1665" t="n"/>
      <c r="R715" s="1665" t="n"/>
      <c r="S715" s="1665" t="n"/>
      <c r="T715" s="1665" t="n"/>
      <c r="U715" s="1665" t="n"/>
      <c r="V715" s="1665" t="n"/>
      <c r="W715" s="1665" t="n"/>
      <c r="X715" s="1665" t="n"/>
      <c r="Y715" s="1665" t="n"/>
      <c r="Z715" s="1665" t="n"/>
    </row>
    <row r="716" ht="15.75" customHeight="1" s="1666">
      <c r="K716" s="1665" t="n"/>
      <c r="L716" s="1665" t="n"/>
      <c r="M716" s="1665" t="n"/>
      <c r="N716" s="1665" t="n"/>
      <c r="O716" s="1665" t="n"/>
      <c r="P716" s="1665" t="n"/>
      <c r="Q716" s="1665" t="n"/>
      <c r="R716" s="1665" t="n"/>
      <c r="S716" s="1665" t="n"/>
      <c r="T716" s="1665" t="n"/>
      <c r="U716" s="1665" t="n"/>
      <c r="V716" s="1665" t="n"/>
      <c r="W716" s="1665" t="n"/>
      <c r="X716" s="1665" t="n"/>
      <c r="Y716" s="1665" t="n"/>
      <c r="Z716" s="1665" t="n"/>
    </row>
    <row r="717" ht="15.75" customHeight="1" s="1666">
      <c r="K717" s="1665" t="n"/>
      <c r="L717" s="1665" t="n"/>
      <c r="M717" s="1665" t="n"/>
      <c r="N717" s="1665" t="n"/>
      <c r="O717" s="1665" t="n"/>
      <c r="P717" s="1665" t="n"/>
      <c r="Q717" s="1665" t="n"/>
      <c r="R717" s="1665" t="n"/>
      <c r="S717" s="1665" t="n"/>
      <c r="T717" s="1665" t="n"/>
      <c r="U717" s="1665" t="n"/>
      <c r="V717" s="1665" t="n"/>
      <c r="W717" s="1665" t="n"/>
      <c r="X717" s="1665" t="n"/>
      <c r="Y717" s="1665" t="n"/>
      <c r="Z717" s="1665" t="n"/>
    </row>
    <row r="718" ht="15.75" customHeight="1" s="1666">
      <c r="K718" s="1665" t="n"/>
      <c r="L718" s="1665" t="n"/>
      <c r="M718" s="1665" t="n"/>
      <c r="N718" s="1665" t="n"/>
      <c r="O718" s="1665" t="n"/>
      <c r="P718" s="1665" t="n"/>
      <c r="Q718" s="1665" t="n"/>
      <c r="R718" s="1665" t="n"/>
      <c r="S718" s="1665" t="n"/>
      <c r="T718" s="1665" t="n"/>
      <c r="U718" s="1665" t="n"/>
      <c r="V718" s="1665" t="n"/>
      <c r="W718" s="1665" t="n"/>
      <c r="X718" s="1665" t="n"/>
      <c r="Y718" s="1665" t="n"/>
      <c r="Z718" s="1665" t="n"/>
    </row>
    <row r="719" ht="15.75" customHeight="1" s="1666">
      <c r="K719" s="1665" t="n"/>
      <c r="L719" s="1665" t="n"/>
      <c r="M719" s="1665" t="n"/>
      <c r="N719" s="1665" t="n"/>
      <c r="O719" s="1665" t="n"/>
      <c r="P719" s="1665" t="n"/>
      <c r="Q719" s="1665" t="n"/>
      <c r="R719" s="1665" t="n"/>
      <c r="S719" s="1665" t="n"/>
      <c r="T719" s="1665" t="n"/>
      <c r="U719" s="1665" t="n"/>
      <c r="V719" s="1665" t="n"/>
      <c r="W719" s="1665" t="n"/>
      <c r="X719" s="1665" t="n"/>
      <c r="Y719" s="1665" t="n"/>
      <c r="Z719" s="1665" t="n"/>
    </row>
    <row r="720" ht="15.75" customHeight="1" s="1666">
      <c r="K720" s="1665" t="n"/>
      <c r="L720" s="1665" t="n"/>
      <c r="M720" s="1665" t="n"/>
      <c r="N720" s="1665" t="n"/>
      <c r="O720" s="1665" t="n"/>
      <c r="P720" s="1665" t="n"/>
      <c r="Q720" s="1665" t="n"/>
      <c r="R720" s="1665" t="n"/>
      <c r="S720" s="1665" t="n"/>
      <c r="T720" s="1665" t="n"/>
      <c r="U720" s="1665" t="n"/>
      <c r="V720" s="1665" t="n"/>
      <c r="W720" s="1665" t="n"/>
      <c r="X720" s="1665" t="n"/>
      <c r="Y720" s="1665" t="n"/>
      <c r="Z720" s="1665" t="n"/>
    </row>
    <row r="721" ht="15.75" customHeight="1" s="1666">
      <c r="K721" s="1665" t="n"/>
      <c r="L721" s="1665" t="n"/>
      <c r="M721" s="1665" t="n"/>
      <c r="N721" s="1665" t="n"/>
      <c r="O721" s="1665" t="n"/>
      <c r="P721" s="1665" t="n"/>
      <c r="Q721" s="1665" t="n"/>
      <c r="R721" s="1665" t="n"/>
      <c r="S721" s="1665" t="n"/>
      <c r="T721" s="1665" t="n"/>
      <c r="U721" s="1665" t="n"/>
      <c r="V721" s="1665" t="n"/>
      <c r="W721" s="1665" t="n"/>
      <c r="X721" s="1665" t="n"/>
      <c r="Y721" s="1665" t="n"/>
      <c r="Z721" s="1665" t="n"/>
    </row>
    <row r="722" ht="15.75" customHeight="1" s="1666">
      <c r="K722" s="1665" t="n"/>
      <c r="L722" s="1665" t="n"/>
      <c r="M722" s="1665" t="n"/>
      <c r="N722" s="1665" t="n"/>
      <c r="O722" s="1665" t="n"/>
      <c r="P722" s="1665" t="n"/>
      <c r="Q722" s="1665" t="n"/>
      <c r="R722" s="1665" t="n"/>
      <c r="S722" s="1665" t="n"/>
      <c r="T722" s="1665" t="n"/>
      <c r="U722" s="1665" t="n"/>
      <c r="V722" s="1665" t="n"/>
      <c r="W722" s="1665" t="n"/>
      <c r="X722" s="1665" t="n"/>
      <c r="Y722" s="1665" t="n"/>
      <c r="Z722" s="1665" t="n"/>
    </row>
    <row r="723" ht="15.75" customHeight="1" s="1666">
      <c r="K723" s="1665" t="n"/>
      <c r="L723" s="1665" t="n"/>
      <c r="M723" s="1665" t="n"/>
      <c r="N723" s="1665" t="n"/>
      <c r="O723" s="1665" t="n"/>
      <c r="P723" s="1665" t="n"/>
      <c r="Q723" s="1665" t="n"/>
      <c r="R723" s="1665" t="n"/>
      <c r="S723" s="1665" t="n"/>
      <c r="T723" s="1665" t="n"/>
      <c r="U723" s="1665" t="n"/>
      <c r="V723" s="1665" t="n"/>
      <c r="W723" s="1665" t="n"/>
      <c r="X723" s="1665" t="n"/>
      <c r="Y723" s="1665" t="n"/>
      <c r="Z723" s="1665" t="n"/>
    </row>
    <row r="724" ht="15.75" customHeight="1" s="1666">
      <c r="K724" s="1665" t="n"/>
      <c r="L724" s="1665" t="n"/>
      <c r="M724" s="1665" t="n"/>
      <c r="N724" s="1665" t="n"/>
      <c r="O724" s="1665" t="n"/>
      <c r="P724" s="1665" t="n"/>
      <c r="Q724" s="1665" t="n"/>
      <c r="R724" s="1665" t="n"/>
      <c r="S724" s="1665" t="n"/>
      <c r="T724" s="1665" t="n"/>
      <c r="U724" s="1665" t="n"/>
      <c r="V724" s="1665" t="n"/>
      <c r="W724" s="1665" t="n"/>
      <c r="X724" s="1665" t="n"/>
      <c r="Y724" s="1665" t="n"/>
      <c r="Z724" s="1665" t="n"/>
    </row>
    <row r="725" ht="15.75" customHeight="1" s="1666">
      <c r="K725" s="1665" t="n"/>
      <c r="L725" s="1665" t="n"/>
      <c r="M725" s="1665" t="n"/>
      <c r="N725" s="1665" t="n"/>
      <c r="O725" s="1665" t="n"/>
      <c r="P725" s="1665" t="n"/>
      <c r="Q725" s="1665" t="n"/>
      <c r="R725" s="1665" t="n"/>
      <c r="S725" s="1665" t="n"/>
      <c r="T725" s="1665" t="n"/>
      <c r="U725" s="1665" t="n"/>
      <c r="V725" s="1665" t="n"/>
      <c r="W725" s="1665" t="n"/>
      <c r="X725" s="1665" t="n"/>
      <c r="Y725" s="1665" t="n"/>
      <c r="Z725" s="1665" t="n"/>
    </row>
    <row r="726" ht="15.75" customHeight="1" s="1666">
      <c r="K726" s="1665" t="n"/>
      <c r="L726" s="1665" t="n"/>
      <c r="M726" s="1665" t="n"/>
      <c r="N726" s="1665" t="n"/>
      <c r="O726" s="1665" t="n"/>
      <c r="P726" s="1665" t="n"/>
      <c r="Q726" s="1665" t="n"/>
      <c r="R726" s="1665" t="n"/>
      <c r="S726" s="1665" t="n"/>
      <c r="T726" s="1665" t="n"/>
      <c r="U726" s="1665" t="n"/>
      <c r="V726" s="1665" t="n"/>
      <c r="W726" s="1665" t="n"/>
      <c r="X726" s="1665" t="n"/>
      <c r="Y726" s="1665" t="n"/>
      <c r="Z726" s="1665" t="n"/>
    </row>
    <row r="727" ht="15.75" customHeight="1" s="1666">
      <c r="K727" s="1665" t="n"/>
      <c r="L727" s="1665" t="n"/>
      <c r="M727" s="1665" t="n"/>
      <c r="N727" s="1665" t="n"/>
      <c r="O727" s="1665" t="n"/>
      <c r="P727" s="1665" t="n"/>
      <c r="Q727" s="1665" t="n"/>
      <c r="R727" s="1665" t="n"/>
      <c r="S727" s="1665" t="n"/>
      <c r="T727" s="1665" t="n"/>
      <c r="U727" s="1665" t="n"/>
      <c r="V727" s="1665" t="n"/>
      <c r="W727" s="1665" t="n"/>
      <c r="X727" s="1665" t="n"/>
      <c r="Y727" s="1665" t="n"/>
      <c r="Z727" s="1665" t="n"/>
    </row>
    <row r="728" ht="15.75" customHeight="1" s="1666">
      <c r="K728" s="1665" t="n"/>
      <c r="L728" s="1665" t="n"/>
      <c r="M728" s="1665" t="n"/>
      <c r="N728" s="1665" t="n"/>
      <c r="O728" s="1665" t="n"/>
      <c r="P728" s="1665" t="n"/>
      <c r="Q728" s="1665" t="n"/>
      <c r="R728" s="1665" t="n"/>
      <c r="S728" s="1665" t="n"/>
      <c r="T728" s="1665" t="n"/>
      <c r="U728" s="1665" t="n"/>
      <c r="V728" s="1665" t="n"/>
      <c r="W728" s="1665" t="n"/>
      <c r="X728" s="1665" t="n"/>
      <c r="Y728" s="1665" t="n"/>
      <c r="Z728" s="1665" t="n"/>
    </row>
    <row r="729" ht="15.75" customHeight="1" s="1666">
      <c r="K729" s="1665" t="n"/>
      <c r="L729" s="1665" t="n"/>
      <c r="M729" s="1665" t="n"/>
      <c r="N729" s="1665" t="n"/>
      <c r="O729" s="1665" t="n"/>
      <c r="P729" s="1665" t="n"/>
      <c r="Q729" s="1665" t="n"/>
      <c r="R729" s="1665" t="n"/>
      <c r="S729" s="1665" t="n"/>
      <c r="T729" s="1665" t="n"/>
      <c r="U729" s="1665" t="n"/>
      <c r="V729" s="1665" t="n"/>
      <c r="W729" s="1665" t="n"/>
      <c r="X729" s="1665" t="n"/>
      <c r="Y729" s="1665" t="n"/>
      <c r="Z729" s="1665" t="n"/>
    </row>
    <row r="730" ht="15.75" customHeight="1" s="1666">
      <c r="K730" s="1665" t="n"/>
      <c r="L730" s="1665" t="n"/>
      <c r="M730" s="1665" t="n"/>
      <c r="N730" s="1665" t="n"/>
      <c r="O730" s="1665" t="n"/>
      <c r="P730" s="1665" t="n"/>
      <c r="Q730" s="1665" t="n"/>
      <c r="R730" s="1665" t="n"/>
      <c r="S730" s="1665" t="n"/>
      <c r="T730" s="1665" t="n"/>
      <c r="U730" s="1665" t="n"/>
      <c r="V730" s="1665" t="n"/>
      <c r="W730" s="1665" t="n"/>
      <c r="X730" s="1665" t="n"/>
      <c r="Y730" s="1665" t="n"/>
      <c r="Z730" s="1665" t="n"/>
    </row>
    <row r="731" ht="15.75" customHeight="1" s="1666">
      <c r="K731" s="1665" t="n"/>
      <c r="L731" s="1665" t="n"/>
      <c r="M731" s="1665" t="n"/>
      <c r="N731" s="1665" t="n"/>
      <c r="O731" s="1665" t="n"/>
      <c r="P731" s="1665" t="n"/>
      <c r="Q731" s="1665" t="n"/>
      <c r="R731" s="1665" t="n"/>
      <c r="S731" s="1665" t="n"/>
      <c r="T731" s="1665" t="n"/>
      <c r="U731" s="1665" t="n"/>
      <c r="V731" s="1665" t="n"/>
      <c r="W731" s="1665" t="n"/>
      <c r="X731" s="1665" t="n"/>
      <c r="Y731" s="1665" t="n"/>
      <c r="Z731" s="1665" t="n"/>
    </row>
    <row r="732" ht="15.75" customHeight="1" s="1666">
      <c r="K732" s="1665" t="n"/>
      <c r="L732" s="1665" t="n"/>
      <c r="M732" s="1665" t="n"/>
      <c r="N732" s="1665" t="n"/>
      <c r="O732" s="1665" t="n"/>
      <c r="P732" s="1665" t="n"/>
      <c r="Q732" s="1665" t="n"/>
      <c r="R732" s="1665" t="n"/>
      <c r="S732" s="1665" t="n"/>
      <c r="T732" s="1665" t="n"/>
      <c r="U732" s="1665" t="n"/>
      <c r="V732" s="1665" t="n"/>
      <c r="W732" s="1665" t="n"/>
      <c r="X732" s="1665" t="n"/>
      <c r="Y732" s="1665" t="n"/>
      <c r="Z732" s="1665" t="n"/>
    </row>
    <row r="733" ht="15.75" customHeight="1" s="1666">
      <c r="K733" s="1665" t="n"/>
      <c r="L733" s="1665" t="n"/>
      <c r="M733" s="1665" t="n"/>
      <c r="N733" s="1665" t="n"/>
      <c r="O733" s="1665" t="n"/>
      <c r="P733" s="1665" t="n"/>
      <c r="Q733" s="1665" t="n"/>
      <c r="R733" s="1665" t="n"/>
      <c r="S733" s="1665" t="n"/>
      <c r="T733" s="1665" t="n"/>
      <c r="U733" s="1665" t="n"/>
      <c r="V733" s="1665" t="n"/>
      <c r="W733" s="1665" t="n"/>
      <c r="X733" s="1665" t="n"/>
      <c r="Y733" s="1665" t="n"/>
      <c r="Z733" s="1665" t="n"/>
    </row>
    <row r="734" ht="15.75" customHeight="1" s="1666">
      <c r="K734" s="1665" t="n"/>
      <c r="L734" s="1665" t="n"/>
      <c r="M734" s="1665" t="n"/>
      <c r="N734" s="1665" t="n"/>
      <c r="O734" s="1665" t="n"/>
      <c r="P734" s="1665" t="n"/>
      <c r="Q734" s="1665" t="n"/>
      <c r="R734" s="1665" t="n"/>
      <c r="S734" s="1665" t="n"/>
      <c r="T734" s="1665" t="n"/>
      <c r="U734" s="1665" t="n"/>
      <c r="V734" s="1665" t="n"/>
      <c r="W734" s="1665" t="n"/>
      <c r="X734" s="1665" t="n"/>
      <c r="Y734" s="1665" t="n"/>
      <c r="Z734" s="1665" t="n"/>
    </row>
    <row r="735" ht="15.75" customHeight="1" s="1666">
      <c r="K735" s="1665" t="n"/>
      <c r="L735" s="1665" t="n"/>
      <c r="M735" s="1665" t="n"/>
      <c r="N735" s="1665" t="n"/>
      <c r="O735" s="1665" t="n"/>
      <c r="P735" s="1665" t="n"/>
      <c r="Q735" s="1665" t="n"/>
      <c r="R735" s="1665" t="n"/>
      <c r="S735" s="1665" t="n"/>
      <c r="T735" s="1665" t="n"/>
      <c r="U735" s="1665" t="n"/>
      <c r="V735" s="1665" t="n"/>
      <c r="W735" s="1665" t="n"/>
      <c r="X735" s="1665" t="n"/>
      <c r="Y735" s="1665" t="n"/>
      <c r="Z735" s="1665" t="n"/>
    </row>
    <row r="736" ht="15.75" customHeight="1" s="1666">
      <c r="K736" s="1665" t="n"/>
      <c r="L736" s="1665" t="n"/>
      <c r="M736" s="1665" t="n"/>
      <c r="N736" s="1665" t="n"/>
      <c r="O736" s="1665" t="n"/>
      <c r="P736" s="1665" t="n"/>
      <c r="Q736" s="1665" t="n"/>
      <c r="R736" s="1665" t="n"/>
      <c r="S736" s="1665" t="n"/>
      <c r="T736" s="1665" t="n"/>
      <c r="U736" s="1665" t="n"/>
      <c r="V736" s="1665" t="n"/>
      <c r="W736" s="1665" t="n"/>
      <c r="X736" s="1665" t="n"/>
      <c r="Y736" s="1665" t="n"/>
      <c r="Z736" s="1665" t="n"/>
    </row>
    <row r="737" ht="15.75" customHeight="1" s="1666">
      <c r="K737" s="1665" t="n"/>
      <c r="L737" s="1665" t="n"/>
      <c r="M737" s="1665" t="n"/>
      <c r="N737" s="1665" t="n"/>
      <c r="O737" s="1665" t="n"/>
      <c r="P737" s="1665" t="n"/>
      <c r="Q737" s="1665" t="n"/>
      <c r="R737" s="1665" t="n"/>
      <c r="S737" s="1665" t="n"/>
      <c r="T737" s="1665" t="n"/>
      <c r="U737" s="1665" t="n"/>
      <c r="V737" s="1665" t="n"/>
      <c r="W737" s="1665" t="n"/>
      <c r="X737" s="1665" t="n"/>
      <c r="Y737" s="1665" t="n"/>
      <c r="Z737" s="1665" t="n"/>
    </row>
    <row r="738" ht="15.75" customHeight="1" s="1666">
      <c r="K738" s="1665" t="n"/>
      <c r="L738" s="1665" t="n"/>
      <c r="M738" s="1665" t="n"/>
      <c r="N738" s="1665" t="n"/>
      <c r="O738" s="1665" t="n"/>
      <c r="P738" s="1665" t="n"/>
      <c r="Q738" s="1665" t="n"/>
      <c r="R738" s="1665" t="n"/>
      <c r="S738" s="1665" t="n"/>
      <c r="T738" s="1665" t="n"/>
      <c r="U738" s="1665" t="n"/>
      <c r="V738" s="1665" t="n"/>
      <c r="W738" s="1665" t="n"/>
      <c r="X738" s="1665" t="n"/>
      <c r="Y738" s="1665" t="n"/>
      <c r="Z738" s="1665" t="n"/>
    </row>
    <row r="739" ht="15.75" customHeight="1" s="1666">
      <c r="K739" s="1665" t="n"/>
      <c r="L739" s="1665" t="n"/>
      <c r="M739" s="1665" t="n"/>
      <c r="N739" s="1665" t="n"/>
      <c r="O739" s="1665" t="n"/>
      <c r="P739" s="1665" t="n"/>
      <c r="Q739" s="1665" t="n"/>
      <c r="R739" s="1665" t="n"/>
      <c r="S739" s="1665" t="n"/>
      <c r="T739" s="1665" t="n"/>
      <c r="U739" s="1665" t="n"/>
      <c r="V739" s="1665" t="n"/>
      <c r="W739" s="1665" t="n"/>
      <c r="X739" s="1665" t="n"/>
      <c r="Y739" s="1665" t="n"/>
      <c r="Z739" s="1665" t="n"/>
    </row>
    <row r="740" ht="15.75" customHeight="1" s="1666">
      <c r="K740" s="1665" t="n"/>
      <c r="L740" s="1665" t="n"/>
      <c r="M740" s="1665" t="n"/>
      <c r="N740" s="1665" t="n"/>
      <c r="O740" s="1665" t="n"/>
      <c r="P740" s="1665" t="n"/>
      <c r="Q740" s="1665" t="n"/>
      <c r="R740" s="1665" t="n"/>
      <c r="S740" s="1665" t="n"/>
      <c r="T740" s="1665" t="n"/>
      <c r="U740" s="1665" t="n"/>
      <c r="V740" s="1665" t="n"/>
      <c r="W740" s="1665" t="n"/>
      <c r="X740" s="1665" t="n"/>
      <c r="Y740" s="1665" t="n"/>
      <c r="Z740" s="1665" t="n"/>
    </row>
    <row r="741" ht="15.75" customHeight="1" s="1666">
      <c r="K741" s="1665" t="n"/>
      <c r="L741" s="1665" t="n"/>
      <c r="M741" s="1665" t="n"/>
      <c r="N741" s="1665" t="n"/>
      <c r="O741" s="1665" t="n"/>
      <c r="P741" s="1665" t="n"/>
      <c r="Q741" s="1665" t="n"/>
      <c r="R741" s="1665" t="n"/>
      <c r="S741" s="1665" t="n"/>
      <c r="T741" s="1665" t="n"/>
      <c r="U741" s="1665" t="n"/>
      <c r="V741" s="1665" t="n"/>
      <c r="W741" s="1665" t="n"/>
      <c r="X741" s="1665" t="n"/>
      <c r="Y741" s="1665" t="n"/>
      <c r="Z741" s="1665" t="n"/>
    </row>
    <row r="742" ht="15.75" customHeight="1" s="1666">
      <c r="K742" s="1665" t="n"/>
      <c r="L742" s="1665" t="n"/>
      <c r="M742" s="1665" t="n"/>
      <c r="N742" s="1665" t="n"/>
      <c r="O742" s="1665" t="n"/>
      <c r="P742" s="1665" t="n"/>
      <c r="Q742" s="1665" t="n"/>
      <c r="R742" s="1665" t="n"/>
      <c r="S742" s="1665" t="n"/>
      <c r="T742" s="1665" t="n"/>
      <c r="U742" s="1665" t="n"/>
      <c r="V742" s="1665" t="n"/>
      <c r="W742" s="1665" t="n"/>
      <c r="X742" s="1665" t="n"/>
      <c r="Y742" s="1665" t="n"/>
      <c r="Z742" s="1665" t="n"/>
    </row>
    <row r="743" ht="15.75" customHeight="1" s="1666">
      <c r="K743" s="1665" t="n"/>
      <c r="L743" s="1665" t="n"/>
      <c r="M743" s="1665" t="n"/>
      <c r="N743" s="1665" t="n"/>
      <c r="O743" s="1665" t="n"/>
      <c r="P743" s="1665" t="n"/>
      <c r="Q743" s="1665" t="n"/>
      <c r="R743" s="1665" t="n"/>
      <c r="S743" s="1665" t="n"/>
      <c r="T743" s="1665" t="n"/>
      <c r="U743" s="1665" t="n"/>
      <c r="V743" s="1665" t="n"/>
      <c r="W743" s="1665" t="n"/>
      <c r="X743" s="1665" t="n"/>
      <c r="Y743" s="1665" t="n"/>
      <c r="Z743" s="1665" t="n"/>
    </row>
    <row r="744" ht="15.75" customHeight="1" s="1666">
      <c r="K744" s="1665" t="n"/>
      <c r="L744" s="1665" t="n"/>
      <c r="M744" s="1665" t="n"/>
      <c r="N744" s="1665" t="n"/>
      <c r="O744" s="1665" t="n"/>
      <c r="P744" s="1665" t="n"/>
      <c r="Q744" s="1665" t="n"/>
      <c r="R744" s="1665" t="n"/>
      <c r="S744" s="1665" t="n"/>
      <c r="T744" s="1665" t="n"/>
      <c r="U744" s="1665" t="n"/>
      <c r="V744" s="1665" t="n"/>
      <c r="W744" s="1665" t="n"/>
      <c r="X744" s="1665" t="n"/>
      <c r="Y744" s="1665" t="n"/>
      <c r="Z744" s="1665" t="n"/>
    </row>
    <row r="745" ht="15.75" customHeight="1" s="1666">
      <c r="K745" s="1665" t="n"/>
      <c r="L745" s="1665" t="n"/>
      <c r="M745" s="1665" t="n"/>
      <c r="N745" s="1665" t="n"/>
      <c r="O745" s="1665" t="n"/>
      <c r="P745" s="1665" t="n"/>
      <c r="Q745" s="1665" t="n"/>
      <c r="R745" s="1665" t="n"/>
      <c r="S745" s="1665" t="n"/>
      <c r="T745" s="1665" t="n"/>
      <c r="U745" s="1665" t="n"/>
      <c r="V745" s="1665" t="n"/>
      <c r="W745" s="1665" t="n"/>
      <c r="X745" s="1665" t="n"/>
      <c r="Y745" s="1665" t="n"/>
      <c r="Z745" s="1665" t="n"/>
    </row>
    <row r="746" ht="15.75" customHeight="1" s="1666">
      <c r="K746" s="1665" t="n"/>
      <c r="L746" s="1665" t="n"/>
      <c r="M746" s="1665" t="n"/>
      <c r="N746" s="1665" t="n"/>
      <c r="O746" s="1665" t="n"/>
      <c r="P746" s="1665" t="n"/>
      <c r="Q746" s="1665" t="n"/>
      <c r="R746" s="1665" t="n"/>
      <c r="S746" s="1665" t="n"/>
      <c r="T746" s="1665" t="n"/>
      <c r="U746" s="1665" t="n"/>
      <c r="V746" s="1665" t="n"/>
      <c r="W746" s="1665" t="n"/>
      <c r="X746" s="1665" t="n"/>
      <c r="Y746" s="1665" t="n"/>
      <c r="Z746" s="1665" t="n"/>
    </row>
    <row r="747" ht="15.75" customHeight="1" s="1666">
      <c r="K747" s="1665" t="n"/>
      <c r="L747" s="1665" t="n"/>
      <c r="M747" s="1665" t="n"/>
      <c r="N747" s="1665" t="n"/>
      <c r="O747" s="1665" t="n"/>
      <c r="P747" s="1665" t="n"/>
      <c r="Q747" s="1665" t="n"/>
      <c r="R747" s="1665" t="n"/>
      <c r="S747" s="1665" t="n"/>
      <c r="T747" s="1665" t="n"/>
      <c r="U747" s="1665" t="n"/>
      <c r="V747" s="1665" t="n"/>
      <c r="W747" s="1665" t="n"/>
      <c r="X747" s="1665" t="n"/>
      <c r="Y747" s="1665" t="n"/>
      <c r="Z747" s="1665" t="n"/>
    </row>
    <row r="748" ht="15.75" customHeight="1" s="1666">
      <c r="K748" s="1665" t="n"/>
      <c r="L748" s="1665" t="n"/>
      <c r="M748" s="1665" t="n"/>
      <c r="N748" s="1665" t="n"/>
      <c r="O748" s="1665" t="n"/>
      <c r="P748" s="1665" t="n"/>
      <c r="Q748" s="1665" t="n"/>
      <c r="R748" s="1665" t="n"/>
      <c r="S748" s="1665" t="n"/>
      <c r="T748" s="1665" t="n"/>
      <c r="U748" s="1665" t="n"/>
      <c r="V748" s="1665" t="n"/>
      <c r="W748" s="1665" t="n"/>
      <c r="X748" s="1665" t="n"/>
      <c r="Y748" s="1665" t="n"/>
      <c r="Z748" s="1665" t="n"/>
    </row>
    <row r="749" ht="15.75" customHeight="1" s="1666">
      <c r="K749" s="1665" t="n"/>
      <c r="L749" s="1665" t="n"/>
      <c r="M749" s="1665" t="n"/>
      <c r="N749" s="1665" t="n"/>
      <c r="O749" s="1665" t="n"/>
      <c r="P749" s="1665" t="n"/>
      <c r="Q749" s="1665" t="n"/>
      <c r="R749" s="1665" t="n"/>
      <c r="S749" s="1665" t="n"/>
      <c r="T749" s="1665" t="n"/>
      <c r="U749" s="1665" t="n"/>
      <c r="V749" s="1665" t="n"/>
      <c r="W749" s="1665" t="n"/>
      <c r="X749" s="1665" t="n"/>
      <c r="Y749" s="1665" t="n"/>
      <c r="Z749" s="1665" t="n"/>
    </row>
    <row r="750" ht="15.75" customHeight="1" s="1666">
      <c r="K750" s="1665" t="n"/>
      <c r="L750" s="1665" t="n"/>
      <c r="M750" s="1665" t="n"/>
      <c r="N750" s="1665" t="n"/>
      <c r="O750" s="1665" t="n"/>
      <c r="P750" s="1665" t="n"/>
      <c r="Q750" s="1665" t="n"/>
      <c r="R750" s="1665" t="n"/>
      <c r="S750" s="1665" t="n"/>
      <c r="T750" s="1665" t="n"/>
      <c r="U750" s="1665" t="n"/>
      <c r="V750" s="1665" t="n"/>
      <c r="W750" s="1665" t="n"/>
      <c r="X750" s="1665" t="n"/>
      <c r="Y750" s="1665" t="n"/>
      <c r="Z750" s="1665" t="n"/>
    </row>
    <row r="751" ht="15.75" customHeight="1" s="1666">
      <c r="K751" s="1665" t="n"/>
      <c r="L751" s="1665" t="n"/>
      <c r="M751" s="1665" t="n"/>
      <c r="N751" s="1665" t="n"/>
      <c r="O751" s="1665" t="n"/>
      <c r="P751" s="1665" t="n"/>
      <c r="Q751" s="1665" t="n"/>
      <c r="R751" s="1665" t="n"/>
      <c r="S751" s="1665" t="n"/>
      <c r="T751" s="1665" t="n"/>
      <c r="U751" s="1665" t="n"/>
      <c r="V751" s="1665" t="n"/>
      <c r="W751" s="1665" t="n"/>
      <c r="X751" s="1665" t="n"/>
      <c r="Y751" s="1665" t="n"/>
      <c r="Z751" s="1665" t="n"/>
    </row>
    <row r="752" ht="15.75" customHeight="1" s="1666">
      <c r="K752" s="1665" t="n"/>
      <c r="L752" s="1665" t="n"/>
      <c r="M752" s="1665" t="n"/>
      <c r="N752" s="1665" t="n"/>
      <c r="O752" s="1665" t="n"/>
      <c r="P752" s="1665" t="n"/>
      <c r="Q752" s="1665" t="n"/>
      <c r="R752" s="1665" t="n"/>
      <c r="S752" s="1665" t="n"/>
      <c r="T752" s="1665" t="n"/>
      <c r="U752" s="1665" t="n"/>
      <c r="V752" s="1665" t="n"/>
      <c r="W752" s="1665" t="n"/>
      <c r="X752" s="1665" t="n"/>
      <c r="Y752" s="1665" t="n"/>
      <c r="Z752" s="1665" t="n"/>
    </row>
    <row r="753" ht="15.75" customHeight="1" s="1666">
      <c r="K753" s="1665" t="n"/>
      <c r="L753" s="1665" t="n"/>
      <c r="M753" s="1665" t="n"/>
      <c r="N753" s="1665" t="n"/>
      <c r="O753" s="1665" t="n"/>
      <c r="P753" s="1665" t="n"/>
      <c r="Q753" s="1665" t="n"/>
      <c r="R753" s="1665" t="n"/>
      <c r="S753" s="1665" t="n"/>
      <c r="T753" s="1665" t="n"/>
      <c r="U753" s="1665" t="n"/>
      <c r="V753" s="1665" t="n"/>
      <c r="W753" s="1665" t="n"/>
      <c r="X753" s="1665" t="n"/>
      <c r="Y753" s="1665" t="n"/>
      <c r="Z753" s="1665" t="n"/>
    </row>
    <row r="754" ht="15.75" customHeight="1" s="1666">
      <c r="K754" s="1665" t="n"/>
      <c r="L754" s="1665" t="n"/>
      <c r="M754" s="1665" t="n"/>
      <c r="N754" s="1665" t="n"/>
      <c r="O754" s="1665" t="n"/>
      <c r="P754" s="1665" t="n"/>
      <c r="Q754" s="1665" t="n"/>
      <c r="R754" s="1665" t="n"/>
      <c r="S754" s="1665" t="n"/>
      <c r="T754" s="1665" t="n"/>
      <c r="U754" s="1665" t="n"/>
      <c r="V754" s="1665" t="n"/>
      <c r="W754" s="1665" t="n"/>
      <c r="X754" s="1665" t="n"/>
      <c r="Y754" s="1665" t="n"/>
      <c r="Z754" s="1665" t="n"/>
    </row>
    <row r="755" ht="15.75" customHeight="1" s="1666">
      <c r="K755" s="1665" t="n"/>
      <c r="L755" s="1665" t="n"/>
      <c r="M755" s="1665" t="n"/>
      <c r="N755" s="1665" t="n"/>
      <c r="O755" s="1665" t="n"/>
      <c r="P755" s="1665" t="n"/>
      <c r="Q755" s="1665" t="n"/>
      <c r="R755" s="1665" t="n"/>
      <c r="S755" s="1665" t="n"/>
      <c r="T755" s="1665" t="n"/>
      <c r="U755" s="1665" t="n"/>
      <c r="V755" s="1665" t="n"/>
      <c r="W755" s="1665" t="n"/>
      <c r="X755" s="1665" t="n"/>
      <c r="Y755" s="1665" t="n"/>
      <c r="Z755" s="1665" t="n"/>
    </row>
    <row r="756" ht="15.75" customHeight="1" s="1666">
      <c r="K756" s="1665" t="n"/>
      <c r="L756" s="1665" t="n"/>
      <c r="M756" s="1665" t="n"/>
      <c r="N756" s="1665" t="n"/>
      <c r="O756" s="1665" t="n"/>
      <c r="P756" s="1665" t="n"/>
      <c r="Q756" s="1665" t="n"/>
      <c r="R756" s="1665" t="n"/>
      <c r="S756" s="1665" t="n"/>
      <c r="T756" s="1665" t="n"/>
      <c r="U756" s="1665" t="n"/>
      <c r="V756" s="1665" t="n"/>
      <c r="W756" s="1665" t="n"/>
      <c r="X756" s="1665" t="n"/>
      <c r="Y756" s="1665" t="n"/>
      <c r="Z756" s="1665" t="n"/>
    </row>
    <row r="757" ht="15.75" customHeight="1" s="1666">
      <c r="K757" s="1665" t="n"/>
      <c r="L757" s="1665" t="n"/>
      <c r="M757" s="1665" t="n"/>
      <c r="N757" s="1665" t="n"/>
      <c r="O757" s="1665" t="n"/>
      <c r="P757" s="1665" t="n"/>
      <c r="Q757" s="1665" t="n"/>
      <c r="R757" s="1665" t="n"/>
      <c r="S757" s="1665" t="n"/>
      <c r="T757" s="1665" t="n"/>
      <c r="U757" s="1665" t="n"/>
      <c r="V757" s="1665" t="n"/>
      <c r="W757" s="1665" t="n"/>
      <c r="X757" s="1665" t="n"/>
      <c r="Y757" s="1665" t="n"/>
      <c r="Z757" s="1665" t="n"/>
    </row>
    <row r="758" ht="15.75" customHeight="1" s="1666">
      <c r="K758" s="1665" t="n"/>
      <c r="L758" s="1665" t="n"/>
      <c r="M758" s="1665" t="n"/>
      <c r="N758" s="1665" t="n"/>
      <c r="O758" s="1665" t="n"/>
      <c r="P758" s="1665" t="n"/>
      <c r="Q758" s="1665" t="n"/>
      <c r="R758" s="1665" t="n"/>
      <c r="S758" s="1665" t="n"/>
      <c r="T758" s="1665" t="n"/>
      <c r="U758" s="1665" t="n"/>
      <c r="V758" s="1665" t="n"/>
      <c r="W758" s="1665" t="n"/>
      <c r="X758" s="1665" t="n"/>
      <c r="Y758" s="1665" t="n"/>
      <c r="Z758" s="1665" t="n"/>
    </row>
    <row r="759" ht="15.75" customHeight="1" s="1666">
      <c r="K759" s="1665" t="n"/>
      <c r="L759" s="1665" t="n"/>
      <c r="M759" s="1665" t="n"/>
      <c r="N759" s="1665" t="n"/>
      <c r="O759" s="1665" t="n"/>
      <c r="P759" s="1665" t="n"/>
      <c r="Q759" s="1665" t="n"/>
      <c r="R759" s="1665" t="n"/>
      <c r="S759" s="1665" t="n"/>
      <c r="T759" s="1665" t="n"/>
      <c r="U759" s="1665" t="n"/>
      <c r="V759" s="1665" t="n"/>
      <c r="W759" s="1665" t="n"/>
      <c r="X759" s="1665" t="n"/>
      <c r="Y759" s="1665" t="n"/>
      <c r="Z759" s="1665" t="n"/>
    </row>
    <row r="760" ht="15.75" customHeight="1" s="1666">
      <c r="K760" s="1665" t="n"/>
      <c r="L760" s="1665" t="n"/>
      <c r="M760" s="1665" t="n"/>
      <c r="N760" s="1665" t="n"/>
      <c r="O760" s="1665" t="n"/>
      <c r="P760" s="1665" t="n"/>
      <c r="Q760" s="1665" t="n"/>
      <c r="R760" s="1665" t="n"/>
      <c r="S760" s="1665" t="n"/>
      <c r="T760" s="1665" t="n"/>
      <c r="U760" s="1665" t="n"/>
      <c r="V760" s="1665" t="n"/>
      <c r="W760" s="1665" t="n"/>
      <c r="X760" s="1665" t="n"/>
      <c r="Y760" s="1665" t="n"/>
      <c r="Z760" s="1665" t="n"/>
    </row>
    <row r="761" ht="15.75" customHeight="1" s="1666">
      <c r="K761" s="1665" t="n"/>
      <c r="L761" s="1665" t="n"/>
      <c r="M761" s="1665" t="n"/>
      <c r="N761" s="1665" t="n"/>
      <c r="O761" s="1665" t="n"/>
      <c r="P761" s="1665" t="n"/>
      <c r="Q761" s="1665" t="n"/>
      <c r="R761" s="1665" t="n"/>
      <c r="S761" s="1665" t="n"/>
      <c r="T761" s="1665" t="n"/>
      <c r="U761" s="1665" t="n"/>
      <c r="V761" s="1665" t="n"/>
      <c r="W761" s="1665" t="n"/>
      <c r="X761" s="1665" t="n"/>
      <c r="Y761" s="1665" t="n"/>
      <c r="Z761" s="1665" t="n"/>
    </row>
    <row r="762" ht="15.75" customHeight="1" s="1666">
      <c r="K762" s="1665" t="n"/>
      <c r="L762" s="1665" t="n"/>
      <c r="M762" s="1665" t="n"/>
      <c r="N762" s="1665" t="n"/>
      <c r="O762" s="1665" t="n"/>
      <c r="P762" s="1665" t="n"/>
      <c r="Q762" s="1665" t="n"/>
      <c r="R762" s="1665" t="n"/>
      <c r="S762" s="1665" t="n"/>
      <c r="T762" s="1665" t="n"/>
      <c r="U762" s="1665" t="n"/>
      <c r="V762" s="1665" t="n"/>
      <c r="W762" s="1665" t="n"/>
      <c r="X762" s="1665" t="n"/>
      <c r="Y762" s="1665" t="n"/>
      <c r="Z762" s="1665" t="n"/>
    </row>
    <row r="763" ht="15.75" customHeight="1" s="1666">
      <c r="K763" s="1665" t="n"/>
      <c r="L763" s="1665" t="n"/>
      <c r="M763" s="1665" t="n"/>
      <c r="N763" s="1665" t="n"/>
      <c r="O763" s="1665" t="n"/>
      <c r="P763" s="1665" t="n"/>
      <c r="Q763" s="1665" t="n"/>
      <c r="R763" s="1665" t="n"/>
      <c r="S763" s="1665" t="n"/>
      <c r="T763" s="1665" t="n"/>
      <c r="U763" s="1665" t="n"/>
      <c r="V763" s="1665" t="n"/>
      <c r="W763" s="1665" t="n"/>
      <c r="X763" s="1665" t="n"/>
      <c r="Y763" s="1665" t="n"/>
      <c r="Z763" s="1665" t="n"/>
    </row>
    <row r="764" ht="15.75" customHeight="1" s="1666">
      <c r="K764" s="1665" t="n"/>
      <c r="L764" s="1665" t="n"/>
      <c r="M764" s="1665" t="n"/>
      <c r="N764" s="1665" t="n"/>
      <c r="O764" s="1665" t="n"/>
      <c r="P764" s="1665" t="n"/>
      <c r="Q764" s="1665" t="n"/>
      <c r="R764" s="1665" t="n"/>
      <c r="S764" s="1665" t="n"/>
      <c r="T764" s="1665" t="n"/>
      <c r="U764" s="1665" t="n"/>
      <c r="V764" s="1665" t="n"/>
      <c r="W764" s="1665" t="n"/>
      <c r="X764" s="1665" t="n"/>
      <c r="Y764" s="1665" t="n"/>
      <c r="Z764" s="1665" t="n"/>
    </row>
    <row r="765" ht="15.75" customHeight="1" s="1666">
      <c r="K765" s="1665" t="n"/>
      <c r="L765" s="1665" t="n"/>
      <c r="M765" s="1665" t="n"/>
      <c r="N765" s="1665" t="n"/>
      <c r="O765" s="1665" t="n"/>
      <c r="P765" s="1665" t="n"/>
      <c r="Q765" s="1665" t="n"/>
      <c r="R765" s="1665" t="n"/>
      <c r="S765" s="1665" t="n"/>
      <c r="T765" s="1665" t="n"/>
      <c r="U765" s="1665" t="n"/>
      <c r="V765" s="1665" t="n"/>
      <c r="W765" s="1665" t="n"/>
      <c r="X765" s="1665" t="n"/>
      <c r="Y765" s="1665" t="n"/>
      <c r="Z765" s="1665" t="n"/>
    </row>
    <row r="766" ht="15.75" customHeight="1" s="1666">
      <c r="K766" s="1665" t="n"/>
      <c r="L766" s="1665" t="n"/>
      <c r="M766" s="1665" t="n"/>
      <c r="N766" s="1665" t="n"/>
      <c r="O766" s="1665" t="n"/>
      <c r="P766" s="1665" t="n"/>
      <c r="Q766" s="1665" t="n"/>
      <c r="R766" s="1665" t="n"/>
      <c r="S766" s="1665" t="n"/>
      <c r="T766" s="1665" t="n"/>
      <c r="U766" s="1665" t="n"/>
      <c r="V766" s="1665" t="n"/>
      <c r="W766" s="1665" t="n"/>
      <c r="X766" s="1665" t="n"/>
      <c r="Y766" s="1665" t="n"/>
      <c r="Z766" s="1665" t="n"/>
    </row>
    <row r="767" ht="15.75" customHeight="1" s="1666">
      <c r="K767" s="1665" t="n"/>
      <c r="L767" s="1665" t="n"/>
      <c r="M767" s="1665" t="n"/>
      <c r="N767" s="1665" t="n"/>
      <c r="O767" s="1665" t="n"/>
      <c r="P767" s="1665" t="n"/>
      <c r="Q767" s="1665" t="n"/>
      <c r="R767" s="1665" t="n"/>
      <c r="S767" s="1665" t="n"/>
      <c r="T767" s="1665" t="n"/>
      <c r="U767" s="1665" t="n"/>
      <c r="V767" s="1665" t="n"/>
      <c r="W767" s="1665" t="n"/>
      <c r="X767" s="1665" t="n"/>
      <c r="Y767" s="1665" t="n"/>
      <c r="Z767" s="1665" t="n"/>
    </row>
    <row r="768" ht="15.75" customHeight="1" s="1666">
      <c r="K768" s="1665" t="n"/>
      <c r="L768" s="1665" t="n"/>
      <c r="M768" s="1665" t="n"/>
      <c r="N768" s="1665" t="n"/>
      <c r="O768" s="1665" t="n"/>
      <c r="P768" s="1665" t="n"/>
      <c r="Q768" s="1665" t="n"/>
      <c r="R768" s="1665" t="n"/>
      <c r="S768" s="1665" t="n"/>
      <c r="T768" s="1665" t="n"/>
      <c r="U768" s="1665" t="n"/>
      <c r="V768" s="1665" t="n"/>
      <c r="W768" s="1665" t="n"/>
      <c r="X768" s="1665" t="n"/>
      <c r="Y768" s="1665" t="n"/>
      <c r="Z768" s="1665" t="n"/>
    </row>
    <row r="769" ht="15.75" customHeight="1" s="1666">
      <c r="K769" s="1665" t="n"/>
      <c r="L769" s="1665" t="n"/>
      <c r="M769" s="1665" t="n"/>
      <c r="N769" s="1665" t="n"/>
      <c r="O769" s="1665" t="n"/>
      <c r="P769" s="1665" t="n"/>
      <c r="Q769" s="1665" t="n"/>
      <c r="R769" s="1665" t="n"/>
      <c r="S769" s="1665" t="n"/>
      <c r="T769" s="1665" t="n"/>
      <c r="U769" s="1665" t="n"/>
      <c r="V769" s="1665" t="n"/>
      <c r="W769" s="1665" t="n"/>
      <c r="X769" s="1665" t="n"/>
      <c r="Y769" s="1665" t="n"/>
      <c r="Z769" s="1665" t="n"/>
    </row>
    <row r="770" ht="15.75" customHeight="1" s="1666">
      <c r="K770" s="1665" t="n"/>
      <c r="L770" s="1665" t="n"/>
      <c r="M770" s="1665" t="n"/>
      <c r="N770" s="1665" t="n"/>
      <c r="O770" s="1665" t="n"/>
      <c r="P770" s="1665" t="n"/>
      <c r="Q770" s="1665" t="n"/>
      <c r="R770" s="1665" t="n"/>
      <c r="S770" s="1665" t="n"/>
      <c r="T770" s="1665" t="n"/>
      <c r="U770" s="1665" t="n"/>
      <c r="V770" s="1665" t="n"/>
      <c r="W770" s="1665" t="n"/>
      <c r="X770" s="1665" t="n"/>
      <c r="Y770" s="1665" t="n"/>
      <c r="Z770" s="1665" t="n"/>
    </row>
    <row r="771" ht="15.75" customHeight="1" s="1666">
      <c r="K771" s="1665" t="n"/>
      <c r="L771" s="1665" t="n"/>
      <c r="M771" s="1665" t="n"/>
      <c r="N771" s="1665" t="n"/>
      <c r="O771" s="1665" t="n"/>
      <c r="P771" s="1665" t="n"/>
      <c r="Q771" s="1665" t="n"/>
      <c r="R771" s="1665" t="n"/>
      <c r="S771" s="1665" t="n"/>
      <c r="T771" s="1665" t="n"/>
      <c r="U771" s="1665" t="n"/>
      <c r="V771" s="1665" t="n"/>
      <c r="W771" s="1665" t="n"/>
      <c r="X771" s="1665" t="n"/>
      <c r="Y771" s="1665" t="n"/>
      <c r="Z771" s="1665" t="n"/>
    </row>
    <row r="772" ht="15.75" customHeight="1" s="1666">
      <c r="K772" s="1665" t="n"/>
      <c r="L772" s="1665" t="n"/>
      <c r="M772" s="1665" t="n"/>
      <c r="N772" s="1665" t="n"/>
      <c r="O772" s="1665" t="n"/>
      <c r="P772" s="1665" t="n"/>
      <c r="Q772" s="1665" t="n"/>
      <c r="R772" s="1665" t="n"/>
      <c r="S772" s="1665" t="n"/>
      <c r="T772" s="1665" t="n"/>
      <c r="U772" s="1665" t="n"/>
      <c r="V772" s="1665" t="n"/>
      <c r="W772" s="1665" t="n"/>
      <c r="X772" s="1665" t="n"/>
      <c r="Y772" s="1665" t="n"/>
      <c r="Z772" s="1665" t="n"/>
    </row>
    <row r="773" ht="15.75" customHeight="1" s="1666">
      <c r="K773" s="1665" t="n"/>
      <c r="L773" s="1665" t="n"/>
      <c r="M773" s="1665" t="n"/>
      <c r="N773" s="1665" t="n"/>
      <c r="O773" s="1665" t="n"/>
      <c r="P773" s="1665" t="n"/>
      <c r="Q773" s="1665" t="n"/>
      <c r="R773" s="1665" t="n"/>
      <c r="S773" s="1665" t="n"/>
      <c r="T773" s="1665" t="n"/>
      <c r="U773" s="1665" t="n"/>
      <c r="V773" s="1665" t="n"/>
      <c r="W773" s="1665" t="n"/>
      <c r="X773" s="1665" t="n"/>
      <c r="Y773" s="1665" t="n"/>
      <c r="Z773" s="1665" t="n"/>
    </row>
    <row r="774" ht="15.75" customHeight="1" s="1666">
      <c r="K774" s="1665" t="n"/>
      <c r="L774" s="1665" t="n"/>
      <c r="M774" s="1665" t="n"/>
      <c r="N774" s="1665" t="n"/>
      <c r="O774" s="1665" t="n"/>
      <c r="P774" s="1665" t="n"/>
      <c r="Q774" s="1665" t="n"/>
      <c r="R774" s="1665" t="n"/>
      <c r="S774" s="1665" t="n"/>
      <c r="T774" s="1665" t="n"/>
      <c r="U774" s="1665" t="n"/>
      <c r="V774" s="1665" t="n"/>
      <c r="W774" s="1665" t="n"/>
      <c r="X774" s="1665" t="n"/>
      <c r="Y774" s="1665" t="n"/>
      <c r="Z774" s="1665" t="n"/>
    </row>
    <row r="775" ht="15.75" customHeight="1" s="1666">
      <c r="K775" s="1665" t="n"/>
      <c r="L775" s="1665" t="n"/>
      <c r="M775" s="1665" t="n"/>
      <c r="N775" s="1665" t="n"/>
      <c r="O775" s="1665" t="n"/>
      <c r="P775" s="1665" t="n"/>
      <c r="Q775" s="1665" t="n"/>
      <c r="R775" s="1665" t="n"/>
      <c r="S775" s="1665" t="n"/>
      <c r="T775" s="1665" t="n"/>
      <c r="U775" s="1665" t="n"/>
      <c r="V775" s="1665" t="n"/>
      <c r="W775" s="1665" t="n"/>
      <c r="X775" s="1665" t="n"/>
      <c r="Y775" s="1665" t="n"/>
      <c r="Z775" s="1665" t="n"/>
    </row>
    <row r="776" ht="15.75" customHeight="1" s="1666">
      <c r="K776" s="1665" t="n"/>
      <c r="L776" s="1665" t="n"/>
      <c r="M776" s="1665" t="n"/>
      <c r="N776" s="1665" t="n"/>
      <c r="O776" s="1665" t="n"/>
      <c r="P776" s="1665" t="n"/>
      <c r="Q776" s="1665" t="n"/>
      <c r="R776" s="1665" t="n"/>
      <c r="S776" s="1665" t="n"/>
      <c r="T776" s="1665" t="n"/>
      <c r="U776" s="1665" t="n"/>
      <c r="V776" s="1665" t="n"/>
      <c r="W776" s="1665" t="n"/>
      <c r="X776" s="1665" t="n"/>
      <c r="Y776" s="1665" t="n"/>
      <c r="Z776" s="1665" t="n"/>
    </row>
    <row r="777" ht="15.75" customHeight="1" s="1666">
      <c r="K777" s="1665" t="n"/>
      <c r="L777" s="1665" t="n"/>
      <c r="M777" s="1665" t="n"/>
      <c r="N777" s="1665" t="n"/>
      <c r="O777" s="1665" t="n"/>
      <c r="P777" s="1665" t="n"/>
      <c r="Q777" s="1665" t="n"/>
      <c r="R777" s="1665" t="n"/>
      <c r="S777" s="1665" t="n"/>
      <c r="T777" s="1665" t="n"/>
      <c r="U777" s="1665" t="n"/>
      <c r="V777" s="1665" t="n"/>
      <c r="W777" s="1665" t="n"/>
      <c r="X777" s="1665" t="n"/>
      <c r="Y777" s="1665" t="n"/>
      <c r="Z777" s="1665" t="n"/>
    </row>
    <row r="778" ht="15.75" customHeight="1" s="1666">
      <c r="K778" s="1665" t="n"/>
      <c r="L778" s="1665" t="n"/>
      <c r="M778" s="1665" t="n"/>
      <c r="N778" s="1665" t="n"/>
      <c r="O778" s="1665" t="n"/>
      <c r="P778" s="1665" t="n"/>
      <c r="Q778" s="1665" t="n"/>
      <c r="R778" s="1665" t="n"/>
      <c r="S778" s="1665" t="n"/>
      <c r="T778" s="1665" t="n"/>
      <c r="U778" s="1665" t="n"/>
      <c r="V778" s="1665" t="n"/>
      <c r="W778" s="1665" t="n"/>
      <c r="X778" s="1665" t="n"/>
      <c r="Y778" s="1665" t="n"/>
      <c r="Z778" s="1665" t="n"/>
    </row>
    <row r="779" ht="15.75" customHeight="1" s="1666">
      <c r="K779" s="1665" t="n"/>
      <c r="L779" s="1665" t="n"/>
      <c r="M779" s="1665" t="n"/>
      <c r="N779" s="1665" t="n"/>
      <c r="O779" s="1665" t="n"/>
      <c r="P779" s="1665" t="n"/>
      <c r="Q779" s="1665" t="n"/>
      <c r="R779" s="1665" t="n"/>
      <c r="S779" s="1665" t="n"/>
      <c r="T779" s="1665" t="n"/>
      <c r="U779" s="1665" t="n"/>
      <c r="V779" s="1665" t="n"/>
      <c r="W779" s="1665" t="n"/>
      <c r="X779" s="1665" t="n"/>
      <c r="Y779" s="1665" t="n"/>
      <c r="Z779" s="1665" t="n"/>
    </row>
    <row r="780" ht="15.75" customHeight="1" s="1666">
      <c r="K780" s="1665" t="n"/>
      <c r="L780" s="1665" t="n"/>
      <c r="M780" s="1665" t="n"/>
      <c r="N780" s="1665" t="n"/>
      <c r="O780" s="1665" t="n"/>
      <c r="P780" s="1665" t="n"/>
      <c r="Q780" s="1665" t="n"/>
      <c r="R780" s="1665" t="n"/>
      <c r="S780" s="1665" t="n"/>
      <c r="T780" s="1665" t="n"/>
      <c r="U780" s="1665" t="n"/>
      <c r="V780" s="1665" t="n"/>
      <c r="W780" s="1665" t="n"/>
      <c r="X780" s="1665" t="n"/>
      <c r="Y780" s="1665" t="n"/>
      <c r="Z780" s="1665" t="n"/>
    </row>
    <row r="781" ht="15.75" customHeight="1" s="1666">
      <c r="K781" s="1665" t="n"/>
      <c r="L781" s="1665" t="n"/>
      <c r="M781" s="1665" t="n"/>
      <c r="N781" s="1665" t="n"/>
      <c r="O781" s="1665" t="n"/>
      <c r="P781" s="1665" t="n"/>
      <c r="Q781" s="1665" t="n"/>
      <c r="R781" s="1665" t="n"/>
      <c r="S781" s="1665" t="n"/>
      <c r="T781" s="1665" t="n"/>
      <c r="U781" s="1665" t="n"/>
      <c r="V781" s="1665" t="n"/>
      <c r="W781" s="1665" t="n"/>
      <c r="X781" s="1665" t="n"/>
      <c r="Y781" s="1665" t="n"/>
      <c r="Z781" s="1665" t="n"/>
    </row>
    <row r="782" ht="15.75" customHeight="1" s="1666">
      <c r="K782" s="1665" t="n"/>
      <c r="L782" s="1665" t="n"/>
      <c r="M782" s="1665" t="n"/>
      <c r="N782" s="1665" t="n"/>
      <c r="O782" s="1665" t="n"/>
      <c r="P782" s="1665" t="n"/>
      <c r="Q782" s="1665" t="n"/>
      <c r="R782" s="1665" t="n"/>
      <c r="S782" s="1665" t="n"/>
      <c r="T782" s="1665" t="n"/>
      <c r="U782" s="1665" t="n"/>
      <c r="V782" s="1665" t="n"/>
      <c r="W782" s="1665" t="n"/>
      <c r="X782" s="1665" t="n"/>
      <c r="Y782" s="1665" t="n"/>
      <c r="Z782" s="1665" t="n"/>
    </row>
    <row r="783" ht="15.75" customHeight="1" s="1666">
      <c r="K783" s="1665" t="n"/>
      <c r="L783" s="1665" t="n"/>
      <c r="M783" s="1665" t="n"/>
      <c r="N783" s="1665" t="n"/>
      <c r="O783" s="1665" t="n"/>
      <c r="P783" s="1665" t="n"/>
      <c r="Q783" s="1665" t="n"/>
      <c r="R783" s="1665" t="n"/>
      <c r="S783" s="1665" t="n"/>
      <c r="T783" s="1665" t="n"/>
      <c r="U783" s="1665" t="n"/>
      <c r="V783" s="1665" t="n"/>
      <c r="W783" s="1665" t="n"/>
      <c r="X783" s="1665" t="n"/>
      <c r="Y783" s="1665" t="n"/>
      <c r="Z783" s="1665" t="n"/>
    </row>
    <row r="784" ht="15.75" customHeight="1" s="1666">
      <c r="K784" s="1665" t="n"/>
      <c r="L784" s="1665" t="n"/>
      <c r="M784" s="1665" t="n"/>
      <c r="N784" s="1665" t="n"/>
      <c r="O784" s="1665" t="n"/>
      <c r="P784" s="1665" t="n"/>
      <c r="Q784" s="1665" t="n"/>
      <c r="R784" s="1665" t="n"/>
      <c r="S784" s="1665" t="n"/>
      <c r="T784" s="1665" t="n"/>
      <c r="U784" s="1665" t="n"/>
      <c r="V784" s="1665" t="n"/>
      <c r="W784" s="1665" t="n"/>
      <c r="X784" s="1665" t="n"/>
      <c r="Y784" s="1665" t="n"/>
      <c r="Z784" s="1665" t="n"/>
    </row>
    <row r="785" ht="15.75" customHeight="1" s="1666">
      <c r="K785" s="1665" t="n"/>
      <c r="L785" s="1665" t="n"/>
      <c r="M785" s="1665" t="n"/>
      <c r="N785" s="1665" t="n"/>
      <c r="O785" s="1665" t="n"/>
      <c r="P785" s="1665" t="n"/>
      <c r="Q785" s="1665" t="n"/>
      <c r="R785" s="1665" t="n"/>
      <c r="S785" s="1665" t="n"/>
      <c r="T785" s="1665" t="n"/>
      <c r="U785" s="1665" t="n"/>
      <c r="V785" s="1665" t="n"/>
      <c r="W785" s="1665" t="n"/>
      <c r="X785" s="1665" t="n"/>
      <c r="Y785" s="1665" t="n"/>
      <c r="Z785" s="1665" t="n"/>
    </row>
    <row r="786" ht="15.75" customHeight="1" s="1666">
      <c r="K786" s="1665" t="n"/>
      <c r="L786" s="1665" t="n"/>
      <c r="M786" s="1665" t="n"/>
      <c r="N786" s="1665" t="n"/>
      <c r="O786" s="1665" t="n"/>
      <c r="P786" s="1665" t="n"/>
      <c r="Q786" s="1665" t="n"/>
      <c r="R786" s="1665" t="n"/>
      <c r="S786" s="1665" t="n"/>
      <c r="T786" s="1665" t="n"/>
      <c r="U786" s="1665" t="n"/>
      <c r="V786" s="1665" t="n"/>
      <c r="W786" s="1665" t="n"/>
      <c r="X786" s="1665" t="n"/>
      <c r="Y786" s="1665" t="n"/>
      <c r="Z786" s="1665" t="n"/>
    </row>
    <row r="787" ht="15.75" customHeight="1" s="1666">
      <c r="K787" s="1665" t="n"/>
      <c r="L787" s="1665" t="n"/>
      <c r="M787" s="1665" t="n"/>
      <c r="N787" s="1665" t="n"/>
      <c r="O787" s="1665" t="n"/>
      <c r="P787" s="1665" t="n"/>
      <c r="Q787" s="1665" t="n"/>
      <c r="R787" s="1665" t="n"/>
      <c r="S787" s="1665" t="n"/>
      <c r="T787" s="1665" t="n"/>
      <c r="U787" s="1665" t="n"/>
      <c r="V787" s="1665" t="n"/>
      <c r="W787" s="1665" t="n"/>
      <c r="X787" s="1665" t="n"/>
      <c r="Y787" s="1665" t="n"/>
      <c r="Z787" s="1665" t="n"/>
    </row>
    <row r="788" ht="15.75" customHeight="1" s="1666">
      <c r="K788" s="1665" t="n"/>
      <c r="L788" s="1665" t="n"/>
      <c r="M788" s="1665" t="n"/>
      <c r="N788" s="1665" t="n"/>
      <c r="O788" s="1665" t="n"/>
      <c r="P788" s="1665" t="n"/>
      <c r="Q788" s="1665" t="n"/>
      <c r="R788" s="1665" t="n"/>
      <c r="S788" s="1665" t="n"/>
      <c r="T788" s="1665" t="n"/>
      <c r="U788" s="1665" t="n"/>
      <c r="V788" s="1665" t="n"/>
      <c r="W788" s="1665" t="n"/>
      <c r="X788" s="1665" t="n"/>
      <c r="Y788" s="1665" t="n"/>
      <c r="Z788" s="1665" t="n"/>
    </row>
    <row r="789" ht="15.75" customHeight="1" s="1666">
      <c r="K789" s="1665" t="n"/>
      <c r="L789" s="1665" t="n"/>
      <c r="M789" s="1665" t="n"/>
      <c r="N789" s="1665" t="n"/>
      <c r="O789" s="1665" t="n"/>
      <c r="P789" s="1665" t="n"/>
      <c r="Q789" s="1665" t="n"/>
      <c r="R789" s="1665" t="n"/>
      <c r="S789" s="1665" t="n"/>
      <c r="T789" s="1665" t="n"/>
      <c r="U789" s="1665" t="n"/>
      <c r="V789" s="1665" t="n"/>
      <c r="W789" s="1665" t="n"/>
      <c r="X789" s="1665" t="n"/>
      <c r="Y789" s="1665" t="n"/>
      <c r="Z789" s="1665" t="n"/>
    </row>
    <row r="790" ht="15.75" customHeight="1" s="1666">
      <c r="K790" s="1665" t="n"/>
      <c r="L790" s="1665" t="n"/>
      <c r="M790" s="1665" t="n"/>
      <c r="N790" s="1665" t="n"/>
      <c r="O790" s="1665" t="n"/>
      <c r="P790" s="1665" t="n"/>
      <c r="Q790" s="1665" t="n"/>
      <c r="R790" s="1665" t="n"/>
      <c r="S790" s="1665" t="n"/>
      <c r="T790" s="1665" t="n"/>
      <c r="U790" s="1665" t="n"/>
      <c r="V790" s="1665" t="n"/>
      <c r="W790" s="1665" t="n"/>
      <c r="X790" s="1665" t="n"/>
      <c r="Y790" s="1665" t="n"/>
      <c r="Z790" s="1665" t="n"/>
    </row>
    <row r="791" ht="15.75" customHeight="1" s="1666">
      <c r="K791" s="1665" t="n"/>
      <c r="L791" s="1665" t="n"/>
      <c r="M791" s="1665" t="n"/>
      <c r="N791" s="1665" t="n"/>
      <c r="O791" s="1665" t="n"/>
      <c r="P791" s="1665" t="n"/>
      <c r="Q791" s="1665" t="n"/>
      <c r="R791" s="1665" t="n"/>
      <c r="S791" s="1665" t="n"/>
      <c r="T791" s="1665" t="n"/>
      <c r="U791" s="1665" t="n"/>
      <c r="V791" s="1665" t="n"/>
      <c r="W791" s="1665" t="n"/>
      <c r="X791" s="1665" t="n"/>
      <c r="Y791" s="1665" t="n"/>
      <c r="Z791" s="1665" t="n"/>
    </row>
    <row r="792" ht="15.75" customHeight="1" s="1666">
      <c r="K792" s="1665" t="n"/>
      <c r="L792" s="1665" t="n"/>
      <c r="M792" s="1665" t="n"/>
      <c r="N792" s="1665" t="n"/>
      <c r="O792" s="1665" t="n"/>
      <c r="P792" s="1665" t="n"/>
      <c r="Q792" s="1665" t="n"/>
      <c r="R792" s="1665" t="n"/>
      <c r="S792" s="1665" t="n"/>
      <c r="T792" s="1665" t="n"/>
      <c r="U792" s="1665" t="n"/>
      <c r="V792" s="1665" t="n"/>
      <c r="W792" s="1665" t="n"/>
      <c r="X792" s="1665" t="n"/>
      <c r="Y792" s="1665" t="n"/>
      <c r="Z792" s="1665" t="n"/>
    </row>
    <row r="793" ht="15.75" customHeight="1" s="1666">
      <c r="K793" s="1665" t="n"/>
      <c r="L793" s="1665" t="n"/>
      <c r="M793" s="1665" t="n"/>
      <c r="N793" s="1665" t="n"/>
      <c r="O793" s="1665" t="n"/>
      <c r="P793" s="1665" t="n"/>
      <c r="Q793" s="1665" t="n"/>
      <c r="R793" s="1665" t="n"/>
      <c r="S793" s="1665" t="n"/>
      <c r="T793" s="1665" t="n"/>
      <c r="U793" s="1665" t="n"/>
      <c r="V793" s="1665" t="n"/>
      <c r="W793" s="1665" t="n"/>
      <c r="X793" s="1665" t="n"/>
      <c r="Y793" s="1665" t="n"/>
      <c r="Z793" s="1665" t="n"/>
    </row>
    <row r="794" ht="15.75" customHeight="1" s="1666">
      <c r="K794" s="1665" t="n"/>
      <c r="L794" s="1665" t="n"/>
      <c r="M794" s="1665" t="n"/>
      <c r="N794" s="1665" t="n"/>
      <c r="O794" s="1665" t="n"/>
      <c r="P794" s="1665" t="n"/>
      <c r="Q794" s="1665" t="n"/>
      <c r="R794" s="1665" t="n"/>
      <c r="S794" s="1665" t="n"/>
      <c r="T794" s="1665" t="n"/>
      <c r="U794" s="1665" t="n"/>
      <c r="V794" s="1665" t="n"/>
      <c r="W794" s="1665" t="n"/>
      <c r="X794" s="1665" t="n"/>
      <c r="Y794" s="1665" t="n"/>
      <c r="Z794" s="1665" t="n"/>
    </row>
    <row r="795" ht="15.75" customHeight="1" s="1666">
      <c r="K795" s="1665" t="n"/>
      <c r="L795" s="1665" t="n"/>
      <c r="M795" s="1665" t="n"/>
      <c r="N795" s="1665" t="n"/>
      <c r="O795" s="1665" t="n"/>
      <c r="P795" s="1665" t="n"/>
      <c r="Q795" s="1665" t="n"/>
      <c r="R795" s="1665" t="n"/>
      <c r="S795" s="1665" t="n"/>
      <c r="T795" s="1665" t="n"/>
      <c r="U795" s="1665" t="n"/>
      <c r="V795" s="1665" t="n"/>
      <c r="W795" s="1665" t="n"/>
      <c r="X795" s="1665" t="n"/>
      <c r="Y795" s="1665" t="n"/>
      <c r="Z795" s="1665" t="n"/>
    </row>
    <row r="796" ht="15.75" customHeight="1" s="1666">
      <c r="K796" s="1665" t="n"/>
      <c r="L796" s="1665" t="n"/>
      <c r="M796" s="1665" t="n"/>
      <c r="N796" s="1665" t="n"/>
      <c r="O796" s="1665" t="n"/>
      <c r="P796" s="1665" t="n"/>
      <c r="Q796" s="1665" t="n"/>
      <c r="R796" s="1665" t="n"/>
      <c r="S796" s="1665" t="n"/>
      <c r="T796" s="1665" t="n"/>
      <c r="U796" s="1665" t="n"/>
      <c r="V796" s="1665" t="n"/>
      <c r="W796" s="1665" t="n"/>
      <c r="X796" s="1665" t="n"/>
      <c r="Y796" s="1665" t="n"/>
      <c r="Z796" s="1665" t="n"/>
    </row>
    <row r="797" ht="15.75" customHeight="1" s="1666">
      <c r="K797" s="1665" t="n"/>
      <c r="L797" s="1665" t="n"/>
      <c r="M797" s="1665" t="n"/>
      <c r="N797" s="1665" t="n"/>
      <c r="O797" s="1665" t="n"/>
      <c r="P797" s="1665" t="n"/>
      <c r="Q797" s="1665" t="n"/>
      <c r="R797" s="1665" t="n"/>
      <c r="S797" s="1665" t="n"/>
      <c r="T797" s="1665" t="n"/>
      <c r="U797" s="1665" t="n"/>
      <c r="V797" s="1665" t="n"/>
      <c r="W797" s="1665" t="n"/>
      <c r="X797" s="1665" t="n"/>
      <c r="Y797" s="1665" t="n"/>
      <c r="Z797" s="1665" t="n"/>
    </row>
    <row r="798" ht="15.75" customHeight="1" s="1666">
      <c r="K798" s="1665" t="n"/>
      <c r="L798" s="1665" t="n"/>
      <c r="M798" s="1665" t="n"/>
      <c r="N798" s="1665" t="n"/>
      <c r="O798" s="1665" t="n"/>
      <c r="P798" s="1665" t="n"/>
      <c r="Q798" s="1665" t="n"/>
      <c r="R798" s="1665" t="n"/>
      <c r="S798" s="1665" t="n"/>
      <c r="T798" s="1665" t="n"/>
      <c r="U798" s="1665" t="n"/>
      <c r="V798" s="1665" t="n"/>
      <c r="W798" s="1665" t="n"/>
      <c r="X798" s="1665" t="n"/>
      <c r="Y798" s="1665" t="n"/>
      <c r="Z798" s="1665" t="n"/>
    </row>
    <row r="799" ht="15.75" customHeight="1" s="1666">
      <c r="K799" s="1665" t="n"/>
      <c r="L799" s="1665" t="n"/>
      <c r="M799" s="1665" t="n"/>
      <c r="N799" s="1665" t="n"/>
      <c r="O799" s="1665" t="n"/>
      <c r="P799" s="1665" t="n"/>
      <c r="Q799" s="1665" t="n"/>
      <c r="R799" s="1665" t="n"/>
      <c r="S799" s="1665" t="n"/>
      <c r="T799" s="1665" t="n"/>
      <c r="U799" s="1665" t="n"/>
      <c r="V799" s="1665" t="n"/>
      <c r="W799" s="1665" t="n"/>
      <c r="X799" s="1665" t="n"/>
      <c r="Y799" s="1665" t="n"/>
      <c r="Z799" s="1665" t="n"/>
    </row>
    <row r="800" ht="15.75" customHeight="1" s="1666">
      <c r="K800" s="1665" t="n"/>
      <c r="L800" s="1665" t="n"/>
      <c r="M800" s="1665" t="n"/>
      <c r="N800" s="1665" t="n"/>
      <c r="O800" s="1665" t="n"/>
      <c r="P800" s="1665" t="n"/>
      <c r="Q800" s="1665" t="n"/>
      <c r="R800" s="1665" t="n"/>
      <c r="S800" s="1665" t="n"/>
      <c r="T800" s="1665" t="n"/>
      <c r="U800" s="1665" t="n"/>
      <c r="V800" s="1665" t="n"/>
      <c r="W800" s="1665" t="n"/>
      <c r="X800" s="1665" t="n"/>
      <c r="Y800" s="1665" t="n"/>
      <c r="Z800" s="1665" t="n"/>
    </row>
    <row r="801" ht="15.75" customHeight="1" s="1666">
      <c r="K801" s="1665" t="n"/>
      <c r="L801" s="1665" t="n"/>
      <c r="M801" s="1665" t="n"/>
      <c r="N801" s="1665" t="n"/>
      <c r="O801" s="1665" t="n"/>
      <c r="P801" s="1665" t="n"/>
      <c r="Q801" s="1665" t="n"/>
      <c r="R801" s="1665" t="n"/>
      <c r="S801" s="1665" t="n"/>
      <c r="T801" s="1665" t="n"/>
      <c r="U801" s="1665" t="n"/>
      <c r="V801" s="1665" t="n"/>
      <c r="W801" s="1665" t="n"/>
      <c r="X801" s="1665" t="n"/>
      <c r="Y801" s="1665" t="n"/>
      <c r="Z801" s="1665" t="n"/>
    </row>
    <row r="802" ht="15.75" customHeight="1" s="1666">
      <c r="K802" s="1665" t="n"/>
      <c r="L802" s="1665" t="n"/>
      <c r="M802" s="1665" t="n"/>
      <c r="N802" s="1665" t="n"/>
      <c r="O802" s="1665" t="n"/>
      <c r="P802" s="1665" t="n"/>
      <c r="Q802" s="1665" t="n"/>
      <c r="R802" s="1665" t="n"/>
      <c r="S802" s="1665" t="n"/>
      <c r="T802" s="1665" t="n"/>
      <c r="U802" s="1665" t="n"/>
      <c r="V802" s="1665" t="n"/>
      <c r="W802" s="1665" t="n"/>
      <c r="X802" s="1665" t="n"/>
      <c r="Y802" s="1665" t="n"/>
      <c r="Z802" s="1665" t="n"/>
    </row>
    <row r="803" ht="15.75" customHeight="1" s="1666">
      <c r="K803" s="1665" t="n"/>
      <c r="L803" s="1665" t="n"/>
      <c r="M803" s="1665" t="n"/>
      <c r="N803" s="1665" t="n"/>
      <c r="O803" s="1665" t="n"/>
      <c r="P803" s="1665" t="n"/>
      <c r="Q803" s="1665" t="n"/>
      <c r="R803" s="1665" t="n"/>
      <c r="S803" s="1665" t="n"/>
      <c r="T803" s="1665" t="n"/>
      <c r="U803" s="1665" t="n"/>
      <c r="V803" s="1665" t="n"/>
      <c r="W803" s="1665" t="n"/>
      <c r="X803" s="1665" t="n"/>
      <c r="Y803" s="1665" t="n"/>
      <c r="Z803" s="1665" t="n"/>
    </row>
    <row r="804" ht="15.75" customHeight="1" s="1666">
      <c r="K804" s="1665" t="n"/>
      <c r="L804" s="1665" t="n"/>
      <c r="M804" s="1665" t="n"/>
      <c r="N804" s="1665" t="n"/>
      <c r="O804" s="1665" t="n"/>
      <c r="P804" s="1665" t="n"/>
      <c r="Q804" s="1665" t="n"/>
      <c r="R804" s="1665" t="n"/>
      <c r="S804" s="1665" t="n"/>
      <c r="T804" s="1665" t="n"/>
      <c r="U804" s="1665" t="n"/>
      <c r="V804" s="1665" t="n"/>
      <c r="W804" s="1665" t="n"/>
      <c r="X804" s="1665" t="n"/>
      <c r="Y804" s="1665" t="n"/>
      <c r="Z804" s="1665" t="n"/>
    </row>
    <row r="805" ht="15.75" customHeight="1" s="1666">
      <c r="K805" s="1665" t="n"/>
      <c r="L805" s="1665" t="n"/>
      <c r="M805" s="1665" t="n"/>
      <c r="N805" s="1665" t="n"/>
      <c r="O805" s="1665" t="n"/>
      <c r="P805" s="1665" t="n"/>
      <c r="Q805" s="1665" t="n"/>
      <c r="R805" s="1665" t="n"/>
      <c r="S805" s="1665" t="n"/>
      <c r="T805" s="1665" t="n"/>
      <c r="U805" s="1665" t="n"/>
      <c r="V805" s="1665" t="n"/>
      <c r="W805" s="1665" t="n"/>
      <c r="X805" s="1665" t="n"/>
      <c r="Y805" s="1665" t="n"/>
      <c r="Z805" s="1665" t="n"/>
    </row>
    <row r="806" ht="15.75" customHeight="1" s="1666">
      <c r="K806" s="1665" t="n"/>
      <c r="L806" s="1665" t="n"/>
      <c r="M806" s="1665" t="n"/>
      <c r="N806" s="1665" t="n"/>
      <c r="O806" s="1665" t="n"/>
      <c r="P806" s="1665" t="n"/>
      <c r="Q806" s="1665" t="n"/>
      <c r="R806" s="1665" t="n"/>
      <c r="S806" s="1665" t="n"/>
      <c r="T806" s="1665" t="n"/>
      <c r="U806" s="1665" t="n"/>
      <c r="V806" s="1665" t="n"/>
      <c r="W806" s="1665" t="n"/>
      <c r="X806" s="1665" t="n"/>
      <c r="Y806" s="1665" t="n"/>
      <c r="Z806" s="1665" t="n"/>
    </row>
    <row r="807" ht="15.75" customHeight="1" s="1666">
      <c r="K807" s="1665" t="n"/>
      <c r="L807" s="1665" t="n"/>
      <c r="M807" s="1665" t="n"/>
      <c r="N807" s="1665" t="n"/>
      <c r="O807" s="1665" t="n"/>
      <c r="P807" s="1665" t="n"/>
      <c r="Q807" s="1665" t="n"/>
      <c r="R807" s="1665" t="n"/>
      <c r="S807" s="1665" t="n"/>
      <c r="T807" s="1665" t="n"/>
      <c r="U807" s="1665" t="n"/>
      <c r="V807" s="1665" t="n"/>
      <c r="W807" s="1665" t="n"/>
      <c r="X807" s="1665" t="n"/>
      <c r="Y807" s="1665" t="n"/>
      <c r="Z807" s="1665" t="n"/>
    </row>
    <row r="808" ht="15.75" customHeight="1" s="1666">
      <c r="K808" s="1665" t="n"/>
      <c r="L808" s="1665" t="n"/>
      <c r="M808" s="1665" t="n"/>
      <c r="N808" s="1665" t="n"/>
      <c r="O808" s="1665" t="n"/>
      <c r="P808" s="1665" t="n"/>
      <c r="Q808" s="1665" t="n"/>
      <c r="R808" s="1665" t="n"/>
      <c r="S808" s="1665" t="n"/>
      <c r="T808" s="1665" t="n"/>
      <c r="U808" s="1665" t="n"/>
      <c r="V808" s="1665" t="n"/>
      <c r="W808" s="1665" t="n"/>
      <c r="X808" s="1665" t="n"/>
      <c r="Y808" s="1665" t="n"/>
      <c r="Z808" s="1665" t="n"/>
    </row>
    <row r="809" ht="15.75" customHeight="1" s="1666">
      <c r="K809" s="1665" t="n"/>
      <c r="L809" s="1665" t="n"/>
      <c r="M809" s="1665" t="n"/>
      <c r="N809" s="1665" t="n"/>
      <c r="O809" s="1665" t="n"/>
      <c r="P809" s="1665" t="n"/>
      <c r="Q809" s="1665" t="n"/>
      <c r="R809" s="1665" t="n"/>
      <c r="S809" s="1665" t="n"/>
      <c r="T809" s="1665" t="n"/>
      <c r="U809" s="1665" t="n"/>
      <c r="V809" s="1665" t="n"/>
      <c r="W809" s="1665" t="n"/>
      <c r="X809" s="1665" t="n"/>
      <c r="Y809" s="1665" t="n"/>
      <c r="Z809" s="1665" t="n"/>
    </row>
    <row r="810" ht="15.75" customHeight="1" s="1666">
      <c r="K810" s="1665" t="n"/>
      <c r="L810" s="1665" t="n"/>
      <c r="M810" s="1665" t="n"/>
      <c r="N810" s="1665" t="n"/>
      <c r="O810" s="1665" t="n"/>
      <c r="P810" s="1665" t="n"/>
      <c r="Q810" s="1665" t="n"/>
      <c r="R810" s="1665" t="n"/>
      <c r="S810" s="1665" t="n"/>
      <c r="T810" s="1665" t="n"/>
      <c r="U810" s="1665" t="n"/>
      <c r="V810" s="1665" t="n"/>
      <c r="W810" s="1665" t="n"/>
      <c r="X810" s="1665" t="n"/>
      <c r="Y810" s="1665" t="n"/>
      <c r="Z810" s="1665" t="n"/>
    </row>
    <row r="811" ht="15.75" customHeight="1" s="1666">
      <c r="K811" s="1665" t="n"/>
      <c r="L811" s="1665" t="n"/>
      <c r="M811" s="1665" t="n"/>
      <c r="N811" s="1665" t="n"/>
      <c r="O811" s="1665" t="n"/>
      <c r="P811" s="1665" t="n"/>
      <c r="Q811" s="1665" t="n"/>
      <c r="R811" s="1665" t="n"/>
      <c r="S811" s="1665" t="n"/>
      <c r="T811" s="1665" t="n"/>
      <c r="U811" s="1665" t="n"/>
      <c r="V811" s="1665" t="n"/>
      <c r="W811" s="1665" t="n"/>
      <c r="X811" s="1665" t="n"/>
      <c r="Y811" s="1665" t="n"/>
      <c r="Z811" s="1665" t="n"/>
    </row>
    <row r="812" ht="15.75" customHeight="1" s="1666">
      <c r="K812" s="1665" t="n"/>
      <c r="L812" s="1665" t="n"/>
      <c r="M812" s="1665" t="n"/>
      <c r="N812" s="1665" t="n"/>
      <c r="O812" s="1665" t="n"/>
      <c r="P812" s="1665" t="n"/>
      <c r="Q812" s="1665" t="n"/>
      <c r="R812" s="1665" t="n"/>
      <c r="S812" s="1665" t="n"/>
      <c r="T812" s="1665" t="n"/>
      <c r="U812" s="1665" t="n"/>
      <c r="V812" s="1665" t="n"/>
      <c r="W812" s="1665" t="n"/>
      <c r="X812" s="1665" t="n"/>
      <c r="Y812" s="1665" t="n"/>
      <c r="Z812" s="1665" t="n"/>
    </row>
    <row r="813" ht="15.75" customHeight="1" s="1666">
      <c r="K813" s="1665" t="n"/>
      <c r="L813" s="1665" t="n"/>
      <c r="M813" s="1665" t="n"/>
      <c r="N813" s="1665" t="n"/>
      <c r="O813" s="1665" t="n"/>
      <c r="P813" s="1665" t="n"/>
      <c r="Q813" s="1665" t="n"/>
      <c r="R813" s="1665" t="n"/>
      <c r="S813" s="1665" t="n"/>
      <c r="T813" s="1665" t="n"/>
      <c r="U813" s="1665" t="n"/>
      <c r="V813" s="1665" t="n"/>
      <c r="W813" s="1665" t="n"/>
      <c r="X813" s="1665" t="n"/>
      <c r="Y813" s="1665" t="n"/>
      <c r="Z813" s="1665" t="n"/>
    </row>
    <row r="814" ht="15.75" customHeight="1" s="1666">
      <c r="K814" s="1665" t="n"/>
      <c r="L814" s="1665" t="n"/>
      <c r="M814" s="1665" t="n"/>
      <c r="N814" s="1665" t="n"/>
      <c r="O814" s="1665" t="n"/>
      <c r="P814" s="1665" t="n"/>
      <c r="Q814" s="1665" t="n"/>
      <c r="R814" s="1665" t="n"/>
      <c r="S814" s="1665" t="n"/>
      <c r="T814" s="1665" t="n"/>
      <c r="U814" s="1665" t="n"/>
      <c r="V814" s="1665" t="n"/>
      <c r="W814" s="1665" t="n"/>
      <c r="X814" s="1665" t="n"/>
      <c r="Y814" s="1665" t="n"/>
      <c r="Z814" s="1665" t="n"/>
    </row>
    <row r="815" ht="15.75" customHeight="1" s="1666">
      <c r="K815" s="1665" t="n"/>
      <c r="L815" s="1665" t="n"/>
      <c r="M815" s="1665" t="n"/>
      <c r="N815" s="1665" t="n"/>
      <c r="O815" s="1665" t="n"/>
      <c r="P815" s="1665" t="n"/>
      <c r="Q815" s="1665" t="n"/>
      <c r="R815" s="1665" t="n"/>
      <c r="S815" s="1665" t="n"/>
      <c r="T815" s="1665" t="n"/>
      <c r="U815" s="1665" t="n"/>
      <c r="V815" s="1665" t="n"/>
      <c r="W815" s="1665" t="n"/>
      <c r="X815" s="1665" t="n"/>
      <c r="Y815" s="1665" t="n"/>
      <c r="Z815" s="1665" t="n"/>
    </row>
    <row r="816" ht="15.75" customHeight="1" s="1666">
      <c r="K816" s="1665" t="n"/>
      <c r="L816" s="1665" t="n"/>
      <c r="M816" s="1665" t="n"/>
      <c r="N816" s="1665" t="n"/>
      <c r="O816" s="1665" t="n"/>
      <c r="P816" s="1665" t="n"/>
      <c r="Q816" s="1665" t="n"/>
      <c r="R816" s="1665" t="n"/>
      <c r="S816" s="1665" t="n"/>
      <c r="T816" s="1665" t="n"/>
      <c r="U816" s="1665" t="n"/>
      <c r="V816" s="1665" t="n"/>
      <c r="W816" s="1665" t="n"/>
      <c r="X816" s="1665" t="n"/>
      <c r="Y816" s="1665" t="n"/>
      <c r="Z816" s="1665" t="n"/>
    </row>
    <row r="817" ht="15.75" customHeight="1" s="1666">
      <c r="K817" s="1665" t="n"/>
      <c r="L817" s="1665" t="n"/>
      <c r="M817" s="1665" t="n"/>
      <c r="N817" s="1665" t="n"/>
      <c r="O817" s="1665" t="n"/>
      <c r="P817" s="1665" t="n"/>
      <c r="Q817" s="1665" t="n"/>
      <c r="R817" s="1665" t="n"/>
      <c r="S817" s="1665" t="n"/>
      <c r="T817" s="1665" t="n"/>
      <c r="U817" s="1665" t="n"/>
      <c r="V817" s="1665" t="n"/>
      <c r="W817" s="1665" t="n"/>
      <c r="X817" s="1665" t="n"/>
      <c r="Y817" s="1665" t="n"/>
      <c r="Z817" s="1665" t="n"/>
    </row>
    <row r="818" ht="15.75" customHeight="1" s="1666">
      <c r="K818" s="1665" t="n"/>
      <c r="L818" s="1665" t="n"/>
      <c r="M818" s="1665" t="n"/>
      <c r="N818" s="1665" t="n"/>
      <c r="O818" s="1665" t="n"/>
      <c r="P818" s="1665" t="n"/>
      <c r="Q818" s="1665" t="n"/>
      <c r="R818" s="1665" t="n"/>
      <c r="S818" s="1665" t="n"/>
      <c r="T818" s="1665" t="n"/>
      <c r="U818" s="1665" t="n"/>
      <c r="V818" s="1665" t="n"/>
      <c r="W818" s="1665" t="n"/>
      <c r="X818" s="1665" t="n"/>
      <c r="Y818" s="1665" t="n"/>
      <c r="Z818" s="1665" t="n"/>
    </row>
    <row r="819" ht="15.75" customHeight="1" s="1666">
      <c r="K819" s="1665" t="n"/>
      <c r="L819" s="1665" t="n"/>
      <c r="M819" s="1665" t="n"/>
      <c r="N819" s="1665" t="n"/>
      <c r="O819" s="1665" t="n"/>
      <c r="P819" s="1665" t="n"/>
      <c r="Q819" s="1665" t="n"/>
      <c r="R819" s="1665" t="n"/>
      <c r="S819" s="1665" t="n"/>
      <c r="T819" s="1665" t="n"/>
      <c r="U819" s="1665" t="n"/>
      <c r="V819" s="1665" t="n"/>
      <c r="W819" s="1665" t="n"/>
      <c r="X819" s="1665" t="n"/>
      <c r="Y819" s="1665" t="n"/>
      <c r="Z819" s="1665" t="n"/>
    </row>
    <row r="820" ht="15.75" customHeight="1" s="1666">
      <c r="K820" s="1665" t="n"/>
      <c r="L820" s="1665" t="n"/>
      <c r="M820" s="1665" t="n"/>
      <c r="N820" s="1665" t="n"/>
      <c r="O820" s="1665" t="n"/>
      <c r="P820" s="1665" t="n"/>
      <c r="Q820" s="1665" t="n"/>
      <c r="R820" s="1665" t="n"/>
      <c r="S820" s="1665" t="n"/>
      <c r="T820" s="1665" t="n"/>
      <c r="U820" s="1665" t="n"/>
      <c r="V820" s="1665" t="n"/>
      <c r="W820" s="1665" t="n"/>
      <c r="X820" s="1665" t="n"/>
      <c r="Y820" s="1665" t="n"/>
      <c r="Z820" s="1665" t="n"/>
    </row>
    <row r="821" ht="15.75" customHeight="1" s="1666">
      <c r="K821" s="1665" t="n"/>
      <c r="L821" s="1665" t="n"/>
      <c r="M821" s="1665" t="n"/>
      <c r="N821" s="1665" t="n"/>
      <c r="O821" s="1665" t="n"/>
      <c r="P821" s="1665" t="n"/>
      <c r="Q821" s="1665" t="n"/>
      <c r="R821" s="1665" t="n"/>
      <c r="S821" s="1665" t="n"/>
      <c r="T821" s="1665" t="n"/>
      <c r="U821" s="1665" t="n"/>
      <c r="V821" s="1665" t="n"/>
      <c r="W821" s="1665" t="n"/>
      <c r="X821" s="1665" t="n"/>
      <c r="Y821" s="1665" t="n"/>
      <c r="Z821" s="1665" t="n"/>
    </row>
    <row r="822" ht="15.75" customHeight="1" s="1666">
      <c r="K822" s="1665" t="n"/>
      <c r="L822" s="1665" t="n"/>
      <c r="M822" s="1665" t="n"/>
      <c r="N822" s="1665" t="n"/>
      <c r="O822" s="1665" t="n"/>
      <c r="P822" s="1665" t="n"/>
      <c r="Q822" s="1665" t="n"/>
      <c r="R822" s="1665" t="n"/>
      <c r="S822" s="1665" t="n"/>
      <c r="T822" s="1665" t="n"/>
      <c r="U822" s="1665" t="n"/>
      <c r="V822" s="1665" t="n"/>
      <c r="W822" s="1665" t="n"/>
      <c r="X822" s="1665" t="n"/>
      <c r="Y822" s="1665" t="n"/>
      <c r="Z822" s="1665" t="n"/>
    </row>
    <row r="823" ht="15.75" customHeight="1" s="1666">
      <c r="K823" s="1665" t="n"/>
      <c r="L823" s="1665" t="n"/>
      <c r="M823" s="1665" t="n"/>
      <c r="N823" s="1665" t="n"/>
      <c r="O823" s="1665" t="n"/>
      <c r="P823" s="1665" t="n"/>
      <c r="Q823" s="1665" t="n"/>
      <c r="R823" s="1665" t="n"/>
      <c r="S823" s="1665" t="n"/>
      <c r="T823" s="1665" t="n"/>
      <c r="U823" s="1665" t="n"/>
      <c r="V823" s="1665" t="n"/>
      <c r="W823" s="1665" t="n"/>
      <c r="X823" s="1665" t="n"/>
      <c r="Y823" s="1665" t="n"/>
      <c r="Z823" s="1665" t="n"/>
    </row>
    <row r="824" ht="15.75" customHeight="1" s="1666">
      <c r="K824" s="1665" t="n"/>
      <c r="L824" s="1665" t="n"/>
      <c r="M824" s="1665" t="n"/>
      <c r="N824" s="1665" t="n"/>
      <c r="O824" s="1665" t="n"/>
      <c r="P824" s="1665" t="n"/>
      <c r="Q824" s="1665" t="n"/>
      <c r="R824" s="1665" t="n"/>
      <c r="S824" s="1665" t="n"/>
      <c r="T824" s="1665" t="n"/>
      <c r="U824" s="1665" t="n"/>
      <c r="V824" s="1665" t="n"/>
      <c r="W824" s="1665" t="n"/>
      <c r="X824" s="1665" t="n"/>
      <c r="Y824" s="1665" t="n"/>
      <c r="Z824" s="1665" t="n"/>
    </row>
    <row r="825" ht="15.75" customHeight="1" s="1666">
      <c r="K825" s="1665" t="n"/>
      <c r="L825" s="1665" t="n"/>
      <c r="M825" s="1665" t="n"/>
      <c r="N825" s="1665" t="n"/>
      <c r="O825" s="1665" t="n"/>
      <c r="P825" s="1665" t="n"/>
      <c r="Q825" s="1665" t="n"/>
      <c r="R825" s="1665" t="n"/>
      <c r="S825" s="1665" t="n"/>
      <c r="T825" s="1665" t="n"/>
      <c r="U825" s="1665" t="n"/>
      <c r="V825" s="1665" t="n"/>
      <c r="W825" s="1665" t="n"/>
      <c r="X825" s="1665" t="n"/>
      <c r="Y825" s="1665" t="n"/>
      <c r="Z825" s="1665" t="n"/>
    </row>
    <row r="826" ht="15.75" customHeight="1" s="1666">
      <c r="K826" s="1665" t="n"/>
      <c r="L826" s="1665" t="n"/>
      <c r="M826" s="1665" t="n"/>
      <c r="N826" s="1665" t="n"/>
      <c r="O826" s="1665" t="n"/>
      <c r="P826" s="1665" t="n"/>
      <c r="Q826" s="1665" t="n"/>
      <c r="R826" s="1665" t="n"/>
      <c r="S826" s="1665" t="n"/>
      <c r="T826" s="1665" t="n"/>
      <c r="U826" s="1665" t="n"/>
      <c r="V826" s="1665" t="n"/>
      <c r="W826" s="1665" t="n"/>
      <c r="X826" s="1665" t="n"/>
      <c r="Y826" s="1665" t="n"/>
      <c r="Z826" s="1665" t="n"/>
    </row>
    <row r="827" ht="15.75" customHeight="1" s="1666">
      <c r="K827" s="1665" t="n"/>
      <c r="L827" s="1665" t="n"/>
      <c r="M827" s="1665" t="n"/>
      <c r="N827" s="1665" t="n"/>
      <c r="O827" s="1665" t="n"/>
      <c r="P827" s="1665" t="n"/>
      <c r="Q827" s="1665" t="n"/>
      <c r="R827" s="1665" t="n"/>
      <c r="S827" s="1665" t="n"/>
      <c r="T827" s="1665" t="n"/>
      <c r="U827" s="1665" t="n"/>
      <c r="V827" s="1665" t="n"/>
      <c r="W827" s="1665" t="n"/>
      <c r="X827" s="1665" t="n"/>
      <c r="Y827" s="1665" t="n"/>
      <c r="Z827" s="1665" t="n"/>
    </row>
    <row r="828" ht="15.75" customHeight="1" s="1666">
      <c r="K828" s="1665" t="n"/>
      <c r="L828" s="1665" t="n"/>
      <c r="M828" s="1665" t="n"/>
      <c r="N828" s="1665" t="n"/>
      <c r="O828" s="1665" t="n"/>
      <c r="P828" s="1665" t="n"/>
      <c r="Q828" s="1665" t="n"/>
      <c r="R828" s="1665" t="n"/>
      <c r="S828" s="1665" t="n"/>
      <c r="T828" s="1665" t="n"/>
      <c r="U828" s="1665" t="n"/>
      <c r="V828" s="1665" t="n"/>
      <c r="W828" s="1665" t="n"/>
      <c r="X828" s="1665" t="n"/>
      <c r="Y828" s="1665" t="n"/>
      <c r="Z828" s="1665" t="n"/>
    </row>
    <row r="829" ht="15.75" customHeight="1" s="1666">
      <c r="K829" s="1665" t="n"/>
      <c r="L829" s="1665" t="n"/>
      <c r="M829" s="1665" t="n"/>
      <c r="N829" s="1665" t="n"/>
      <c r="O829" s="1665" t="n"/>
      <c r="P829" s="1665" t="n"/>
      <c r="Q829" s="1665" t="n"/>
      <c r="R829" s="1665" t="n"/>
      <c r="S829" s="1665" t="n"/>
      <c r="T829" s="1665" t="n"/>
      <c r="U829" s="1665" t="n"/>
      <c r="V829" s="1665" t="n"/>
      <c r="W829" s="1665" t="n"/>
      <c r="X829" s="1665" t="n"/>
      <c r="Y829" s="1665" t="n"/>
      <c r="Z829" s="1665" t="n"/>
    </row>
    <row r="830" ht="15.75" customHeight="1" s="1666">
      <c r="K830" s="1665" t="n"/>
      <c r="L830" s="1665" t="n"/>
      <c r="M830" s="1665" t="n"/>
      <c r="N830" s="1665" t="n"/>
      <c r="O830" s="1665" t="n"/>
      <c r="P830" s="1665" t="n"/>
      <c r="Q830" s="1665" t="n"/>
      <c r="R830" s="1665" t="n"/>
      <c r="S830" s="1665" t="n"/>
      <c r="T830" s="1665" t="n"/>
      <c r="U830" s="1665" t="n"/>
      <c r="V830" s="1665" t="n"/>
      <c r="W830" s="1665" t="n"/>
      <c r="X830" s="1665" t="n"/>
      <c r="Y830" s="1665" t="n"/>
      <c r="Z830" s="1665" t="n"/>
    </row>
    <row r="831" ht="15.75" customHeight="1" s="1666">
      <c r="K831" s="1665" t="n"/>
      <c r="L831" s="1665" t="n"/>
      <c r="M831" s="1665" t="n"/>
      <c r="N831" s="1665" t="n"/>
      <c r="O831" s="1665" t="n"/>
      <c r="P831" s="1665" t="n"/>
      <c r="Q831" s="1665" t="n"/>
      <c r="R831" s="1665" t="n"/>
      <c r="S831" s="1665" t="n"/>
      <c r="T831" s="1665" t="n"/>
      <c r="U831" s="1665" t="n"/>
      <c r="V831" s="1665" t="n"/>
      <c r="W831" s="1665" t="n"/>
      <c r="X831" s="1665" t="n"/>
      <c r="Y831" s="1665" t="n"/>
      <c r="Z831" s="1665" t="n"/>
    </row>
    <row r="832" ht="15.75" customHeight="1" s="1666">
      <c r="K832" s="1665" t="n"/>
      <c r="L832" s="1665" t="n"/>
      <c r="M832" s="1665" t="n"/>
      <c r="N832" s="1665" t="n"/>
      <c r="O832" s="1665" t="n"/>
      <c r="P832" s="1665" t="n"/>
      <c r="Q832" s="1665" t="n"/>
      <c r="R832" s="1665" t="n"/>
      <c r="S832" s="1665" t="n"/>
      <c r="T832" s="1665" t="n"/>
      <c r="U832" s="1665" t="n"/>
      <c r="V832" s="1665" t="n"/>
      <c r="W832" s="1665" t="n"/>
      <c r="X832" s="1665" t="n"/>
      <c r="Y832" s="1665" t="n"/>
      <c r="Z832" s="1665" t="n"/>
    </row>
    <row r="833" ht="15.75" customHeight="1" s="1666">
      <c r="K833" s="1665" t="n"/>
      <c r="L833" s="1665" t="n"/>
      <c r="M833" s="1665" t="n"/>
      <c r="N833" s="1665" t="n"/>
      <c r="O833" s="1665" t="n"/>
      <c r="P833" s="1665" t="n"/>
      <c r="Q833" s="1665" t="n"/>
      <c r="R833" s="1665" t="n"/>
      <c r="S833" s="1665" t="n"/>
      <c r="T833" s="1665" t="n"/>
      <c r="U833" s="1665" t="n"/>
      <c r="V833" s="1665" t="n"/>
      <c r="W833" s="1665" t="n"/>
      <c r="X833" s="1665" t="n"/>
      <c r="Y833" s="1665" t="n"/>
      <c r="Z833" s="1665" t="n"/>
    </row>
    <row r="834" ht="15.75" customHeight="1" s="1666">
      <c r="K834" s="1665" t="n"/>
      <c r="L834" s="1665" t="n"/>
      <c r="M834" s="1665" t="n"/>
      <c r="N834" s="1665" t="n"/>
      <c r="O834" s="1665" t="n"/>
      <c r="P834" s="1665" t="n"/>
      <c r="Q834" s="1665" t="n"/>
      <c r="R834" s="1665" t="n"/>
      <c r="S834" s="1665" t="n"/>
      <c r="T834" s="1665" t="n"/>
      <c r="U834" s="1665" t="n"/>
      <c r="V834" s="1665" t="n"/>
      <c r="W834" s="1665" t="n"/>
      <c r="X834" s="1665" t="n"/>
      <c r="Y834" s="1665" t="n"/>
      <c r="Z834" s="1665" t="n"/>
    </row>
    <row r="835" ht="15.75" customHeight="1" s="1666">
      <c r="K835" s="1665" t="n"/>
      <c r="L835" s="1665" t="n"/>
      <c r="M835" s="1665" t="n"/>
      <c r="N835" s="1665" t="n"/>
      <c r="O835" s="1665" t="n"/>
      <c r="P835" s="1665" t="n"/>
      <c r="Q835" s="1665" t="n"/>
      <c r="R835" s="1665" t="n"/>
      <c r="S835" s="1665" t="n"/>
      <c r="T835" s="1665" t="n"/>
      <c r="U835" s="1665" t="n"/>
      <c r="V835" s="1665" t="n"/>
      <c r="W835" s="1665" t="n"/>
      <c r="X835" s="1665" t="n"/>
      <c r="Y835" s="1665" t="n"/>
      <c r="Z835" s="1665" t="n"/>
    </row>
    <row r="836" ht="15.75" customHeight="1" s="1666">
      <c r="K836" s="1665" t="n"/>
      <c r="L836" s="1665" t="n"/>
      <c r="M836" s="1665" t="n"/>
      <c r="N836" s="1665" t="n"/>
      <c r="O836" s="1665" t="n"/>
      <c r="P836" s="1665" t="n"/>
      <c r="Q836" s="1665" t="n"/>
      <c r="R836" s="1665" t="n"/>
      <c r="S836" s="1665" t="n"/>
      <c r="T836" s="1665" t="n"/>
      <c r="U836" s="1665" t="n"/>
      <c r="V836" s="1665" t="n"/>
      <c r="W836" s="1665" t="n"/>
      <c r="X836" s="1665" t="n"/>
      <c r="Y836" s="1665" t="n"/>
      <c r="Z836" s="1665" t="n"/>
    </row>
    <row r="837" ht="15.75" customHeight="1" s="1666">
      <c r="K837" s="1665" t="n"/>
      <c r="L837" s="1665" t="n"/>
      <c r="M837" s="1665" t="n"/>
      <c r="N837" s="1665" t="n"/>
      <c r="O837" s="1665" t="n"/>
      <c r="P837" s="1665" t="n"/>
      <c r="Q837" s="1665" t="n"/>
      <c r="R837" s="1665" t="n"/>
      <c r="S837" s="1665" t="n"/>
      <c r="T837" s="1665" t="n"/>
      <c r="U837" s="1665" t="n"/>
      <c r="V837" s="1665" t="n"/>
      <c r="W837" s="1665" t="n"/>
      <c r="X837" s="1665" t="n"/>
      <c r="Y837" s="1665" t="n"/>
      <c r="Z837" s="1665" t="n"/>
    </row>
    <row r="838" ht="15.75" customHeight="1" s="1666">
      <c r="K838" s="1665" t="n"/>
      <c r="L838" s="1665" t="n"/>
      <c r="M838" s="1665" t="n"/>
      <c r="N838" s="1665" t="n"/>
      <c r="O838" s="1665" t="n"/>
      <c r="P838" s="1665" t="n"/>
      <c r="Q838" s="1665" t="n"/>
      <c r="R838" s="1665" t="n"/>
      <c r="S838" s="1665" t="n"/>
      <c r="T838" s="1665" t="n"/>
      <c r="U838" s="1665" t="n"/>
      <c r="V838" s="1665" t="n"/>
      <c r="W838" s="1665" t="n"/>
      <c r="X838" s="1665" t="n"/>
      <c r="Y838" s="1665" t="n"/>
      <c r="Z838" s="1665" t="n"/>
    </row>
    <row r="839" ht="15.75" customHeight="1" s="1666">
      <c r="K839" s="1665" t="n"/>
      <c r="L839" s="1665" t="n"/>
      <c r="M839" s="1665" t="n"/>
      <c r="N839" s="1665" t="n"/>
      <c r="O839" s="1665" t="n"/>
      <c r="P839" s="1665" t="n"/>
      <c r="Q839" s="1665" t="n"/>
      <c r="R839" s="1665" t="n"/>
      <c r="S839" s="1665" t="n"/>
      <c r="T839" s="1665" t="n"/>
      <c r="U839" s="1665" t="n"/>
      <c r="V839" s="1665" t="n"/>
      <c r="W839" s="1665" t="n"/>
      <c r="X839" s="1665" t="n"/>
      <c r="Y839" s="1665" t="n"/>
      <c r="Z839" s="1665" t="n"/>
    </row>
    <row r="840" ht="15.75" customHeight="1" s="1666">
      <c r="K840" s="1665" t="n"/>
      <c r="L840" s="1665" t="n"/>
      <c r="M840" s="1665" t="n"/>
      <c r="N840" s="1665" t="n"/>
      <c r="O840" s="1665" t="n"/>
      <c r="P840" s="1665" t="n"/>
      <c r="Q840" s="1665" t="n"/>
      <c r="R840" s="1665" t="n"/>
      <c r="S840" s="1665" t="n"/>
      <c r="T840" s="1665" t="n"/>
      <c r="U840" s="1665" t="n"/>
      <c r="V840" s="1665" t="n"/>
      <c r="W840" s="1665" t="n"/>
      <c r="X840" s="1665" t="n"/>
      <c r="Y840" s="1665" t="n"/>
      <c r="Z840" s="1665" t="n"/>
    </row>
    <row r="841" ht="15.75" customHeight="1" s="1666">
      <c r="K841" s="1665" t="n"/>
      <c r="L841" s="1665" t="n"/>
      <c r="M841" s="1665" t="n"/>
      <c r="N841" s="1665" t="n"/>
      <c r="O841" s="1665" t="n"/>
      <c r="P841" s="1665" t="n"/>
      <c r="Q841" s="1665" t="n"/>
      <c r="R841" s="1665" t="n"/>
      <c r="S841" s="1665" t="n"/>
      <c r="T841" s="1665" t="n"/>
      <c r="U841" s="1665" t="n"/>
      <c r="V841" s="1665" t="n"/>
      <c r="W841" s="1665" t="n"/>
      <c r="X841" s="1665" t="n"/>
      <c r="Y841" s="1665" t="n"/>
      <c r="Z841" s="1665" t="n"/>
    </row>
    <row r="842" ht="15.75" customHeight="1" s="1666">
      <c r="K842" s="1665" t="n"/>
      <c r="L842" s="1665" t="n"/>
      <c r="M842" s="1665" t="n"/>
      <c r="N842" s="1665" t="n"/>
      <c r="O842" s="1665" t="n"/>
      <c r="P842" s="1665" t="n"/>
      <c r="Q842" s="1665" t="n"/>
      <c r="R842" s="1665" t="n"/>
      <c r="S842" s="1665" t="n"/>
      <c r="T842" s="1665" t="n"/>
      <c r="U842" s="1665" t="n"/>
      <c r="V842" s="1665" t="n"/>
      <c r="W842" s="1665" t="n"/>
      <c r="X842" s="1665" t="n"/>
      <c r="Y842" s="1665" t="n"/>
      <c r="Z842" s="1665" t="n"/>
    </row>
    <row r="843" ht="15.75" customHeight="1" s="1666">
      <c r="K843" s="1665" t="n"/>
      <c r="L843" s="1665" t="n"/>
      <c r="M843" s="1665" t="n"/>
      <c r="N843" s="1665" t="n"/>
      <c r="O843" s="1665" t="n"/>
      <c r="P843" s="1665" t="n"/>
      <c r="Q843" s="1665" t="n"/>
      <c r="R843" s="1665" t="n"/>
      <c r="S843" s="1665" t="n"/>
      <c r="T843" s="1665" t="n"/>
      <c r="U843" s="1665" t="n"/>
      <c r="V843" s="1665" t="n"/>
      <c r="W843" s="1665" t="n"/>
      <c r="X843" s="1665" t="n"/>
      <c r="Y843" s="1665" t="n"/>
      <c r="Z843" s="1665" t="n"/>
    </row>
    <row r="844" ht="15.75" customHeight="1" s="1666">
      <c r="K844" s="1665" t="n"/>
      <c r="L844" s="1665" t="n"/>
      <c r="M844" s="1665" t="n"/>
      <c r="N844" s="1665" t="n"/>
      <c r="O844" s="1665" t="n"/>
      <c r="P844" s="1665" t="n"/>
      <c r="Q844" s="1665" t="n"/>
      <c r="R844" s="1665" t="n"/>
      <c r="S844" s="1665" t="n"/>
      <c r="T844" s="1665" t="n"/>
      <c r="U844" s="1665" t="n"/>
      <c r="V844" s="1665" t="n"/>
      <c r="W844" s="1665" t="n"/>
      <c r="X844" s="1665" t="n"/>
      <c r="Y844" s="1665" t="n"/>
      <c r="Z844" s="1665" t="n"/>
    </row>
    <row r="845" ht="15.75" customHeight="1" s="1666">
      <c r="K845" s="1665" t="n"/>
      <c r="L845" s="1665" t="n"/>
      <c r="M845" s="1665" t="n"/>
      <c r="N845" s="1665" t="n"/>
      <c r="O845" s="1665" t="n"/>
      <c r="P845" s="1665" t="n"/>
      <c r="Q845" s="1665" t="n"/>
      <c r="R845" s="1665" t="n"/>
      <c r="S845" s="1665" t="n"/>
      <c r="T845" s="1665" t="n"/>
      <c r="U845" s="1665" t="n"/>
      <c r="V845" s="1665" t="n"/>
      <c r="W845" s="1665" t="n"/>
      <c r="X845" s="1665" t="n"/>
      <c r="Y845" s="1665" t="n"/>
      <c r="Z845" s="1665" t="n"/>
    </row>
    <row r="846" ht="15.75" customHeight="1" s="1666">
      <c r="K846" s="1665" t="n"/>
      <c r="L846" s="1665" t="n"/>
      <c r="M846" s="1665" t="n"/>
      <c r="N846" s="1665" t="n"/>
      <c r="O846" s="1665" t="n"/>
      <c r="P846" s="1665" t="n"/>
      <c r="Q846" s="1665" t="n"/>
      <c r="R846" s="1665" t="n"/>
      <c r="S846" s="1665" t="n"/>
      <c r="T846" s="1665" t="n"/>
      <c r="U846" s="1665" t="n"/>
      <c r="V846" s="1665" t="n"/>
      <c r="W846" s="1665" t="n"/>
      <c r="X846" s="1665" t="n"/>
      <c r="Y846" s="1665" t="n"/>
      <c r="Z846" s="1665" t="n"/>
    </row>
    <row r="847" ht="15.75" customHeight="1" s="1666">
      <c r="K847" s="1665" t="n"/>
      <c r="L847" s="1665" t="n"/>
      <c r="M847" s="1665" t="n"/>
      <c r="N847" s="1665" t="n"/>
      <c r="O847" s="1665" t="n"/>
      <c r="P847" s="1665" t="n"/>
      <c r="Q847" s="1665" t="n"/>
      <c r="R847" s="1665" t="n"/>
      <c r="S847" s="1665" t="n"/>
      <c r="T847" s="1665" t="n"/>
      <c r="U847" s="1665" t="n"/>
      <c r="V847" s="1665" t="n"/>
      <c r="W847" s="1665" t="n"/>
      <c r="X847" s="1665" t="n"/>
      <c r="Y847" s="1665" t="n"/>
      <c r="Z847" s="1665" t="n"/>
    </row>
    <row r="848" ht="15.75" customHeight="1" s="1666">
      <c r="K848" s="1665" t="n"/>
      <c r="L848" s="1665" t="n"/>
      <c r="M848" s="1665" t="n"/>
      <c r="N848" s="1665" t="n"/>
      <c r="O848" s="1665" t="n"/>
      <c r="P848" s="1665" t="n"/>
      <c r="Q848" s="1665" t="n"/>
      <c r="R848" s="1665" t="n"/>
      <c r="S848" s="1665" t="n"/>
      <c r="T848" s="1665" t="n"/>
      <c r="U848" s="1665" t="n"/>
      <c r="V848" s="1665" t="n"/>
      <c r="W848" s="1665" t="n"/>
      <c r="X848" s="1665" t="n"/>
      <c r="Y848" s="1665" t="n"/>
      <c r="Z848" s="1665" t="n"/>
    </row>
    <row r="849" ht="15.75" customHeight="1" s="1666">
      <c r="K849" s="1665" t="n"/>
      <c r="L849" s="1665" t="n"/>
      <c r="M849" s="1665" t="n"/>
      <c r="N849" s="1665" t="n"/>
      <c r="O849" s="1665" t="n"/>
      <c r="P849" s="1665" t="n"/>
      <c r="Q849" s="1665" t="n"/>
      <c r="R849" s="1665" t="n"/>
      <c r="S849" s="1665" t="n"/>
      <c r="T849" s="1665" t="n"/>
      <c r="U849" s="1665" t="n"/>
      <c r="V849" s="1665" t="n"/>
      <c r="W849" s="1665" t="n"/>
      <c r="X849" s="1665" t="n"/>
      <c r="Y849" s="1665" t="n"/>
      <c r="Z849" s="1665" t="n"/>
    </row>
    <row r="850" ht="15.75" customHeight="1" s="1666">
      <c r="K850" s="1665" t="n"/>
      <c r="L850" s="1665" t="n"/>
      <c r="M850" s="1665" t="n"/>
      <c r="N850" s="1665" t="n"/>
      <c r="O850" s="1665" t="n"/>
      <c r="P850" s="1665" t="n"/>
      <c r="Q850" s="1665" t="n"/>
      <c r="R850" s="1665" t="n"/>
      <c r="S850" s="1665" t="n"/>
      <c r="T850" s="1665" t="n"/>
      <c r="U850" s="1665" t="n"/>
      <c r="V850" s="1665" t="n"/>
      <c r="W850" s="1665" t="n"/>
      <c r="X850" s="1665" t="n"/>
      <c r="Y850" s="1665" t="n"/>
      <c r="Z850" s="1665" t="n"/>
    </row>
    <row r="851" ht="15.75" customHeight="1" s="1666">
      <c r="K851" s="1665" t="n"/>
      <c r="L851" s="1665" t="n"/>
      <c r="M851" s="1665" t="n"/>
      <c r="N851" s="1665" t="n"/>
      <c r="O851" s="1665" t="n"/>
      <c r="P851" s="1665" t="n"/>
      <c r="Q851" s="1665" t="n"/>
      <c r="R851" s="1665" t="n"/>
      <c r="S851" s="1665" t="n"/>
      <c r="T851" s="1665" t="n"/>
      <c r="U851" s="1665" t="n"/>
      <c r="V851" s="1665" t="n"/>
      <c r="W851" s="1665" t="n"/>
      <c r="X851" s="1665" t="n"/>
      <c r="Y851" s="1665" t="n"/>
      <c r="Z851" s="1665" t="n"/>
    </row>
    <row r="852" ht="15.75" customHeight="1" s="1666">
      <c r="K852" s="1665" t="n"/>
      <c r="L852" s="1665" t="n"/>
      <c r="M852" s="1665" t="n"/>
      <c r="N852" s="1665" t="n"/>
      <c r="O852" s="1665" t="n"/>
      <c r="P852" s="1665" t="n"/>
      <c r="Q852" s="1665" t="n"/>
      <c r="R852" s="1665" t="n"/>
      <c r="S852" s="1665" t="n"/>
      <c r="T852" s="1665" t="n"/>
      <c r="U852" s="1665" t="n"/>
      <c r="V852" s="1665" t="n"/>
      <c r="W852" s="1665" t="n"/>
      <c r="X852" s="1665" t="n"/>
      <c r="Y852" s="1665" t="n"/>
      <c r="Z852" s="1665" t="n"/>
    </row>
    <row r="853" ht="15.75" customHeight="1" s="1666">
      <c r="K853" s="1665" t="n"/>
      <c r="L853" s="1665" t="n"/>
      <c r="M853" s="1665" t="n"/>
      <c r="N853" s="1665" t="n"/>
      <c r="O853" s="1665" t="n"/>
      <c r="P853" s="1665" t="n"/>
      <c r="Q853" s="1665" t="n"/>
      <c r="R853" s="1665" t="n"/>
      <c r="S853" s="1665" t="n"/>
      <c r="T853" s="1665" t="n"/>
      <c r="U853" s="1665" t="n"/>
      <c r="V853" s="1665" t="n"/>
      <c r="W853" s="1665" t="n"/>
      <c r="X853" s="1665" t="n"/>
      <c r="Y853" s="1665" t="n"/>
      <c r="Z853" s="1665" t="n"/>
    </row>
    <row r="854" ht="15.75" customHeight="1" s="1666">
      <c r="K854" s="1665" t="n"/>
      <c r="L854" s="1665" t="n"/>
      <c r="M854" s="1665" t="n"/>
      <c r="N854" s="1665" t="n"/>
      <c r="O854" s="1665" t="n"/>
      <c r="P854" s="1665" t="n"/>
      <c r="Q854" s="1665" t="n"/>
      <c r="R854" s="1665" t="n"/>
      <c r="S854" s="1665" t="n"/>
      <c r="T854" s="1665" t="n"/>
      <c r="U854" s="1665" t="n"/>
      <c r="V854" s="1665" t="n"/>
      <c r="W854" s="1665" t="n"/>
      <c r="X854" s="1665" t="n"/>
      <c r="Y854" s="1665" t="n"/>
      <c r="Z854" s="1665" t="n"/>
    </row>
    <row r="855" ht="15.75" customHeight="1" s="1666">
      <c r="K855" s="1665" t="n"/>
      <c r="L855" s="1665" t="n"/>
      <c r="M855" s="1665" t="n"/>
      <c r="N855" s="1665" t="n"/>
      <c r="O855" s="1665" t="n"/>
      <c r="P855" s="1665" t="n"/>
      <c r="Q855" s="1665" t="n"/>
      <c r="R855" s="1665" t="n"/>
      <c r="S855" s="1665" t="n"/>
      <c r="T855" s="1665" t="n"/>
      <c r="U855" s="1665" t="n"/>
      <c r="V855" s="1665" t="n"/>
      <c r="W855" s="1665" t="n"/>
      <c r="X855" s="1665" t="n"/>
      <c r="Y855" s="1665" t="n"/>
      <c r="Z855" s="1665" t="n"/>
    </row>
    <row r="856" ht="15.75" customHeight="1" s="1666">
      <c r="K856" s="1665" t="n"/>
      <c r="L856" s="1665" t="n"/>
      <c r="M856" s="1665" t="n"/>
      <c r="N856" s="1665" t="n"/>
      <c r="O856" s="1665" t="n"/>
      <c r="P856" s="1665" t="n"/>
      <c r="Q856" s="1665" t="n"/>
      <c r="R856" s="1665" t="n"/>
      <c r="S856" s="1665" t="n"/>
      <c r="T856" s="1665" t="n"/>
      <c r="U856" s="1665" t="n"/>
      <c r="V856" s="1665" t="n"/>
      <c r="W856" s="1665" t="n"/>
      <c r="X856" s="1665" t="n"/>
      <c r="Y856" s="1665" t="n"/>
      <c r="Z856" s="1665" t="n"/>
    </row>
    <row r="857" ht="15.75" customHeight="1" s="1666">
      <c r="K857" s="1665" t="n"/>
      <c r="L857" s="1665" t="n"/>
      <c r="M857" s="1665" t="n"/>
      <c r="N857" s="1665" t="n"/>
      <c r="O857" s="1665" t="n"/>
      <c r="P857" s="1665" t="n"/>
      <c r="Q857" s="1665" t="n"/>
      <c r="R857" s="1665" t="n"/>
      <c r="S857" s="1665" t="n"/>
      <c r="T857" s="1665" t="n"/>
      <c r="U857" s="1665" t="n"/>
      <c r="V857" s="1665" t="n"/>
      <c r="W857" s="1665" t="n"/>
      <c r="X857" s="1665" t="n"/>
      <c r="Y857" s="1665" t="n"/>
      <c r="Z857" s="1665" t="n"/>
    </row>
    <row r="858" ht="15.75" customHeight="1" s="1666">
      <c r="K858" s="1665" t="n"/>
      <c r="L858" s="1665" t="n"/>
      <c r="M858" s="1665" t="n"/>
      <c r="N858" s="1665" t="n"/>
      <c r="O858" s="1665" t="n"/>
      <c r="P858" s="1665" t="n"/>
      <c r="Q858" s="1665" t="n"/>
      <c r="R858" s="1665" t="n"/>
      <c r="S858" s="1665" t="n"/>
      <c r="T858" s="1665" t="n"/>
      <c r="U858" s="1665" t="n"/>
      <c r="V858" s="1665" t="n"/>
      <c r="W858" s="1665" t="n"/>
      <c r="X858" s="1665" t="n"/>
      <c r="Y858" s="1665" t="n"/>
      <c r="Z858" s="1665" t="n"/>
    </row>
    <row r="859" ht="15.75" customHeight="1" s="1666">
      <c r="K859" s="1665" t="n"/>
      <c r="L859" s="1665" t="n"/>
      <c r="M859" s="1665" t="n"/>
      <c r="N859" s="1665" t="n"/>
      <c r="O859" s="1665" t="n"/>
      <c r="P859" s="1665" t="n"/>
      <c r="Q859" s="1665" t="n"/>
      <c r="R859" s="1665" t="n"/>
      <c r="S859" s="1665" t="n"/>
      <c r="T859" s="1665" t="n"/>
      <c r="U859" s="1665" t="n"/>
      <c r="V859" s="1665" t="n"/>
      <c r="W859" s="1665" t="n"/>
      <c r="X859" s="1665" t="n"/>
      <c r="Y859" s="1665" t="n"/>
      <c r="Z859" s="1665" t="n"/>
    </row>
    <row r="860" ht="15.75" customHeight="1" s="1666">
      <c r="K860" s="1665" t="n"/>
      <c r="L860" s="1665" t="n"/>
      <c r="M860" s="1665" t="n"/>
      <c r="N860" s="1665" t="n"/>
      <c r="O860" s="1665" t="n"/>
      <c r="P860" s="1665" t="n"/>
      <c r="Q860" s="1665" t="n"/>
      <c r="R860" s="1665" t="n"/>
      <c r="S860" s="1665" t="n"/>
      <c r="T860" s="1665" t="n"/>
      <c r="U860" s="1665" t="n"/>
      <c r="V860" s="1665" t="n"/>
      <c r="W860" s="1665" t="n"/>
      <c r="X860" s="1665" t="n"/>
      <c r="Y860" s="1665" t="n"/>
      <c r="Z860" s="1665" t="n"/>
    </row>
    <row r="861" ht="15.75" customHeight="1" s="1666">
      <c r="K861" s="1665" t="n"/>
      <c r="L861" s="1665" t="n"/>
      <c r="M861" s="1665" t="n"/>
      <c r="N861" s="1665" t="n"/>
      <c r="O861" s="1665" t="n"/>
      <c r="P861" s="1665" t="n"/>
      <c r="Q861" s="1665" t="n"/>
      <c r="R861" s="1665" t="n"/>
      <c r="S861" s="1665" t="n"/>
      <c r="T861" s="1665" t="n"/>
      <c r="U861" s="1665" t="n"/>
      <c r="V861" s="1665" t="n"/>
      <c r="W861" s="1665" t="n"/>
      <c r="X861" s="1665" t="n"/>
      <c r="Y861" s="1665" t="n"/>
      <c r="Z861" s="1665" t="n"/>
    </row>
    <row r="862" ht="15.75" customHeight="1" s="1666">
      <c r="K862" s="1665" t="n"/>
      <c r="L862" s="1665" t="n"/>
      <c r="M862" s="1665" t="n"/>
      <c r="N862" s="1665" t="n"/>
      <c r="O862" s="1665" t="n"/>
      <c r="P862" s="1665" t="n"/>
      <c r="Q862" s="1665" t="n"/>
      <c r="R862" s="1665" t="n"/>
      <c r="S862" s="1665" t="n"/>
      <c r="T862" s="1665" t="n"/>
      <c r="U862" s="1665" t="n"/>
      <c r="V862" s="1665" t="n"/>
      <c r="W862" s="1665" t="n"/>
      <c r="X862" s="1665" t="n"/>
      <c r="Y862" s="1665" t="n"/>
      <c r="Z862" s="1665" t="n"/>
    </row>
    <row r="863" ht="15.75" customHeight="1" s="1666">
      <c r="K863" s="1665" t="n"/>
      <c r="L863" s="1665" t="n"/>
      <c r="M863" s="1665" t="n"/>
      <c r="N863" s="1665" t="n"/>
      <c r="O863" s="1665" t="n"/>
      <c r="P863" s="1665" t="n"/>
      <c r="Q863" s="1665" t="n"/>
      <c r="R863" s="1665" t="n"/>
      <c r="S863" s="1665" t="n"/>
      <c r="T863" s="1665" t="n"/>
      <c r="U863" s="1665" t="n"/>
      <c r="V863" s="1665" t="n"/>
      <c r="W863" s="1665" t="n"/>
      <c r="X863" s="1665" t="n"/>
      <c r="Y863" s="1665" t="n"/>
      <c r="Z863" s="1665" t="n"/>
    </row>
    <row r="864" ht="15.75" customHeight="1" s="1666">
      <c r="K864" s="1665" t="n"/>
      <c r="L864" s="1665" t="n"/>
      <c r="M864" s="1665" t="n"/>
      <c r="N864" s="1665" t="n"/>
      <c r="O864" s="1665" t="n"/>
      <c r="P864" s="1665" t="n"/>
      <c r="Q864" s="1665" t="n"/>
      <c r="R864" s="1665" t="n"/>
      <c r="S864" s="1665" t="n"/>
      <c r="T864" s="1665" t="n"/>
      <c r="U864" s="1665" t="n"/>
      <c r="V864" s="1665" t="n"/>
      <c r="W864" s="1665" t="n"/>
      <c r="X864" s="1665" t="n"/>
      <c r="Y864" s="1665" t="n"/>
      <c r="Z864" s="1665" t="n"/>
    </row>
    <row r="865" ht="15.75" customHeight="1" s="1666">
      <c r="K865" s="1665" t="n"/>
      <c r="L865" s="1665" t="n"/>
      <c r="M865" s="1665" t="n"/>
      <c r="N865" s="1665" t="n"/>
      <c r="O865" s="1665" t="n"/>
      <c r="P865" s="1665" t="n"/>
      <c r="Q865" s="1665" t="n"/>
      <c r="R865" s="1665" t="n"/>
      <c r="S865" s="1665" t="n"/>
      <c r="T865" s="1665" t="n"/>
      <c r="U865" s="1665" t="n"/>
      <c r="V865" s="1665" t="n"/>
      <c r="W865" s="1665" t="n"/>
      <c r="X865" s="1665" t="n"/>
      <c r="Y865" s="1665" t="n"/>
      <c r="Z865" s="1665" t="n"/>
    </row>
    <row r="866" ht="15.75" customHeight="1" s="1666">
      <c r="K866" s="1665" t="n"/>
      <c r="L866" s="1665" t="n"/>
      <c r="M866" s="1665" t="n"/>
      <c r="N866" s="1665" t="n"/>
      <c r="O866" s="1665" t="n"/>
      <c r="P866" s="1665" t="n"/>
      <c r="Q866" s="1665" t="n"/>
      <c r="R866" s="1665" t="n"/>
      <c r="S866" s="1665" t="n"/>
      <c r="T866" s="1665" t="n"/>
      <c r="U866" s="1665" t="n"/>
      <c r="V866" s="1665" t="n"/>
      <c r="W866" s="1665" t="n"/>
      <c r="X866" s="1665" t="n"/>
      <c r="Y866" s="1665" t="n"/>
      <c r="Z866" s="1665" t="n"/>
    </row>
    <row r="867" ht="15.75" customHeight="1" s="1666">
      <c r="K867" s="1665" t="n"/>
      <c r="L867" s="1665" t="n"/>
      <c r="M867" s="1665" t="n"/>
      <c r="N867" s="1665" t="n"/>
      <c r="O867" s="1665" t="n"/>
      <c r="P867" s="1665" t="n"/>
      <c r="Q867" s="1665" t="n"/>
      <c r="R867" s="1665" t="n"/>
      <c r="S867" s="1665" t="n"/>
      <c r="T867" s="1665" t="n"/>
      <c r="U867" s="1665" t="n"/>
      <c r="V867" s="1665" t="n"/>
      <c r="W867" s="1665" t="n"/>
      <c r="X867" s="1665" t="n"/>
      <c r="Y867" s="1665" t="n"/>
      <c r="Z867" s="1665" t="n"/>
    </row>
    <row r="868" ht="15.75" customHeight="1" s="1666">
      <c r="K868" s="1665" t="n"/>
      <c r="L868" s="1665" t="n"/>
      <c r="M868" s="1665" t="n"/>
      <c r="N868" s="1665" t="n"/>
      <c r="O868" s="1665" t="n"/>
      <c r="P868" s="1665" t="n"/>
      <c r="Q868" s="1665" t="n"/>
      <c r="R868" s="1665" t="n"/>
      <c r="S868" s="1665" t="n"/>
      <c r="T868" s="1665" t="n"/>
      <c r="U868" s="1665" t="n"/>
      <c r="V868" s="1665" t="n"/>
      <c r="W868" s="1665" t="n"/>
      <c r="X868" s="1665" t="n"/>
      <c r="Y868" s="1665" t="n"/>
      <c r="Z868" s="1665" t="n"/>
    </row>
    <row r="869" ht="15.75" customHeight="1" s="1666">
      <c r="K869" s="1665" t="n"/>
      <c r="L869" s="1665" t="n"/>
      <c r="M869" s="1665" t="n"/>
      <c r="N869" s="1665" t="n"/>
      <c r="O869" s="1665" t="n"/>
      <c r="P869" s="1665" t="n"/>
      <c r="Q869" s="1665" t="n"/>
      <c r="R869" s="1665" t="n"/>
      <c r="S869" s="1665" t="n"/>
      <c r="T869" s="1665" t="n"/>
      <c r="U869" s="1665" t="n"/>
      <c r="V869" s="1665" t="n"/>
      <c r="W869" s="1665" t="n"/>
      <c r="X869" s="1665" t="n"/>
      <c r="Y869" s="1665" t="n"/>
      <c r="Z869" s="1665" t="n"/>
    </row>
    <row r="870" ht="15.75" customHeight="1" s="1666">
      <c r="K870" s="1665" t="n"/>
      <c r="L870" s="1665" t="n"/>
      <c r="M870" s="1665" t="n"/>
      <c r="N870" s="1665" t="n"/>
      <c r="O870" s="1665" t="n"/>
      <c r="P870" s="1665" t="n"/>
      <c r="Q870" s="1665" t="n"/>
      <c r="R870" s="1665" t="n"/>
      <c r="S870" s="1665" t="n"/>
      <c r="T870" s="1665" t="n"/>
      <c r="U870" s="1665" t="n"/>
      <c r="V870" s="1665" t="n"/>
      <c r="W870" s="1665" t="n"/>
      <c r="X870" s="1665" t="n"/>
      <c r="Y870" s="1665" t="n"/>
      <c r="Z870" s="1665" t="n"/>
    </row>
    <row r="871" ht="15.75" customHeight="1" s="1666">
      <c r="K871" s="1665" t="n"/>
      <c r="L871" s="1665" t="n"/>
      <c r="M871" s="1665" t="n"/>
      <c r="N871" s="1665" t="n"/>
      <c r="O871" s="1665" t="n"/>
      <c r="P871" s="1665" t="n"/>
      <c r="Q871" s="1665" t="n"/>
      <c r="R871" s="1665" t="n"/>
      <c r="S871" s="1665" t="n"/>
      <c r="T871" s="1665" t="n"/>
      <c r="U871" s="1665" t="n"/>
      <c r="V871" s="1665" t="n"/>
      <c r="W871" s="1665" t="n"/>
      <c r="X871" s="1665" t="n"/>
      <c r="Y871" s="1665" t="n"/>
      <c r="Z871" s="1665" t="n"/>
    </row>
    <row r="872" ht="15.75" customHeight="1" s="1666">
      <c r="K872" s="1665" t="n"/>
      <c r="L872" s="1665" t="n"/>
      <c r="M872" s="1665" t="n"/>
      <c r="N872" s="1665" t="n"/>
      <c r="O872" s="1665" t="n"/>
      <c r="P872" s="1665" t="n"/>
      <c r="Q872" s="1665" t="n"/>
      <c r="R872" s="1665" t="n"/>
      <c r="S872" s="1665" t="n"/>
      <c r="T872" s="1665" t="n"/>
      <c r="U872" s="1665" t="n"/>
      <c r="V872" s="1665" t="n"/>
      <c r="W872" s="1665" t="n"/>
      <c r="X872" s="1665" t="n"/>
      <c r="Y872" s="1665" t="n"/>
      <c r="Z872" s="1665" t="n"/>
    </row>
    <row r="873" ht="15.75" customHeight="1" s="1666">
      <c r="K873" s="1665" t="n"/>
      <c r="L873" s="1665" t="n"/>
      <c r="M873" s="1665" t="n"/>
      <c r="N873" s="1665" t="n"/>
      <c r="O873" s="1665" t="n"/>
      <c r="P873" s="1665" t="n"/>
      <c r="Q873" s="1665" t="n"/>
      <c r="R873" s="1665" t="n"/>
      <c r="S873" s="1665" t="n"/>
      <c r="T873" s="1665" t="n"/>
      <c r="U873" s="1665" t="n"/>
      <c r="V873" s="1665" t="n"/>
      <c r="W873" s="1665" t="n"/>
      <c r="X873" s="1665" t="n"/>
      <c r="Y873" s="1665" t="n"/>
      <c r="Z873" s="1665" t="n"/>
    </row>
    <row r="874" ht="15.75" customHeight="1" s="1666">
      <c r="K874" s="1665" t="n"/>
      <c r="L874" s="1665" t="n"/>
      <c r="M874" s="1665" t="n"/>
      <c r="N874" s="1665" t="n"/>
      <c r="O874" s="1665" t="n"/>
      <c r="P874" s="1665" t="n"/>
      <c r="Q874" s="1665" t="n"/>
      <c r="R874" s="1665" t="n"/>
      <c r="S874" s="1665" t="n"/>
      <c r="T874" s="1665" t="n"/>
      <c r="U874" s="1665" t="n"/>
      <c r="V874" s="1665" t="n"/>
      <c r="W874" s="1665" t="n"/>
      <c r="X874" s="1665" t="n"/>
      <c r="Y874" s="1665" t="n"/>
      <c r="Z874" s="1665" t="n"/>
    </row>
    <row r="875" ht="15.75" customHeight="1" s="1666">
      <c r="K875" s="1665" t="n"/>
      <c r="L875" s="1665" t="n"/>
      <c r="M875" s="1665" t="n"/>
      <c r="N875" s="1665" t="n"/>
      <c r="O875" s="1665" t="n"/>
      <c r="P875" s="1665" t="n"/>
      <c r="Q875" s="1665" t="n"/>
      <c r="R875" s="1665" t="n"/>
      <c r="S875" s="1665" t="n"/>
      <c r="T875" s="1665" t="n"/>
      <c r="U875" s="1665" t="n"/>
      <c r="V875" s="1665" t="n"/>
      <c r="W875" s="1665" t="n"/>
      <c r="X875" s="1665" t="n"/>
      <c r="Y875" s="1665" t="n"/>
      <c r="Z875" s="1665" t="n"/>
    </row>
    <row r="876" ht="15.75" customHeight="1" s="1666">
      <c r="K876" s="1665" t="n"/>
      <c r="L876" s="1665" t="n"/>
      <c r="M876" s="1665" t="n"/>
      <c r="N876" s="1665" t="n"/>
      <c r="O876" s="1665" t="n"/>
      <c r="P876" s="1665" t="n"/>
      <c r="Q876" s="1665" t="n"/>
      <c r="R876" s="1665" t="n"/>
      <c r="S876" s="1665" t="n"/>
      <c r="T876" s="1665" t="n"/>
      <c r="U876" s="1665" t="n"/>
      <c r="V876" s="1665" t="n"/>
      <c r="W876" s="1665" t="n"/>
      <c r="X876" s="1665" t="n"/>
      <c r="Y876" s="1665" t="n"/>
      <c r="Z876" s="1665" t="n"/>
    </row>
    <row r="877" ht="15.75" customHeight="1" s="1666">
      <c r="K877" s="1665" t="n"/>
      <c r="L877" s="1665" t="n"/>
      <c r="M877" s="1665" t="n"/>
      <c r="N877" s="1665" t="n"/>
      <c r="O877" s="1665" t="n"/>
      <c r="P877" s="1665" t="n"/>
      <c r="Q877" s="1665" t="n"/>
      <c r="R877" s="1665" t="n"/>
      <c r="S877" s="1665" t="n"/>
      <c r="T877" s="1665" t="n"/>
      <c r="U877" s="1665" t="n"/>
      <c r="V877" s="1665" t="n"/>
      <c r="W877" s="1665" t="n"/>
      <c r="X877" s="1665" t="n"/>
      <c r="Y877" s="1665" t="n"/>
      <c r="Z877" s="1665" t="n"/>
    </row>
    <row r="878" ht="15.75" customHeight="1" s="1666">
      <c r="K878" s="1665" t="n"/>
      <c r="L878" s="1665" t="n"/>
      <c r="M878" s="1665" t="n"/>
      <c r="N878" s="1665" t="n"/>
      <c r="O878" s="1665" t="n"/>
      <c r="P878" s="1665" t="n"/>
      <c r="Q878" s="1665" t="n"/>
      <c r="R878" s="1665" t="n"/>
      <c r="S878" s="1665" t="n"/>
      <c r="T878" s="1665" t="n"/>
      <c r="U878" s="1665" t="n"/>
      <c r="V878" s="1665" t="n"/>
      <c r="W878" s="1665" t="n"/>
      <c r="X878" s="1665" t="n"/>
      <c r="Y878" s="1665" t="n"/>
      <c r="Z878" s="1665" t="n"/>
    </row>
    <row r="879" ht="15.75" customHeight="1" s="1666">
      <c r="K879" s="1665" t="n"/>
      <c r="L879" s="1665" t="n"/>
      <c r="M879" s="1665" t="n"/>
      <c r="N879" s="1665" t="n"/>
      <c r="O879" s="1665" t="n"/>
      <c r="P879" s="1665" t="n"/>
      <c r="Q879" s="1665" t="n"/>
      <c r="R879" s="1665" t="n"/>
      <c r="S879" s="1665" t="n"/>
      <c r="T879" s="1665" t="n"/>
      <c r="U879" s="1665" t="n"/>
      <c r="V879" s="1665" t="n"/>
      <c r="W879" s="1665" t="n"/>
      <c r="X879" s="1665" t="n"/>
      <c r="Y879" s="1665" t="n"/>
      <c r="Z879" s="1665" t="n"/>
    </row>
    <row r="880" ht="15.75" customHeight="1" s="1666">
      <c r="K880" s="1665" t="n"/>
      <c r="L880" s="1665" t="n"/>
      <c r="M880" s="1665" t="n"/>
      <c r="N880" s="1665" t="n"/>
      <c r="O880" s="1665" t="n"/>
      <c r="P880" s="1665" t="n"/>
      <c r="Q880" s="1665" t="n"/>
      <c r="R880" s="1665" t="n"/>
      <c r="S880" s="1665" t="n"/>
      <c r="T880" s="1665" t="n"/>
      <c r="U880" s="1665" t="n"/>
      <c r="V880" s="1665" t="n"/>
      <c r="W880" s="1665" t="n"/>
      <c r="X880" s="1665" t="n"/>
      <c r="Y880" s="1665" t="n"/>
      <c r="Z880" s="1665" t="n"/>
    </row>
    <row r="881" ht="15.75" customHeight="1" s="1666">
      <c r="K881" s="1665" t="n"/>
      <c r="L881" s="1665" t="n"/>
      <c r="M881" s="1665" t="n"/>
      <c r="N881" s="1665" t="n"/>
      <c r="O881" s="1665" t="n"/>
      <c r="P881" s="1665" t="n"/>
      <c r="Q881" s="1665" t="n"/>
      <c r="R881" s="1665" t="n"/>
      <c r="S881" s="1665" t="n"/>
      <c r="T881" s="1665" t="n"/>
      <c r="U881" s="1665" t="n"/>
      <c r="V881" s="1665" t="n"/>
      <c r="W881" s="1665" t="n"/>
      <c r="X881" s="1665" t="n"/>
      <c r="Y881" s="1665" t="n"/>
      <c r="Z881" s="1665" t="n"/>
    </row>
    <row r="882" ht="15.75" customHeight="1" s="1666">
      <c r="K882" s="1665" t="n"/>
      <c r="L882" s="1665" t="n"/>
      <c r="M882" s="1665" t="n"/>
      <c r="N882" s="1665" t="n"/>
      <c r="O882" s="1665" t="n"/>
      <c r="P882" s="1665" t="n"/>
      <c r="Q882" s="1665" t="n"/>
      <c r="R882" s="1665" t="n"/>
      <c r="S882" s="1665" t="n"/>
      <c r="T882" s="1665" t="n"/>
      <c r="U882" s="1665" t="n"/>
      <c r="V882" s="1665" t="n"/>
      <c r="W882" s="1665" t="n"/>
      <c r="X882" s="1665" t="n"/>
      <c r="Y882" s="1665" t="n"/>
      <c r="Z882" s="1665" t="n"/>
    </row>
    <row r="883" ht="15.75" customHeight="1" s="1666">
      <c r="K883" s="1665" t="n"/>
      <c r="L883" s="1665" t="n"/>
      <c r="M883" s="1665" t="n"/>
      <c r="N883" s="1665" t="n"/>
      <c r="O883" s="1665" t="n"/>
      <c r="P883" s="1665" t="n"/>
      <c r="Q883" s="1665" t="n"/>
      <c r="R883" s="1665" t="n"/>
      <c r="S883" s="1665" t="n"/>
      <c r="T883" s="1665" t="n"/>
      <c r="U883" s="1665" t="n"/>
      <c r="V883" s="1665" t="n"/>
      <c r="W883" s="1665" t="n"/>
      <c r="X883" s="1665" t="n"/>
      <c r="Y883" s="1665" t="n"/>
      <c r="Z883" s="1665" t="n"/>
    </row>
    <row r="884" ht="15.75" customHeight="1" s="1666">
      <c r="K884" s="1665" t="n"/>
      <c r="L884" s="1665" t="n"/>
      <c r="M884" s="1665" t="n"/>
      <c r="N884" s="1665" t="n"/>
      <c r="O884" s="1665" t="n"/>
      <c r="P884" s="1665" t="n"/>
      <c r="Q884" s="1665" t="n"/>
      <c r="R884" s="1665" t="n"/>
      <c r="S884" s="1665" t="n"/>
      <c r="T884" s="1665" t="n"/>
      <c r="U884" s="1665" t="n"/>
      <c r="V884" s="1665" t="n"/>
      <c r="W884" s="1665" t="n"/>
      <c r="X884" s="1665" t="n"/>
      <c r="Y884" s="1665" t="n"/>
      <c r="Z884" s="1665" t="n"/>
    </row>
    <row r="885" ht="15.75" customHeight="1" s="1666">
      <c r="K885" s="1665" t="n"/>
      <c r="L885" s="1665" t="n"/>
      <c r="M885" s="1665" t="n"/>
      <c r="N885" s="1665" t="n"/>
      <c r="O885" s="1665" t="n"/>
      <c r="P885" s="1665" t="n"/>
      <c r="Q885" s="1665" t="n"/>
      <c r="R885" s="1665" t="n"/>
      <c r="S885" s="1665" t="n"/>
      <c r="T885" s="1665" t="n"/>
      <c r="U885" s="1665" t="n"/>
      <c r="V885" s="1665" t="n"/>
      <c r="W885" s="1665" t="n"/>
      <c r="X885" s="1665" t="n"/>
      <c r="Y885" s="1665" t="n"/>
      <c r="Z885" s="1665" t="n"/>
    </row>
    <row r="886" ht="15.75" customHeight="1" s="1666">
      <c r="K886" s="1665" t="n"/>
      <c r="L886" s="1665" t="n"/>
      <c r="M886" s="1665" t="n"/>
      <c r="N886" s="1665" t="n"/>
      <c r="O886" s="1665" t="n"/>
      <c r="P886" s="1665" t="n"/>
      <c r="Q886" s="1665" t="n"/>
      <c r="R886" s="1665" t="n"/>
      <c r="S886" s="1665" t="n"/>
      <c r="T886" s="1665" t="n"/>
      <c r="U886" s="1665" t="n"/>
      <c r="V886" s="1665" t="n"/>
      <c r="W886" s="1665" t="n"/>
      <c r="X886" s="1665" t="n"/>
      <c r="Y886" s="1665" t="n"/>
      <c r="Z886" s="1665" t="n"/>
    </row>
    <row r="887" ht="15.75" customHeight="1" s="1666">
      <c r="K887" s="1665" t="n"/>
      <c r="L887" s="1665" t="n"/>
      <c r="M887" s="1665" t="n"/>
      <c r="N887" s="1665" t="n"/>
      <c r="O887" s="1665" t="n"/>
      <c r="P887" s="1665" t="n"/>
      <c r="Q887" s="1665" t="n"/>
      <c r="R887" s="1665" t="n"/>
      <c r="S887" s="1665" t="n"/>
      <c r="T887" s="1665" t="n"/>
      <c r="U887" s="1665" t="n"/>
      <c r="V887" s="1665" t="n"/>
      <c r="W887" s="1665" t="n"/>
      <c r="X887" s="1665" t="n"/>
      <c r="Y887" s="1665" t="n"/>
      <c r="Z887" s="1665" t="n"/>
    </row>
    <row r="888" ht="15.75" customHeight="1" s="1666">
      <c r="K888" s="1665" t="n"/>
      <c r="L888" s="1665" t="n"/>
      <c r="M888" s="1665" t="n"/>
      <c r="N888" s="1665" t="n"/>
      <c r="O888" s="1665" t="n"/>
      <c r="P888" s="1665" t="n"/>
      <c r="Q888" s="1665" t="n"/>
      <c r="R888" s="1665" t="n"/>
      <c r="S888" s="1665" t="n"/>
      <c r="T888" s="1665" t="n"/>
      <c r="U888" s="1665" t="n"/>
      <c r="V888" s="1665" t="n"/>
      <c r="W888" s="1665" t="n"/>
      <c r="X888" s="1665" t="n"/>
      <c r="Y888" s="1665" t="n"/>
      <c r="Z888" s="1665" t="n"/>
    </row>
    <row r="889" ht="15.75" customHeight="1" s="1666">
      <c r="K889" s="1665" t="n"/>
      <c r="L889" s="1665" t="n"/>
      <c r="M889" s="1665" t="n"/>
      <c r="N889" s="1665" t="n"/>
      <c r="O889" s="1665" t="n"/>
      <c r="P889" s="1665" t="n"/>
      <c r="Q889" s="1665" t="n"/>
      <c r="R889" s="1665" t="n"/>
      <c r="S889" s="1665" t="n"/>
      <c r="T889" s="1665" t="n"/>
      <c r="U889" s="1665" t="n"/>
      <c r="V889" s="1665" t="n"/>
      <c r="W889" s="1665" t="n"/>
      <c r="X889" s="1665" t="n"/>
      <c r="Y889" s="1665" t="n"/>
      <c r="Z889" s="1665" t="n"/>
    </row>
    <row r="890" ht="15.75" customHeight="1" s="1666">
      <c r="K890" s="1665" t="n"/>
      <c r="L890" s="1665" t="n"/>
      <c r="M890" s="1665" t="n"/>
      <c r="N890" s="1665" t="n"/>
      <c r="O890" s="1665" t="n"/>
      <c r="P890" s="1665" t="n"/>
      <c r="Q890" s="1665" t="n"/>
      <c r="R890" s="1665" t="n"/>
      <c r="S890" s="1665" t="n"/>
      <c r="T890" s="1665" t="n"/>
      <c r="U890" s="1665" t="n"/>
      <c r="V890" s="1665" t="n"/>
      <c r="W890" s="1665" t="n"/>
      <c r="X890" s="1665" t="n"/>
      <c r="Y890" s="1665" t="n"/>
      <c r="Z890" s="1665" t="n"/>
    </row>
    <row r="891" ht="15.75" customHeight="1" s="1666">
      <c r="K891" s="1665" t="n"/>
      <c r="L891" s="1665" t="n"/>
      <c r="M891" s="1665" t="n"/>
      <c r="N891" s="1665" t="n"/>
      <c r="O891" s="1665" t="n"/>
      <c r="P891" s="1665" t="n"/>
      <c r="Q891" s="1665" t="n"/>
      <c r="R891" s="1665" t="n"/>
      <c r="S891" s="1665" t="n"/>
      <c r="T891" s="1665" t="n"/>
      <c r="U891" s="1665" t="n"/>
      <c r="V891" s="1665" t="n"/>
      <c r="W891" s="1665" t="n"/>
      <c r="X891" s="1665" t="n"/>
      <c r="Y891" s="1665" t="n"/>
      <c r="Z891" s="1665" t="n"/>
    </row>
    <row r="892" ht="15.75" customHeight="1" s="1666">
      <c r="K892" s="1665" t="n"/>
      <c r="L892" s="1665" t="n"/>
      <c r="M892" s="1665" t="n"/>
      <c r="N892" s="1665" t="n"/>
      <c r="O892" s="1665" t="n"/>
      <c r="P892" s="1665" t="n"/>
      <c r="Q892" s="1665" t="n"/>
      <c r="R892" s="1665" t="n"/>
      <c r="S892" s="1665" t="n"/>
      <c r="T892" s="1665" t="n"/>
      <c r="U892" s="1665" t="n"/>
      <c r="V892" s="1665" t="n"/>
      <c r="W892" s="1665" t="n"/>
      <c r="X892" s="1665" t="n"/>
      <c r="Y892" s="1665" t="n"/>
      <c r="Z892" s="1665" t="n"/>
    </row>
    <row r="893" ht="15.75" customHeight="1" s="1666">
      <c r="K893" s="1665" t="n"/>
      <c r="L893" s="1665" t="n"/>
      <c r="M893" s="1665" t="n"/>
      <c r="N893" s="1665" t="n"/>
      <c r="O893" s="1665" t="n"/>
      <c r="P893" s="1665" t="n"/>
      <c r="Q893" s="1665" t="n"/>
      <c r="R893" s="1665" t="n"/>
      <c r="S893" s="1665" t="n"/>
      <c r="T893" s="1665" t="n"/>
      <c r="U893" s="1665" t="n"/>
      <c r="V893" s="1665" t="n"/>
      <c r="W893" s="1665" t="n"/>
      <c r="X893" s="1665" t="n"/>
      <c r="Y893" s="1665" t="n"/>
      <c r="Z893" s="1665" t="n"/>
    </row>
    <row r="894" ht="15.75" customHeight="1" s="1666">
      <c r="K894" s="1665" t="n"/>
      <c r="L894" s="1665" t="n"/>
      <c r="M894" s="1665" t="n"/>
      <c r="N894" s="1665" t="n"/>
      <c r="O894" s="1665" t="n"/>
      <c r="P894" s="1665" t="n"/>
      <c r="Q894" s="1665" t="n"/>
      <c r="R894" s="1665" t="n"/>
      <c r="S894" s="1665" t="n"/>
      <c r="T894" s="1665" t="n"/>
      <c r="U894" s="1665" t="n"/>
      <c r="V894" s="1665" t="n"/>
      <c r="W894" s="1665" t="n"/>
      <c r="X894" s="1665" t="n"/>
      <c r="Y894" s="1665" t="n"/>
      <c r="Z894" s="1665" t="n"/>
    </row>
    <row r="895" ht="15.75" customHeight="1" s="1666">
      <c r="K895" s="1665" t="n"/>
      <c r="L895" s="1665" t="n"/>
      <c r="M895" s="1665" t="n"/>
      <c r="N895" s="1665" t="n"/>
      <c r="O895" s="1665" t="n"/>
      <c r="P895" s="1665" t="n"/>
      <c r="Q895" s="1665" t="n"/>
      <c r="R895" s="1665" t="n"/>
      <c r="S895" s="1665" t="n"/>
      <c r="T895" s="1665" t="n"/>
      <c r="U895" s="1665" t="n"/>
      <c r="V895" s="1665" t="n"/>
      <c r="W895" s="1665" t="n"/>
      <c r="X895" s="1665" t="n"/>
      <c r="Y895" s="1665" t="n"/>
      <c r="Z895" s="1665" t="n"/>
    </row>
    <row r="896" ht="15.75" customHeight="1" s="1666">
      <c r="K896" s="1665" t="n"/>
      <c r="L896" s="1665" t="n"/>
      <c r="M896" s="1665" t="n"/>
      <c r="N896" s="1665" t="n"/>
      <c r="O896" s="1665" t="n"/>
      <c r="P896" s="1665" t="n"/>
      <c r="Q896" s="1665" t="n"/>
      <c r="R896" s="1665" t="n"/>
      <c r="S896" s="1665" t="n"/>
      <c r="T896" s="1665" t="n"/>
      <c r="U896" s="1665" t="n"/>
      <c r="V896" s="1665" t="n"/>
      <c r="W896" s="1665" t="n"/>
      <c r="X896" s="1665" t="n"/>
      <c r="Y896" s="1665" t="n"/>
      <c r="Z896" s="1665" t="n"/>
    </row>
    <row r="897" ht="15.75" customHeight="1" s="1666">
      <c r="K897" s="1665" t="n"/>
      <c r="L897" s="1665" t="n"/>
      <c r="M897" s="1665" t="n"/>
      <c r="N897" s="1665" t="n"/>
      <c r="O897" s="1665" t="n"/>
      <c r="P897" s="1665" t="n"/>
      <c r="Q897" s="1665" t="n"/>
      <c r="R897" s="1665" t="n"/>
      <c r="S897" s="1665" t="n"/>
      <c r="T897" s="1665" t="n"/>
      <c r="U897" s="1665" t="n"/>
      <c r="V897" s="1665" t="n"/>
      <c r="W897" s="1665" t="n"/>
      <c r="X897" s="1665" t="n"/>
      <c r="Y897" s="1665" t="n"/>
      <c r="Z897" s="1665" t="n"/>
    </row>
    <row r="898" ht="15.75" customHeight="1" s="1666">
      <c r="K898" s="1665" t="n"/>
      <c r="L898" s="1665" t="n"/>
      <c r="M898" s="1665" t="n"/>
      <c r="N898" s="1665" t="n"/>
      <c r="O898" s="1665" t="n"/>
      <c r="P898" s="1665" t="n"/>
      <c r="Q898" s="1665" t="n"/>
      <c r="R898" s="1665" t="n"/>
      <c r="S898" s="1665" t="n"/>
      <c r="T898" s="1665" t="n"/>
      <c r="U898" s="1665" t="n"/>
      <c r="V898" s="1665" t="n"/>
      <c r="W898" s="1665" t="n"/>
      <c r="X898" s="1665" t="n"/>
      <c r="Y898" s="1665" t="n"/>
      <c r="Z898" s="1665" t="n"/>
    </row>
    <row r="899" ht="15.75" customHeight="1" s="1666">
      <c r="K899" s="1665" t="n"/>
      <c r="L899" s="1665" t="n"/>
      <c r="M899" s="1665" t="n"/>
      <c r="N899" s="1665" t="n"/>
      <c r="O899" s="1665" t="n"/>
      <c r="P899" s="1665" t="n"/>
      <c r="Q899" s="1665" t="n"/>
      <c r="R899" s="1665" t="n"/>
      <c r="S899" s="1665" t="n"/>
      <c r="T899" s="1665" t="n"/>
      <c r="U899" s="1665" t="n"/>
      <c r="V899" s="1665" t="n"/>
      <c r="W899" s="1665" t="n"/>
      <c r="X899" s="1665" t="n"/>
      <c r="Y899" s="1665" t="n"/>
      <c r="Z899" s="1665" t="n"/>
    </row>
    <row r="900" ht="15.75" customHeight="1" s="1666">
      <c r="K900" s="1665" t="n"/>
      <c r="L900" s="1665" t="n"/>
      <c r="M900" s="1665" t="n"/>
      <c r="N900" s="1665" t="n"/>
      <c r="O900" s="1665" t="n"/>
      <c r="P900" s="1665" t="n"/>
      <c r="Q900" s="1665" t="n"/>
      <c r="R900" s="1665" t="n"/>
      <c r="S900" s="1665" t="n"/>
      <c r="T900" s="1665" t="n"/>
      <c r="U900" s="1665" t="n"/>
      <c r="V900" s="1665" t="n"/>
      <c r="W900" s="1665" t="n"/>
      <c r="X900" s="1665" t="n"/>
      <c r="Y900" s="1665" t="n"/>
      <c r="Z900" s="1665" t="n"/>
    </row>
    <row r="901" ht="15.75" customHeight="1" s="1666">
      <c r="K901" s="1665" t="n"/>
      <c r="L901" s="1665" t="n"/>
      <c r="M901" s="1665" t="n"/>
      <c r="N901" s="1665" t="n"/>
      <c r="O901" s="1665" t="n"/>
      <c r="P901" s="1665" t="n"/>
      <c r="Q901" s="1665" t="n"/>
      <c r="R901" s="1665" t="n"/>
      <c r="S901" s="1665" t="n"/>
      <c r="T901" s="1665" t="n"/>
      <c r="U901" s="1665" t="n"/>
      <c r="V901" s="1665" t="n"/>
      <c r="W901" s="1665" t="n"/>
      <c r="X901" s="1665" t="n"/>
      <c r="Y901" s="1665" t="n"/>
      <c r="Z901" s="1665" t="n"/>
    </row>
    <row r="902" ht="15.75" customHeight="1" s="1666">
      <c r="K902" s="1665" t="n"/>
      <c r="L902" s="1665" t="n"/>
      <c r="M902" s="1665" t="n"/>
      <c r="N902" s="1665" t="n"/>
      <c r="O902" s="1665" t="n"/>
      <c r="P902" s="1665" t="n"/>
      <c r="Q902" s="1665" t="n"/>
      <c r="R902" s="1665" t="n"/>
      <c r="S902" s="1665" t="n"/>
      <c r="T902" s="1665" t="n"/>
      <c r="U902" s="1665" t="n"/>
      <c r="V902" s="1665" t="n"/>
      <c r="W902" s="1665" t="n"/>
      <c r="X902" s="1665" t="n"/>
      <c r="Y902" s="1665" t="n"/>
      <c r="Z902" s="1665" t="n"/>
    </row>
    <row r="903" ht="15.75" customHeight="1" s="1666">
      <c r="K903" s="1665" t="n"/>
      <c r="L903" s="1665" t="n"/>
      <c r="M903" s="1665" t="n"/>
      <c r="N903" s="1665" t="n"/>
      <c r="O903" s="1665" t="n"/>
      <c r="P903" s="1665" t="n"/>
      <c r="Q903" s="1665" t="n"/>
      <c r="R903" s="1665" t="n"/>
      <c r="S903" s="1665" t="n"/>
      <c r="T903" s="1665" t="n"/>
      <c r="U903" s="1665" t="n"/>
      <c r="V903" s="1665" t="n"/>
      <c r="W903" s="1665" t="n"/>
      <c r="X903" s="1665" t="n"/>
      <c r="Y903" s="1665" t="n"/>
      <c r="Z903" s="1665" t="n"/>
    </row>
    <row r="904" ht="15.75" customHeight="1" s="1666">
      <c r="K904" s="1665" t="n"/>
      <c r="L904" s="1665" t="n"/>
      <c r="M904" s="1665" t="n"/>
      <c r="N904" s="1665" t="n"/>
      <c r="O904" s="1665" t="n"/>
      <c r="P904" s="1665" t="n"/>
      <c r="Q904" s="1665" t="n"/>
      <c r="R904" s="1665" t="n"/>
      <c r="S904" s="1665" t="n"/>
      <c r="T904" s="1665" t="n"/>
      <c r="U904" s="1665" t="n"/>
      <c r="V904" s="1665" t="n"/>
      <c r="W904" s="1665" t="n"/>
      <c r="X904" s="1665" t="n"/>
      <c r="Y904" s="1665" t="n"/>
      <c r="Z904" s="1665" t="n"/>
    </row>
    <row r="905" ht="15.75" customHeight="1" s="1666">
      <c r="K905" s="1665" t="n"/>
      <c r="L905" s="1665" t="n"/>
      <c r="M905" s="1665" t="n"/>
      <c r="N905" s="1665" t="n"/>
      <c r="O905" s="1665" t="n"/>
      <c r="P905" s="1665" t="n"/>
      <c r="Q905" s="1665" t="n"/>
      <c r="R905" s="1665" t="n"/>
      <c r="S905" s="1665" t="n"/>
      <c r="T905" s="1665" t="n"/>
      <c r="U905" s="1665" t="n"/>
      <c r="V905" s="1665" t="n"/>
      <c r="W905" s="1665" t="n"/>
      <c r="X905" s="1665" t="n"/>
      <c r="Y905" s="1665" t="n"/>
      <c r="Z905" s="1665" t="n"/>
    </row>
    <row r="906" ht="15.75" customHeight="1" s="1666">
      <c r="K906" s="1665" t="n"/>
      <c r="L906" s="1665" t="n"/>
      <c r="M906" s="1665" t="n"/>
      <c r="N906" s="1665" t="n"/>
      <c r="O906" s="1665" t="n"/>
      <c r="P906" s="1665" t="n"/>
      <c r="Q906" s="1665" t="n"/>
      <c r="R906" s="1665" t="n"/>
      <c r="S906" s="1665" t="n"/>
      <c r="T906" s="1665" t="n"/>
      <c r="U906" s="1665" t="n"/>
      <c r="V906" s="1665" t="n"/>
      <c r="W906" s="1665" t="n"/>
      <c r="X906" s="1665" t="n"/>
      <c r="Y906" s="1665" t="n"/>
      <c r="Z906" s="1665" t="n"/>
    </row>
    <row r="907" ht="15.75" customHeight="1" s="1666">
      <c r="K907" s="1665" t="n"/>
      <c r="L907" s="1665" t="n"/>
      <c r="M907" s="1665" t="n"/>
      <c r="N907" s="1665" t="n"/>
      <c r="O907" s="1665" t="n"/>
      <c r="P907" s="1665" t="n"/>
      <c r="Q907" s="1665" t="n"/>
      <c r="R907" s="1665" t="n"/>
      <c r="S907" s="1665" t="n"/>
      <c r="T907" s="1665" t="n"/>
      <c r="U907" s="1665" t="n"/>
      <c r="V907" s="1665" t="n"/>
      <c r="W907" s="1665" t="n"/>
      <c r="X907" s="1665" t="n"/>
      <c r="Y907" s="1665" t="n"/>
      <c r="Z907" s="1665" t="n"/>
    </row>
    <row r="908" ht="15.75" customHeight="1" s="1666">
      <c r="K908" s="1665" t="n"/>
      <c r="L908" s="1665" t="n"/>
      <c r="M908" s="1665" t="n"/>
      <c r="N908" s="1665" t="n"/>
      <c r="O908" s="1665" t="n"/>
      <c r="P908" s="1665" t="n"/>
      <c r="Q908" s="1665" t="n"/>
      <c r="R908" s="1665" t="n"/>
      <c r="S908" s="1665" t="n"/>
      <c r="T908" s="1665" t="n"/>
      <c r="U908" s="1665" t="n"/>
      <c r="V908" s="1665" t="n"/>
      <c r="W908" s="1665" t="n"/>
      <c r="X908" s="1665" t="n"/>
      <c r="Y908" s="1665" t="n"/>
      <c r="Z908" s="1665" t="n"/>
    </row>
    <row r="909" ht="15.75" customHeight="1" s="1666">
      <c r="K909" s="1665" t="n"/>
      <c r="L909" s="1665" t="n"/>
      <c r="M909" s="1665" t="n"/>
      <c r="N909" s="1665" t="n"/>
      <c r="O909" s="1665" t="n"/>
      <c r="P909" s="1665" t="n"/>
      <c r="Q909" s="1665" t="n"/>
      <c r="R909" s="1665" t="n"/>
      <c r="S909" s="1665" t="n"/>
      <c r="T909" s="1665" t="n"/>
      <c r="U909" s="1665" t="n"/>
      <c r="V909" s="1665" t="n"/>
      <c r="W909" s="1665" t="n"/>
      <c r="X909" s="1665" t="n"/>
      <c r="Y909" s="1665" t="n"/>
      <c r="Z909" s="1665" t="n"/>
    </row>
    <row r="910" ht="15.75" customHeight="1" s="1666">
      <c r="K910" s="1665" t="n"/>
      <c r="L910" s="1665" t="n"/>
      <c r="M910" s="1665" t="n"/>
      <c r="N910" s="1665" t="n"/>
      <c r="O910" s="1665" t="n"/>
      <c r="P910" s="1665" t="n"/>
      <c r="Q910" s="1665" t="n"/>
      <c r="R910" s="1665" t="n"/>
      <c r="S910" s="1665" t="n"/>
      <c r="T910" s="1665" t="n"/>
      <c r="U910" s="1665" t="n"/>
      <c r="V910" s="1665" t="n"/>
      <c r="W910" s="1665" t="n"/>
      <c r="X910" s="1665" t="n"/>
      <c r="Y910" s="1665" t="n"/>
      <c r="Z910" s="1665" t="n"/>
    </row>
    <row r="911" ht="15.75" customHeight="1" s="1666">
      <c r="K911" s="1665" t="n"/>
      <c r="L911" s="1665" t="n"/>
      <c r="M911" s="1665" t="n"/>
      <c r="N911" s="1665" t="n"/>
      <c r="O911" s="1665" t="n"/>
      <c r="P911" s="1665" t="n"/>
      <c r="Q911" s="1665" t="n"/>
      <c r="R911" s="1665" t="n"/>
      <c r="S911" s="1665" t="n"/>
      <c r="T911" s="1665" t="n"/>
      <c r="U911" s="1665" t="n"/>
      <c r="V911" s="1665" t="n"/>
      <c r="W911" s="1665" t="n"/>
      <c r="X911" s="1665" t="n"/>
      <c r="Y911" s="1665" t="n"/>
      <c r="Z911" s="1665" t="n"/>
    </row>
    <row r="912" ht="15.75" customHeight="1" s="1666">
      <c r="K912" s="1665" t="n"/>
      <c r="L912" s="1665" t="n"/>
      <c r="M912" s="1665" t="n"/>
      <c r="N912" s="1665" t="n"/>
      <c r="O912" s="1665" t="n"/>
      <c r="P912" s="1665" t="n"/>
      <c r="Q912" s="1665" t="n"/>
      <c r="R912" s="1665" t="n"/>
      <c r="S912" s="1665" t="n"/>
      <c r="T912" s="1665" t="n"/>
      <c r="U912" s="1665" t="n"/>
      <c r="V912" s="1665" t="n"/>
      <c r="W912" s="1665" t="n"/>
      <c r="X912" s="1665" t="n"/>
      <c r="Y912" s="1665" t="n"/>
      <c r="Z912" s="1665" t="n"/>
    </row>
    <row r="913" ht="15.75" customHeight="1" s="1666">
      <c r="K913" s="1665" t="n"/>
      <c r="L913" s="1665" t="n"/>
      <c r="M913" s="1665" t="n"/>
      <c r="N913" s="1665" t="n"/>
      <c r="O913" s="1665" t="n"/>
      <c r="P913" s="1665" t="n"/>
      <c r="Q913" s="1665" t="n"/>
      <c r="R913" s="1665" t="n"/>
      <c r="S913" s="1665" t="n"/>
      <c r="T913" s="1665" t="n"/>
      <c r="U913" s="1665" t="n"/>
      <c r="V913" s="1665" t="n"/>
      <c r="W913" s="1665" t="n"/>
      <c r="X913" s="1665" t="n"/>
      <c r="Y913" s="1665" t="n"/>
      <c r="Z913" s="1665" t="n"/>
    </row>
    <row r="914" ht="15.75" customHeight="1" s="1666">
      <c r="K914" s="1665" t="n"/>
      <c r="L914" s="1665" t="n"/>
      <c r="M914" s="1665" t="n"/>
      <c r="N914" s="1665" t="n"/>
      <c r="O914" s="1665" t="n"/>
      <c r="P914" s="1665" t="n"/>
      <c r="Q914" s="1665" t="n"/>
      <c r="R914" s="1665" t="n"/>
      <c r="S914" s="1665" t="n"/>
      <c r="T914" s="1665" t="n"/>
      <c r="U914" s="1665" t="n"/>
      <c r="V914" s="1665" t="n"/>
      <c r="W914" s="1665" t="n"/>
      <c r="X914" s="1665" t="n"/>
      <c r="Y914" s="1665" t="n"/>
      <c r="Z914" s="1665" t="n"/>
    </row>
    <row r="915" ht="15.75" customHeight="1" s="1666">
      <c r="K915" s="1665" t="n"/>
      <c r="L915" s="1665" t="n"/>
      <c r="M915" s="1665" t="n"/>
      <c r="N915" s="1665" t="n"/>
      <c r="O915" s="1665" t="n"/>
      <c r="P915" s="1665" t="n"/>
      <c r="Q915" s="1665" t="n"/>
      <c r="R915" s="1665" t="n"/>
      <c r="S915" s="1665" t="n"/>
      <c r="T915" s="1665" t="n"/>
      <c r="U915" s="1665" t="n"/>
      <c r="V915" s="1665" t="n"/>
      <c r="W915" s="1665" t="n"/>
      <c r="X915" s="1665" t="n"/>
      <c r="Y915" s="1665" t="n"/>
      <c r="Z915" s="1665" t="n"/>
    </row>
    <row r="916" ht="15.75" customHeight="1" s="1666">
      <c r="K916" s="1665" t="n"/>
      <c r="L916" s="1665" t="n"/>
      <c r="M916" s="1665" t="n"/>
      <c r="N916" s="1665" t="n"/>
      <c r="O916" s="1665" t="n"/>
      <c r="P916" s="1665" t="n"/>
      <c r="Q916" s="1665" t="n"/>
      <c r="R916" s="1665" t="n"/>
      <c r="S916" s="1665" t="n"/>
      <c r="T916" s="1665" t="n"/>
      <c r="U916" s="1665" t="n"/>
      <c r="V916" s="1665" t="n"/>
      <c r="W916" s="1665" t="n"/>
      <c r="X916" s="1665" t="n"/>
      <c r="Y916" s="1665" t="n"/>
      <c r="Z916" s="1665" t="n"/>
    </row>
    <row r="917" ht="15.75" customHeight="1" s="1666">
      <c r="K917" s="1665" t="n"/>
      <c r="L917" s="1665" t="n"/>
      <c r="M917" s="1665" t="n"/>
      <c r="N917" s="1665" t="n"/>
      <c r="O917" s="1665" t="n"/>
      <c r="P917" s="1665" t="n"/>
      <c r="Q917" s="1665" t="n"/>
      <c r="R917" s="1665" t="n"/>
      <c r="S917" s="1665" t="n"/>
      <c r="T917" s="1665" t="n"/>
      <c r="U917" s="1665" t="n"/>
      <c r="V917" s="1665" t="n"/>
      <c r="W917" s="1665" t="n"/>
      <c r="X917" s="1665" t="n"/>
      <c r="Y917" s="1665" t="n"/>
      <c r="Z917" s="1665" t="n"/>
    </row>
    <row r="918" ht="15.75" customHeight="1" s="1666">
      <c r="K918" s="1665" t="n"/>
      <c r="L918" s="1665" t="n"/>
      <c r="M918" s="1665" t="n"/>
      <c r="N918" s="1665" t="n"/>
      <c r="O918" s="1665" t="n"/>
      <c r="P918" s="1665" t="n"/>
      <c r="Q918" s="1665" t="n"/>
      <c r="R918" s="1665" t="n"/>
      <c r="S918" s="1665" t="n"/>
      <c r="T918" s="1665" t="n"/>
      <c r="U918" s="1665" t="n"/>
      <c r="V918" s="1665" t="n"/>
      <c r="W918" s="1665" t="n"/>
      <c r="X918" s="1665" t="n"/>
      <c r="Y918" s="1665" t="n"/>
      <c r="Z918" s="1665" t="n"/>
    </row>
    <row r="919" ht="15.75" customHeight="1" s="1666">
      <c r="K919" s="1665" t="n"/>
      <c r="L919" s="1665" t="n"/>
      <c r="M919" s="1665" t="n"/>
      <c r="N919" s="1665" t="n"/>
      <c r="O919" s="1665" t="n"/>
      <c r="P919" s="1665" t="n"/>
      <c r="Q919" s="1665" t="n"/>
      <c r="R919" s="1665" t="n"/>
      <c r="S919" s="1665" t="n"/>
      <c r="T919" s="1665" t="n"/>
      <c r="U919" s="1665" t="n"/>
      <c r="V919" s="1665" t="n"/>
      <c r="W919" s="1665" t="n"/>
      <c r="X919" s="1665" t="n"/>
      <c r="Y919" s="1665" t="n"/>
      <c r="Z919" s="1665" t="n"/>
    </row>
    <row r="920" ht="15.75" customHeight="1" s="1666">
      <c r="K920" s="1665" t="n"/>
      <c r="L920" s="1665" t="n"/>
      <c r="M920" s="1665" t="n"/>
      <c r="N920" s="1665" t="n"/>
      <c r="O920" s="1665" t="n"/>
      <c r="P920" s="1665" t="n"/>
      <c r="Q920" s="1665" t="n"/>
      <c r="R920" s="1665" t="n"/>
      <c r="S920" s="1665" t="n"/>
      <c r="T920" s="1665" t="n"/>
      <c r="U920" s="1665" t="n"/>
      <c r="V920" s="1665" t="n"/>
      <c r="W920" s="1665" t="n"/>
      <c r="X920" s="1665" t="n"/>
      <c r="Y920" s="1665" t="n"/>
      <c r="Z920" s="1665" t="n"/>
    </row>
    <row r="921" ht="15.75" customHeight="1" s="1666">
      <c r="K921" s="1665" t="n"/>
      <c r="L921" s="1665" t="n"/>
      <c r="M921" s="1665" t="n"/>
      <c r="N921" s="1665" t="n"/>
      <c r="O921" s="1665" t="n"/>
      <c r="P921" s="1665" t="n"/>
      <c r="Q921" s="1665" t="n"/>
      <c r="R921" s="1665" t="n"/>
      <c r="S921" s="1665" t="n"/>
      <c r="T921" s="1665" t="n"/>
      <c r="U921" s="1665" t="n"/>
      <c r="V921" s="1665" t="n"/>
      <c r="W921" s="1665" t="n"/>
      <c r="X921" s="1665" t="n"/>
      <c r="Y921" s="1665" t="n"/>
      <c r="Z921" s="1665" t="n"/>
    </row>
    <row r="922" ht="15.75" customHeight="1" s="1666">
      <c r="K922" s="1665" t="n"/>
      <c r="L922" s="1665" t="n"/>
      <c r="M922" s="1665" t="n"/>
      <c r="N922" s="1665" t="n"/>
      <c r="O922" s="1665" t="n"/>
      <c r="P922" s="1665" t="n"/>
      <c r="Q922" s="1665" t="n"/>
      <c r="R922" s="1665" t="n"/>
      <c r="S922" s="1665" t="n"/>
      <c r="T922" s="1665" t="n"/>
      <c r="U922" s="1665" t="n"/>
      <c r="V922" s="1665" t="n"/>
      <c r="W922" s="1665" t="n"/>
      <c r="X922" s="1665" t="n"/>
      <c r="Y922" s="1665" t="n"/>
      <c r="Z922" s="1665" t="n"/>
    </row>
    <row r="923" ht="15.75" customHeight="1" s="1666">
      <c r="K923" s="1665" t="n"/>
      <c r="L923" s="1665" t="n"/>
      <c r="M923" s="1665" t="n"/>
      <c r="N923" s="1665" t="n"/>
      <c r="O923" s="1665" t="n"/>
      <c r="P923" s="1665" t="n"/>
      <c r="Q923" s="1665" t="n"/>
      <c r="R923" s="1665" t="n"/>
      <c r="S923" s="1665" t="n"/>
      <c r="T923" s="1665" t="n"/>
      <c r="U923" s="1665" t="n"/>
      <c r="V923" s="1665" t="n"/>
      <c r="W923" s="1665" t="n"/>
      <c r="X923" s="1665" t="n"/>
      <c r="Y923" s="1665" t="n"/>
      <c r="Z923" s="1665" t="n"/>
    </row>
    <row r="924" ht="15.75" customHeight="1" s="1666">
      <c r="K924" s="1665" t="n"/>
      <c r="L924" s="1665" t="n"/>
      <c r="M924" s="1665" t="n"/>
      <c r="N924" s="1665" t="n"/>
      <c r="O924" s="1665" t="n"/>
      <c r="P924" s="1665" t="n"/>
      <c r="Q924" s="1665" t="n"/>
      <c r="R924" s="1665" t="n"/>
      <c r="S924" s="1665" t="n"/>
      <c r="T924" s="1665" t="n"/>
      <c r="U924" s="1665" t="n"/>
      <c r="V924" s="1665" t="n"/>
      <c r="W924" s="1665" t="n"/>
      <c r="X924" s="1665" t="n"/>
      <c r="Y924" s="1665" t="n"/>
      <c r="Z924" s="1665" t="n"/>
    </row>
    <row r="925" ht="15.75" customHeight="1" s="1666">
      <c r="K925" s="1665" t="n"/>
      <c r="L925" s="1665" t="n"/>
      <c r="M925" s="1665" t="n"/>
      <c r="N925" s="1665" t="n"/>
      <c r="O925" s="1665" t="n"/>
      <c r="P925" s="1665" t="n"/>
      <c r="Q925" s="1665" t="n"/>
      <c r="R925" s="1665" t="n"/>
      <c r="S925" s="1665" t="n"/>
      <c r="T925" s="1665" t="n"/>
      <c r="U925" s="1665" t="n"/>
      <c r="V925" s="1665" t="n"/>
      <c r="W925" s="1665" t="n"/>
      <c r="X925" s="1665" t="n"/>
      <c r="Y925" s="1665" t="n"/>
      <c r="Z925" s="1665" t="n"/>
    </row>
    <row r="926" ht="15.75" customHeight="1" s="1666">
      <c r="K926" s="1665" t="n"/>
      <c r="L926" s="1665" t="n"/>
      <c r="M926" s="1665" t="n"/>
      <c r="N926" s="1665" t="n"/>
      <c r="O926" s="1665" t="n"/>
      <c r="P926" s="1665" t="n"/>
      <c r="Q926" s="1665" t="n"/>
      <c r="R926" s="1665" t="n"/>
      <c r="S926" s="1665" t="n"/>
      <c r="T926" s="1665" t="n"/>
      <c r="U926" s="1665" t="n"/>
      <c r="V926" s="1665" t="n"/>
      <c r="W926" s="1665" t="n"/>
      <c r="X926" s="1665" t="n"/>
      <c r="Y926" s="1665" t="n"/>
      <c r="Z926" s="1665" t="n"/>
    </row>
    <row r="927" ht="15.75" customHeight="1" s="1666">
      <c r="K927" s="1665" t="n"/>
      <c r="L927" s="1665" t="n"/>
      <c r="M927" s="1665" t="n"/>
      <c r="N927" s="1665" t="n"/>
      <c r="O927" s="1665" t="n"/>
      <c r="P927" s="1665" t="n"/>
      <c r="Q927" s="1665" t="n"/>
      <c r="R927" s="1665" t="n"/>
      <c r="S927" s="1665" t="n"/>
      <c r="T927" s="1665" t="n"/>
      <c r="U927" s="1665" t="n"/>
      <c r="V927" s="1665" t="n"/>
      <c r="W927" s="1665" t="n"/>
      <c r="X927" s="1665" t="n"/>
      <c r="Y927" s="1665" t="n"/>
      <c r="Z927" s="1665" t="n"/>
    </row>
    <row r="928" ht="15.75" customHeight="1" s="1666">
      <c r="K928" s="1665" t="n"/>
      <c r="L928" s="1665" t="n"/>
      <c r="M928" s="1665" t="n"/>
      <c r="N928" s="1665" t="n"/>
      <c r="O928" s="1665" t="n"/>
      <c r="P928" s="1665" t="n"/>
      <c r="Q928" s="1665" t="n"/>
      <c r="R928" s="1665" t="n"/>
      <c r="S928" s="1665" t="n"/>
      <c r="T928" s="1665" t="n"/>
      <c r="U928" s="1665" t="n"/>
      <c r="V928" s="1665" t="n"/>
      <c r="W928" s="1665" t="n"/>
      <c r="X928" s="1665" t="n"/>
      <c r="Y928" s="1665" t="n"/>
      <c r="Z928" s="1665" t="n"/>
    </row>
    <row r="929" ht="15.75" customHeight="1" s="1666">
      <c r="K929" s="1665" t="n"/>
      <c r="L929" s="1665" t="n"/>
      <c r="M929" s="1665" t="n"/>
      <c r="N929" s="1665" t="n"/>
      <c r="O929" s="1665" t="n"/>
      <c r="P929" s="1665" t="n"/>
      <c r="Q929" s="1665" t="n"/>
      <c r="R929" s="1665" t="n"/>
      <c r="S929" s="1665" t="n"/>
      <c r="T929" s="1665" t="n"/>
      <c r="U929" s="1665" t="n"/>
      <c r="V929" s="1665" t="n"/>
      <c r="W929" s="1665" t="n"/>
      <c r="X929" s="1665" t="n"/>
      <c r="Y929" s="1665" t="n"/>
      <c r="Z929" s="1665" t="n"/>
    </row>
    <row r="930" ht="15.75" customHeight="1" s="1666">
      <c r="K930" s="1665" t="n"/>
      <c r="L930" s="1665" t="n"/>
      <c r="M930" s="1665" t="n"/>
      <c r="N930" s="1665" t="n"/>
      <c r="O930" s="1665" t="n"/>
      <c r="P930" s="1665" t="n"/>
      <c r="Q930" s="1665" t="n"/>
      <c r="R930" s="1665" t="n"/>
      <c r="S930" s="1665" t="n"/>
      <c r="T930" s="1665" t="n"/>
      <c r="U930" s="1665" t="n"/>
      <c r="V930" s="1665" t="n"/>
      <c r="W930" s="1665" t="n"/>
      <c r="X930" s="1665" t="n"/>
      <c r="Y930" s="1665" t="n"/>
      <c r="Z930" s="1665" t="n"/>
    </row>
    <row r="931" ht="15.75" customHeight="1" s="1666">
      <c r="K931" s="1665" t="n"/>
      <c r="L931" s="1665" t="n"/>
      <c r="M931" s="1665" t="n"/>
      <c r="N931" s="1665" t="n"/>
      <c r="O931" s="1665" t="n"/>
      <c r="P931" s="1665" t="n"/>
      <c r="Q931" s="1665" t="n"/>
      <c r="R931" s="1665" t="n"/>
      <c r="S931" s="1665" t="n"/>
      <c r="T931" s="1665" t="n"/>
      <c r="U931" s="1665" t="n"/>
      <c r="V931" s="1665" t="n"/>
      <c r="W931" s="1665" t="n"/>
      <c r="X931" s="1665" t="n"/>
      <c r="Y931" s="1665" t="n"/>
      <c r="Z931" s="1665" t="n"/>
    </row>
    <row r="932" ht="15.75" customHeight="1" s="1666">
      <c r="K932" s="1665" t="n"/>
      <c r="L932" s="1665" t="n"/>
      <c r="M932" s="1665" t="n"/>
      <c r="N932" s="1665" t="n"/>
      <c r="O932" s="1665" t="n"/>
      <c r="P932" s="1665" t="n"/>
      <c r="Q932" s="1665" t="n"/>
      <c r="R932" s="1665" t="n"/>
      <c r="S932" s="1665" t="n"/>
      <c r="T932" s="1665" t="n"/>
      <c r="U932" s="1665" t="n"/>
      <c r="V932" s="1665" t="n"/>
      <c r="W932" s="1665" t="n"/>
      <c r="X932" s="1665" t="n"/>
      <c r="Y932" s="1665" t="n"/>
      <c r="Z932" s="1665" t="n"/>
    </row>
    <row r="933" ht="15.75" customHeight="1" s="1666">
      <c r="K933" s="1665" t="n"/>
      <c r="L933" s="1665" t="n"/>
      <c r="M933" s="1665" t="n"/>
      <c r="N933" s="1665" t="n"/>
      <c r="O933" s="1665" t="n"/>
      <c r="P933" s="1665" t="n"/>
      <c r="Q933" s="1665" t="n"/>
      <c r="R933" s="1665" t="n"/>
      <c r="S933" s="1665" t="n"/>
      <c r="T933" s="1665" t="n"/>
      <c r="U933" s="1665" t="n"/>
      <c r="V933" s="1665" t="n"/>
      <c r="W933" s="1665" t="n"/>
      <c r="X933" s="1665" t="n"/>
      <c r="Y933" s="1665" t="n"/>
      <c r="Z933" s="1665" t="n"/>
    </row>
    <row r="934" ht="15.75" customHeight="1" s="1666">
      <c r="K934" s="1665" t="n"/>
      <c r="L934" s="1665" t="n"/>
      <c r="M934" s="1665" t="n"/>
      <c r="N934" s="1665" t="n"/>
      <c r="O934" s="1665" t="n"/>
      <c r="P934" s="1665" t="n"/>
      <c r="Q934" s="1665" t="n"/>
      <c r="R934" s="1665" t="n"/>
      <c r="S934" s="1665" t="n"/>
      <c r="T934" s="1665" t="n"/>
      <c r="U934" s="1665" t="n"/>
      <c r="V934" s="1665" t="n"/>
      <c r="W934" s="1665" t="n"/>
      <c r="X934" s="1665" t="n"/>
      <c r="Y934" s="1665" t="n"/>
      <c r="Z934" s="1665" t="n"/>
    </row>
    <row r="935" ht="15.75" customHeight="1" s="1666">
      <c r="K935" s="1665" t="n"/>
      <c r="L935" s="1665" t="n"/>
      <c r="M935" s="1665" t="n"/>
      <c r="N935" s="1665" t="n"/>
      <c r="O935" s="1665" t="n"/>
      <c r="P935" s="1665" t="n"/>
      <c r="Q935" s="1665" t="n"/>
      <c r="R935" s="1665" t="n"/>
      <c r="S935" s="1665" t="n"/>
      <c r="T935" s="1665" t="n"/>
      <c r="U935" s="1665" t="n"/>
      <c r="V935" s="1665" t="n"/>
      <c r="W935" s="1665" t="n"/>
      <c r="X935" s="1665" t="n"/>
      <c r="Y935" s="1665" t="n"/>
      <c r="Z935" s="1665" t="n"/>
    </row>
    <row r="936" ht="15.75" customHeight="1" s="1666">
      <c r="K936" s="1665" t="n"/>
      <c r="L936" s="1665" t="n"/>
      <c r="M936" s="1665" t="n"/>
      <c r="N936" s="1665" t="n"/>
      <c r="O936" s="1665" t="n"/>
      <c r="P936" s="1665" t="n"/>
      <c r="Q936" s="1665" t="n"/>
      <c r="R936" s="1665" t="n"/>
      <c r="S936" s="1665" t="n"/>
      <c r="T936" s="1665" t="n"/>
      <c r="U936" s="1665" t="n"/>
      <c r="V936" s="1665" t="n"/>
      <c r="W936" s="1665" t="n"/>
      <c r="X936" s="1665" t="n"/>
      <c r="Y936" s="1665" t="n"/>
      <c r="Z936" s="1665" t="n"/>
    </row>
    <row r="937" ht="15.75" customHeight="1" s="1666">
      <c r="K937" s="1665" t="n"/>
      <c r="L937" s="1665" t="n"/>
      <c r="M937" s="1665" t="n"/>
      <c r="N937" s="1665" t="n"/>
      <c r="O937" s="1665" t="n"/>
      <c r="P937" s="1665" t="n"/>
      <c r="Q937" s="1665" t="n"/>
      <c r="R937" s="1665" t="n"/>
      <c r="S937" s="1665" t="n"/>
      <c r="T937" s="1665" t="n"/>
      <c r="U937" s="1665" t="n"/>
      <c r="V937" s="1665" t="n"/>
      <c r="W937" s="1665" t="n"/>
      <c r="X937" s="1665" t="n"/>
      <c r="Y937" s="1665" t="n"/>
      <c r="Z937" s="1665" t="n"/>
    </row>
    <row r="938" ht="15.75" customHeight="1" s="1666">
      <c r="K938" s="1665" t="n"/>
      <c r="L938" s="1665" t="n"/>
      <c r="M938" s="1665" t="n"/>
      <c r="N938" s="1665" t="n"/>
      <c r="O938" s="1665" t="n"/>
      <c r="P938" s="1665" t="n"/>
      <c r="Q938" s="1665" t="n"/>
      <c r="R938" s="1665" t="n"/>
      <c r="S938" s="1665" t="n"/>
      <c r="T938" s="1665" t="n"/>
      <c r="U938" s="1665" t="n"/>
      <c r="V938" s="1665" t="n"/>
      <c r="W938" s="1665" t="n"/>
      <c r="X938" s="1665" t="n"/>
      <c r="Y938" s="1665" t="n"/>
      <c r="Z938" s="1665" t="n"/>
    </row>
    <row r="939" ht="15.75" customHeight="1" s="1666">
      <c r="K939" s="1665" t="n"/>
      <c r="L939" s="1665" t="n"/>
      <c r="M939" s="1665" t="n"/>
      <c r="N939" s="1665" t="n"/>
      <c r="O939" s="1665" t="n"/>
      <c r="P939" s="1665" t="n"/>
      <c r="Q939" s="1665" t="n"/>
      <c r="R939" s="1665" t="n"/>
      <c r="S939" s="1665" t="n"/>
      <c r="T939" s="1665" t="n"/>
      <c r="U939" s="1665" t="n"/>
      <c r="V939" s="1665" t="n"/>
      <c r="W939" s="1665" t="n"/>
      <c r="X939" s="1665" t="n"/>
      <c r="Y939" s="1665" t="n"/>
      <c r="Z939" s="1665" t="n"/>
    </row>
    <row r="940" ht="15.75" customHeight="1" s="1666">
      <c r="K940" s="1665" t="n"/>
      <c r="L940" s="1665" t="n"/>
      <c r="M940" s="1665" t="n"/>
      <c r="N940" s="1665" t="n"/>
      <c r="O940" s="1665" t="n"/>
      <c r="P940" s="1665" t="n"/>
      <c r="Q940" s="1665" t="n"/>
      <c r="R940" s="1665" t="n"/>
      <c r="S940" s="1665" t="n"/>
      <c r="T940" s="1665" t="n"/>
      <c r="U940" s="1665" t="n"/>
      <c r="V940" s="1665" t="n"/>
      <c r="W940" s="1665" t="n"/>
      <c r="X940" s="1665" t="n"/>
      <c r="Y940" s="1665" t="n"/>
      <c r="Z940" s="1665" t="n"/>
    </row>
    <row r="941" ht="15.75" customHeight="1" s="1666">
      <c r="K941" s="1665" t="n"/>
      <c r="L941" s="1665" t="n"/>
      <c r="M941" s="1665" t="n"/>
      <c r="N941" s="1665" t="n"/>
      <c r="O941" s="1665" t="n"/>
      <c r="P941" s="1665" t="n"/>
      <c r="Q941" s="1665" t="n"/>
      <c r="R941" s="1665" t="n"/>
      <c r="S941" s="1665" t="n"/>
      <c r="T941" s="1665" t="n"/>
      <c r="U941" s="1665" t="n"/>
      <c r="V941" s="1665" t="n"/>
      <c r="W941" s="1665" t="n"/>
      <c r="X941" s="1665" t="n"/>
      <c r="Y941" s="1665" t="n"/>
      <c r="Z941" s="1665" t="n"/>
    </row>
    <row r="942" ht="15.75" customHeight="1" s="1666">
      <c r="K942" s="1665" t="n"/>
      <c r="L942" s="1665" t="n"/>
      <c r="M942" s="1665" t="n"/>
      <c r="N942" s="1665" t="n"/>
      <c r="O942" s="1665" t="n"/>
      <c r="P942" s="1665" t="n"/>
      <c r="Q942" s="1665" t="n"/>
      <c r="R942" s="1665" t="n"/>
      <c r="S942" s="1665" t="n"/>
      <c r="T942" s="1665" t="n"/>
      <c r="U942" s="1665" t="n"/>
      <c r="V942" s="1665" t="n"/>
      <c r="W942" s="1665" t="n"/>
      <c r="X942" s="1665" t="n"/>
      <c r="Y942" s="1665" t="n"/>
      <c r="Z942" s="1665" t="n"/>
    </row>
    <row r="943" ht="15.75" customHeight="1" s="1666">
      <c r="K943" s="1665" t="n"/>
      <c r="L943" s="1665" t="n"/>
      <c r="M943" s="1665" t="n"/>
      <c r="N943" s="1665" t="n"/>
      <c r="O943" s="1665" t="n"/>
      <c r="P943" s="1665" t="n"/>
      <c r="Q943" s="1665" t="n"/>
      <c r="R943" s="1665" t="n"/>
      <c r="S943" s="1665" t="n"/>
      <c r="T943" s="1665" t="n"/>
      <c r="U943" s="1665" t="n"/>
      <c r="V943" s="1665" t="n"/>
      <c r="W943" s="1665" t="n"/>
      <c r="X943" s="1665" t="n"/>
      <c r="Y943" s="1665" t="n"/>
      <c r="Z943" s="1665" t="n"/>
    </row>
    <row r="944" ht="15.75" customHeight="1" s="1666">
      <c r="K944" s="1665" t="n"/>
      <c r="L944" s="1665" t="n"/>
      <c r="M944" s="1665" t="n"/>
      <c r="N944" s="1665" t="n"/>
      <c r="O944" s="1665" t="n"/>
      <c r="P944" s="1665" t="n"/>
      <c r="Q944" s="1665" t="n"/>
      <c r="R944" s="1665" t="n"/>
      <c r="S944" s="1665" t="n"/>
      <c r="T944" s="1665" t="n"/>
      <c r="U944" s="1665" t="n"/>
      <c r="V944" s="1665" t="n"/>
      <c r="W944" s="1665" t="n"/>
      <c r="X944" s="1665" t="n"/>
      <c r="Y944" s="1665" t="n"/>
      <c r="Z944" s="1665" t="n"/>
    </row>
    <row r="945" ht="15.75" customHeight="1" s="1666">
      <c r="K945" s="1665" t="n"/>
      <c r="L945" s="1665" t="n"/>
      <c r="M945" s="1665" t="n"/>
      <c r="N945" s="1665" t="n"/>
      <c r="O945" s="1665" t="n"/>
      <c r="P945" s="1665" t="n"/>
      <c r="Q945" s="1665" t="n"/>
      <c r="R945" s="1665" t="n"/>
      <c r="S945" s="1665" t="n"/>
      <c r="T945" s="1665" t="n"/>
      <c r="U945" s="1665" t="n"/>
      <c r="V945" s="1665" t="n"/>
      <c r="W945" s="1665" t="n"/>
      <c r="X945" s="1665" t="n"/>
      <c r="Y945" s="1665" t="n"/>
      <c r="Z945" s="1665" t="n"/>
    </row>
    <row r="946" ht="15.75" customHeight="1" s="1666">
      <c r="K946" s="1665" t="n"/>
      <c r="L946" s="1665" t="n"/>
      <c r="M946" s="1665" t="n"/>
      <c r="N946" s="1665" t="n"/>
      <c r="O946" s="1665" t="n"/>
      <c r="P946" s="1665" t="n"/>
      <c r="Q946" s="1665" t="n"/>
      <c r="R946" s="1665" t="n"/>
      <c r="S946" s="1665" t="n"/>
      <c r="T946" s="1665" t="n"/>
      <c r="U946" s="1665" t="n"/>
      <c r="V946" s="1665" t="n"/>
      <c r="W946" s="1665" t="n"/>
      <c r="X946" s="1665" t="n"/>
      <c r="Y946" s="1665" t="n"/>
      <c r="Z946" s="1665" t="n"/>
    </row>
    <row r="947" ht="15.75" customHeight="1" s="1666">
      <c r="K947" s="1665" t="n"/>
      <c r="L947" s="1665" t="n"/>
      <c r="M947" s="1665" t="n"/>
      <c r="N947" s="1665" t="n"/>
      <c r="O947" s="1665" t="n"/>
      <c r="P947" s="1665" t="n"/>
      <c r="Q947" s="1665" t="n"/>
      <c r="R947" s="1665" t="n"/>
      <c r="S947" s="1665" t="n"/>
      <c r="T947" s="1665" t="n"/>
      <c r="U947" s="1665" t="n"/>
      <c r="V947" s="1665" t="n"/>
      <c r="W947" s="1665" t="n"/>
      <c r="X947" s="1665" t="n"/>
      <c r="Y947" s="1665" t="n"/>
      <c r="Z947" s="1665" t="n"/>
    </row>
    <row r="948" ht="15.75" customHeight="1" s="1666">
      <c r="K948" s="1665" t="n"/>
      <c r="L948" s="1665" t="n"/>
      <c r="M948" s="1665" t="n"/>
      <c r="N948" s="1665" t="n"/>
      <c r="O948" s="1665" t="n"/>
      <c r="P948" s="1665" t="n"/>
      <c r="Q948" s="1665" t="n"/>
      <c r="R948" s="1665" t="n"/>
      <c r="S948" s="1665" t="n"/>
      <c r="T948" s="1665" t="n"/>
      <c r="U948" s="1665" t="n"/>
      <c r="V948" s="1665" t="n"/>
      <c r="W948" s="1665" t="n"/>
      <c r="X948" s="1665" t="n"/>
      <c r="Y948" s="1665" t="n"/>
      <c r="Z948" s="1665" t="n"/>
    </row>
    <row r="949" ht="15.75" customHeight="1" s="1666">
      <c r="K949" s="1665" t="n"/>
      <c r="L949" s="1665" t="n"/>
      <c r="M949" s="1665" t="n"/>
      <c r="N949" s="1665" t="n"/>
      <c r="O949" s="1665" t="n"/>
      <c r="P949" s="1665" t="n"/>
      <c r="Q949" s="1665" t="n"/>
      <c r="R949" s="1665" t="n"/>
      <c r="S949" s="1665" t="n"/>
      <c r="T949" s="1665" t="n"/>
      <c r="U949" s="1665" t="n"/>
      <c r="V949" s="1665" t="n"/>
      <c r="W949" s="1665" t="n"/>
      <c r="X949" s="1665" t="n"/>
      <c r="Y949" s="1665" t="n"/>
      <c r="Z949" s="1665" t="n"/>
    </row>
    <row r="950" ht="15.75" customHeight="1" s="1666">
      <c r="K950" s="1665" t="n"/>
      <c r="L950" s="1665" t="n"/>
      <c r="M950" s="1665" t="n"/>
      <c r="N950" s="1665" t="n"/>
      <c r="O950" s="1665" t="n"/>
      <c r="P950" s="1665" t="n"/>
      <c r="Q950" s="1665" t="n"/>
      <c r="R950" s="1665" t="n"/>
      <c r="S950" s="1665" t="n"/>
      <c r="T950" s="1665" t="n"/>
      <c r="U950" s="1665" t="n"/>
      <c r="V950" s="1665" t="n"/>
      <c r="W950" s="1665" t="n"/>
      <c r="X950" s="1665" t="n"/>
      <c r="Y950" s="1665" t="n"/>
      <c r="Z950" s="1665" t="n"/>
    </row>
    <row r="951" ht="15.75" customHeight="1" s="1666">
      <c r="K951" s="1665" t="n"/>
      <c r="L951" s="1665" t="n"/>
      <c r="M951" s="1665" t="n"/>
      <c r="N951" s="1665" t="n"/>
      <c r="O951" s="1665" t="n"/>
      <c r="P951" s="1665" t="n"/>
      <c r="Q951" s="1665" t="n"/>
      <c r="R951" s="1665" t="n"/>
      <c r="S951" s="1665" t="n"/>
      <c r="T951" s="1665" t="n"/>
      <c r="U951" s="1665" t="n"/>
      <c r="V951" s="1665" t="n"/>
      <c r="W951" s="1665" t="n"/>
      <c r="X951" s="1665" t="n"/>
      <c r="Y951" s="1665" t="n"/>
      <c r="Z951" s="1665" t="n"/>
    </row>
    <row r="952" ht="15.75" customHeight="1" s="1666">
      <c r="K952" s="1665" t="n"/>
      <c r="L952" s="1665" t="n"/>
      <c r="M952" s="1665" t="n"/>
      <c r="N952" s="1665" t="n"/>
      <c r="O952" s="1665" t="n"/>
      <c r="P952" s="1665" t="n"/>
      <c r="Q952" s="1665" t="n"/>
      <c r="R952" s="1665" t="n"/>
      <c r="S952" s="1665" t="n"/>
      <c r="T952" s="1665" t="n"/>
      <c r="U952" s="1665" t="n"/>
      <c r="V952" s="1665" t="n"/>
      <c r="W952" s="1665" t="n"/>
      <c r="X952" s="1665" t="n"/>
      <c r="Y952" s="1665" t="n"/>
      <c r="Z952" s="1665" t="n"/>
    </row>
    <row r="953" ht="15.75" customHeight="1" s="1666">
      <c r="K953" s="1665" t="n"/>
      <c r="L953" s="1665" t="n"/>
      <c r="M953" s="1665" t="n"/>
      <c r="N953" s="1665" t="n"/>
      <c r="O953" s="1665" t="n"/>
      <c r="P953" s="1665" t="n"/>
      <c r="Q953" s="1665" t="n"/>
      <c r="R953" s="1665" t="n"/>
      <c r="S953" s="1665" t="n"/>
      <c r="T953" s="1665" t="n"/>
      <c r="U953" s="1665" t="n"/>
      <c r="V953" s="1665" t="n"/>
      <c r="W953" s="1665" t="n"/>
      <c r="X953" s="1665" t="n"/>
      <c r="Y953" s="1665" t="n"/>
      <c r="Z953" s="1665" t="n"/>
    </row>
    <row r="954" ht="15.75" customHeight="1" s="1666">
      <c r="K954" s="1665" t="n"/>
      <c r="L954" s="1665" t="n"/>
      <c r="M954" s="1665" t="n"/>
      <c r="N954" s="1665" t="n"/>
      <c r="O954" s="1665" t="n"/>
      <c r="P954" s="1665" t="n"/>
      <c r="Q954" s="1665" t="n"/>
      <c r="R954" s="1665" t="n"/>
      <c r="S954" s="1665" t="n"/>
      <c r="T954" s="1665" t="n"/>
      <c r="U954" s="1665" t="n"/>
      <c r="V954" s="1665" t="n"/>
      <c r="W954" s="1665" t="n"/>
      <c r="X954" s="1665" t="n"/>
      <c r="Y954" s="1665" t="n"/>
      <c r="Z954" s="1665" t="n"/>
    </row>
    <row r="955" ht="15.75" customHeight="1" s="1666">
      <c r="K955" s="1665" t="n"/>
      <c r="L955" s="1665" t="n"/>
      <c r="M955" s="1665" t="n"/>
      <c r="N955" s="1665" t="n"/>
      <c r="O955" s="1665" t="n"/>
      <c r="P955" s="1665" t="n"/>
      <c r="Q955" s="1665" t="n"/>
      <c r="R955" s="1665" t="n"/>
      <c r="S955" s="1665" t="n"/>
      <c r="T955" s="1665" t="n"/>
      <c r="U955" s="1665" t="n"/>
      <c r="V955" s="1665" t="n"/>
      <c r="W955" s="1665" t="n"/>
      <c r="X955" s="1665" t="n"/>
      <c r="Y955" s="1665" t="n"/>
      <c r="Z955" s="1665" t="n"/>
    </row>
    <row r="956" ht="15.75" customHeight="1" s="1666">
      <c r="K956" s="1665" t="n"/>
      <c r="L956" s="1665" t="n"/>
      <c r="M956" s="1665" t="n"/>
      <c r="N956" s="1665" t="n"/>
      <c r="O956" s="1665" t="n"/>
      <c r="P956" s="1665" t="n"/>
      <c r="Q956" s="1665" t="n"/>
      <c r="R956" s="1665" t="n"/>
      <c r="S956" s="1665" t="n"/>
      <c r="T956" s="1665" t="n"/>
      <c r="U956" s="1665" t="n"/>
      <c r="V956" s="1665" t="n"/>
      <c r="W956" s="1665" t="n"/>
      <c r="X956" s="1665" t="n"/>
      <c r="Y956" s="1665" t="n"/>
      <c r="Z956" s="1665" t="n"/>
    </row>
    <row r="957" ht="15.75" customHeight="1" s="1666">
      <c r="K957" s="1665" t="n"/>
      <c r="L957" s="1665" t="n"/>
      <c r="M957" s="1665" t="n"/>
      <c r="N957" s="1665" t="n"/>
      <c r="O957" s="1665" t="n"/>
      <c r="P957" s="1665" t="n"/>
      <c r="Q957" s="1665" t="n"/>
      <c r="R957" s="1665" t="n"/>
      <c r="S957" s="1665" t="n"/>
      <c r="T957" s="1665" t="n"/>
      <c r="U957" s="1665" t="n"/>
      <c r="V957" s="1665" t="n"/>
      <c r="W957" s="1665" t="n"/>
      <c r="X957" s="1665" t="n"/>
      <c r="Y957" s="1665" t="n"/>
      <c r="Z957" s="1665" t="n"/>
    </row>
    <row r="958" ht="15.75" customHeight="1" s="1666">
      <c r="K958" s="1665" t="n"/>
      <c r="L958" s="1665" t="n"/>
      <c r="M958" s="1665" t="n"/>
      <c r="N958" s="1665" t="n"/>
      <c r="O958" s="1665" t="n"/>
      <c r="P958" s="1665" t="n"/>
      <c r="Q958" s="1665" t="n"/>
      <c r="R958" s="1665" t="n"/>
      <c r="S958" s="1665" t="n"/>
      <c r="T958" s="1665" t="n"/>
      <c r="U958" s="1665" t="n"/>
      <c r="V958" s="1665" t="n"/>
      <c r="W958" s="1665" t="n"/>
      <c r="X958" s="1665" t="n"/>
      <c r="Y958" s="1665" t="n"/>
      <c r="Z958" s="1665" t="n"/>
    </row>
    <row r="959" ht="15.75" customHeight="1" s="1666">
      <c r="K959" s="1665" t="n"/>
      <c r="L959" s="1665" t="n"/>
      <c r="M959" s="1665" t="n"/>
      <c r="N959" s="1665" t="n"/>
      <c r="O959" s="1665" t="n"/>
      <c r="P959" s="1665" t="n"/>
      <c r="Q959" s="1665" t="n"/>
      <c r="R959" s="1665" t="n"/>
      <c r="S959" s="1665" t="n"/>
      <c r="T959" s="1665" t="n"/>
      <c r="U959" s="1665" t="n"/>
      <c r="V959" s="1665" t="n"/>
      <c r="W959" s="1665" t="n"/>
      <c r="X959" s="1665" t="n"/>
      <c r="Y959" s="1665" t="n"/>
      <c r="Z959" s="1665" t="n"/>
    </row>
    <row r="960" ht="15.75" customHeight="1" s="1666">
      <c r="K960" s="1665" t="n"/>
      <c r="L960" s="1665" t="n"/>
      <c r="M960" s="1665" t="n"/>
      <c r="N960" s="1665" t="n"/>
      <c r="O960" s="1665" t="n"/>
      <c r="P960" s="1665" t="n"/>
      <c r="Q960" s="1665" t="n"/>
      <c r="R960" s="1665" t="n"/>
      <c r="S960" s="1665" t="n"/>
      <c r="T960" s="1665" t="n"/>
      <c r="U960" s="1665" t="n"/>
      <c r="V960" s="1665" t="n"/>
      <c r="W960" s="1665" t="n"/>
      <c r="X960" s="1665" t="n"/>
      <c r="Y960" s="1665" t="n"/>
      <c r="Z960" s="1665" t="n"/>
    </row>
    <row r="961" ht="15.75" customHeight="1" s="1666">
      <c r="K961" s="1665" t="n"/>
      <c r="L961" s="1665" t="n"/>
      <c r="M961" s="1665" t="n"/>
      <c r="N961" s="1665" t="n"/>
      <c r="O961" s="1665" t="n"/>
      <c r="P961" s="1665" t="n"/>
      <c r="Q961" s="1665" t="n"/>
      <c r="R961" s="1665" t="n"/>
      <c r="S961" s="1665" t="n"/>
      <c r="T961" s="1665" t="n"/>
      <c r="U961" s="1665" t="n"/>
      <c r="V961" s="1665" t="n"/>
      <c r="W961" s="1665" t="n"/>
      <c r="X961" s="1665" t="n"/>
      <c r="Y961" s="1665" t="n"/>
      <c r="Z961" s="1665" t="n"/>
    </row>
    <row r="962" ht="15.75" customHeight="1" s="1666">
      <c r="K962" s="1665" t="n"/>
      <c r="L962" s="1665" t="n"/>
      <c r="M962" s="1665" t="n"/>
      <c r="N962" s="1665" t="n"/>
      <c r="O962" s="1665" t="n"/>
      <c r="P962" s="1665" t="n"/>
      <c r="Q962" s="1665" t="n"/>
      <c r="R962" s="1665" t="n"/>
      <c r="S962" s="1665" t="n"/>
      <c r="T962" s="1665" t="n"/>
      <c r="U962" s="1665" t="n"/>
      <c r="V962" s="1665" t="n"/>
      <c r="W962" s="1665" t="n"/>
      <c r="X962" s="1665" t="n"/>
      <c r="Y962" s="1665" t="n"/>
      <c r="Z962" s="1665" t="n"/>
    </row>
    <row r="963" ht="15.75" customHeight="1" s="1666">
      <c r="K963" s="1665" t="n"/>
      <c r="L963" s="1665" t="n"/>
      <c r="M963" s="1665" t="n"/>
      <c r="N963" s="1665" t="n"/>
      <c r="O963" s="1665" t="n"/>
      <c r="P963" s="1665" t="n"/>
      <c r="Q963" s="1665" t="n"/>
      <c r="R963" s="1665" t="n"/>
      <c r="S963" s="1665" t="n"/>
      <c r="T963" s="1665" t="n"/>
      <c r="U963" s="1665" t="n"/>
      <c r="V963" s="1665" t="n"/>
      <c r="W963" s="1665" t="n"/>
      <c r="X963" s="1665" t="n"/>
      <c r="Y963" s="1665" t="n"/>
      <c r="Z963" s="1665" t="n"/>
    </row>
    <row r="964" ht="15.75" customHeight="1" s="1666">
      <c r="K964" s="1665" t="n"/>
      <c r="L964" s="1665" t="n"/>
      <c r="M964" s="1665" t="n"/>
      <c r="N964" s="1665" t="n"/>
      <c r="O964" s="1665" t="n"/>
      <c r="P964" s="1665" t="n"/>
      <c r="Q964" s="1665" t="n"/>
      <c r="R964" s="1665" t="n"/>
      <c r="S964" s="1665" t="n"/>
      <c r="T964" s="1665" t="n"/>
      <c r="U964" s="1665" t="n"/>
      <c r="V964" s="1665" t="n"/>
      <c r="W964" s="1665" t="n"/>
      <c r="X964" s="1665" t="n"/>
      <c r="Y964" s="1665" t="n"/>
      <c r="Z964" s="1665" t="n"/>
    </row>
    <row r="965" ht="15.75" customHeight="1" s="1666">
      <c r="K965" s="1665" t="n"/>
      <c r="L965" s="1665" t="n"/>
      <c r="M965" s="1665" t="n"/>
      <c r="N965" s="1665" t="n"/>
      <c r="O965" s="1665" t="n"/>
      <c r="P965" s="1665" t="n"/>
      <c r="Q965" s="1665" t="n"/>
      <c r="R965" s="1665" t="n"/>
      <c r="S965" s="1665" t="n"/>
      <c r="T965" s="1665" t="n"/>
      <c r="U965" s="1665" t="n"/>
      <c r="V965" s="1665" t="n"/>
      <c r="W965" s="1665" t="n"/>
      <c r="X965" s="1665" t="n"/>
      <c r="Y965" s="1665" t="n"/>
      <c r="Z965" s="1665" t="n"/>
    </row>
    <row r="966" ht="15.75" customHeight="1" s="1666">
      <c r="K966" s="1665" t="n"/>
      <c r="L966" s="1665" t="n"/>
      <c r="M966" s="1665" t="n"/>
      <c r="N966" s="1665" t="n"/>
      <c r="O966" s="1665" t="n"/>
      <c r="P966" s="1665" t="n"/>
      <c r="Q966" s="1665" t="n"/>
      <c r="R966" s="1665" t="n"/>
      <c r="S966" s="1665" t="n"/>
      <c r="T966" s="1665" t="n"/>
      <c r="U966" s="1665" t="n"/>
      <c r="V966" s="1665" t="n"/>
      <c r="W966" s="1665" t="n"/>
      <c r="X966" s="1665" t="n"/>
      <c r="Y966" s="1665" t="n"/>
      <c r="Z966" s="1665" t="n"/>
    </row>
    <row r="967" ht="15.75" customHeight="1" s="1666">
      <c r="K967" s="1665" t="n"/>
      <c r="L967" s="1665" t="n"/>
      <c r="M967" s="1665" t="n"/>
      <c r="N967" s="1665" t="n"/>
      <c r="O967" s="1665" t="n"/>
      <c r="P967" s="1665" t="n"/>
      <c r="Q967" s="1665" t="n"/>
      <c r="R967" s="1665" t="n"/>
      <c r="S967" s="1665" t="n"/>
      <c r="T967" s="1665" t="n"/>
      <c r="U967" s="1665" t="n"/>
      <c r="V967" s="1665" t="n"/>
      <c r="W967" s="1665" t="n"/>
      <c r="X967" s="1665" t="n"/>
      <c r="Y967" s="1665" t="n"/>
      <c r="Z967" s="1665" t="n"/>
    </row>
    <row r="968" ht="15.75" customHeight="1" s="1666">
      <c r="K968" s="1665" t="n"/>
      <c r="L968" s="1665" t="n"/>
      <c r="M968" s="1665" t="n"/>
      <c r="N968" s="1665" t="n"/>
      <c r="O968" s="1665" t="n"/>
      <c r="P968" s="1665" t="n"/>
      <c r="Q968" s="1665" t="n"/>
      <c r="R968" s="1665" t="n"/>
      <c r="S968" s="1665" t="n"/>
      <c r="T968" s="1665" t="n"/>
      <c r="U968" s="1665" t="n"/>
      <c r="V968" s="1665" t="n"/>
      <c r="W968" s="1665" t="n"/>
      <c r="X968" s="1665" t="n"/>
      <c r="Y968" s="1665" t="n"/>
      <c r="Z968" s="1665" t="n"/>
    </row>
    <row r="969" ht="15.75" customHeight="1" s="1666">
      <c r="K969" s="1665" t="n"/>
      <c r="L969" s="1665" t="n"/>
      <c r="M969" s="1665" t="n"/>
      <c r="N969" s="1665" t="n"/>
      <c r="O969" s="1665" t="n"/>
      <c r="P969" s="1665" t="n"/>
      <c r="Q969" s="1665" t="n"/>
      <c r="R969" s="1665" t="n"/>
      <c r="S969" s="1665" t="n"/>
      <c r="T969" s="1665" t="n"/>
      <c r="U969" s="1665" t="n"/>
      <c r="V969" s="1665" t="n"/>
      <c r="W969" s="1665" t="n"/>
      <c r="X969" s="1665" t="n"/>
      <c r="Y969" s="1665" t="n"/>
      <c r="Z969" s="1665" t="n"/>
    </row>
    <row r="970" ht="15.75" customHeight="1" s="1666">
      <c r="K970" s="1665" t="n"/>
      <c r="L970" s="1665" t="n"/>
      <c r="M970" s="1665" t="n"/>
      <c r="N970" s="1665" t="n"/>
      <c r="O970" s="1665" t="n"/>
      <c r="P970" s="1665" t="n"/>
      <c r="Q970" s="1665" t="n"/>
      <c r="R970" s="1665" t="n"/>
      <c r="S970" s="1665" t="n"/>
      <c r="T970" s="1665" t="n"/>
      <c r="U970" s="1665" t="n"/>
      <c r="V970" s="1665" t="n"/>
      <c r="W970" s="1665" t="n"/>
      <c r="X970" s="1665" t="n"/>
      <c r="Y970" s="1665" t="n"/>
      <c r="Z970" s="1665" t="n"/>
    </row>
    <row r="971" ht="15.75" customHeight="1" s="1666">
      <c r="K971" s="1665" t="n"/>
      <c r="L971" s="1665" t="n"/>
      <c r="M971" s="1665" t="n"/>
      <c r="N971" s="1665" t="n"/>
      <c r="O971" s="1665" t="n"/>
      <c r="P971" s="1665" t="n"/>
      <c r="Q971" s="1665" t="n"/>
      <c r="R971" s="1665" t="n"/>
      <c r="S971" s="1665" t="n"/>
      <c r="T971" s="1665" t="n"/>
      <c r="U971" s="1665" t="n"/>
      <c r="V971" s="1665" t="n"/>
      <c r="W971" s="1665" t="n"/>
      <c r="X971" s="1665" t="n"/>
      <c r="Y971" s="1665" t="n"/>
      <c r="Z971" s="1665" t="n"/>
    </row>
    <row r="972" ht="15.75" customHeight="1" s="1666">
      <c r="K972" s="1665" t="n"/>
      <c r="L972" s="1665" t="n"/>
      <c r="M972" s="1665" t="n"/>
      <c r="N972" s="1665" t="n"/>
      <c r="O972" s="1665" t="n"/>
      <c r="P972" s="1665" t="n"/>
      <c r="Q972" s="1665" t="n"/>
      <c r="R972" s="1665" t="n"/>
      <c r="S972" s="1665" t="n"/>
      <c r="T972" s="1665" t="n"/>
      <c r="U972" s="1665" t="n"/>
      <c r="V972" s="1665" t="n"/>
      <c r="W972" s="1665" t="n"/>
      <c r="X972" s="1665" t="n"/>
      <c r="Y972" s="1665" t="n"/>
      <c r="Z972" s="1665" t="n"/>
    </row>
    <row r="973" ht="15.75" customHeight="1" s="1666">
      <c r="K973" s="1665" t="n"/>
      <c r="L973" s="1665" t="n"/>
      <c r="M973" s="1665" t="n"/>
      <c r="N973" s="1665" t="n"/>
      <c r="O973" s="1665" t="n"/>
      <c r="P973" s="1665" t="n"/>
      <c r="Q973" s="1665" t="n"/>
      <c r="R973" s="1665" t="n"/>
      <c r="S973" s="1665" t="n"/>
      <c r="T973" s="1665" t="n"/>
      <c r="U973" s="1665" t="n"/>
      <c r="V973" s="1665" t="n"/>
      <c r="W973" s="1665" t="n"/>
      <c r="X973" s="1665" t="n"/>
      <c r="Y973" s="1665" t="n"/>
      <c r="Z973" s="1665" t="n"/>
    </row>
    <row r="974" ht="15.75" customHeight="1" s="1666">
      <c r="K974" s="1665" t="n"/>
      <c r="L974" s="1665" t="n"/>
      <c r="M974" s="1665" t="n"/>
      <c r="N974" s="1665" t="n"/>
      <c r="O974" s="1665" t="n"/>
      <c r="P974" s="1665" t="n"/>
      <c r="Q974" s="1665" t="n"/>
      <c r="R974" s="1665" t="n"/>
      <c r="S974" s="1665" t="n"/>
      <c r="T974" s="1665" t="n"/>
      <c r="U974" s="1665" t="n"/>
      <c r="V974" s="1665" t="n"/>
      <c r="W974" s="1665" t="n"/>
      <c r="X974" s="1665" t="n"/>
      <c r="Y974" s="1665" t="n"/>
      <c r="Z974" s="1665" t="n"/>
    </row>
    <row r="975" ht="15.75" customHeight="1" s="1666">
      <c r="K975" s="1665" t="n"/>
      <c r="L975" s="1665" t="n"/>
      <c r="M975" s="1665" t="n"/>
      <c r="N975" s="1665" t="n"/>
      <c r="O975" s="1665" t="n"/>
      <c r="P975" s="1665" t="n"/>
      <c r="Q975" s="1665" t="n"/>
      <c r="R975" s="1665" t="n"/>
      <c r="S975" s="1665" t="n"/>
      <c r="T975" s="1665" t="n"/>
      <c r="U975" s="1665" t="n"/>
      <c r="V975" s="1665" t="n"/>
      <c r="W975" s="1665" t="n"/>
      <c r="X975" s="1665" t="n"/>
      <c r="Y975" s="1665" t="n"/>
      <c r="Z975" s="1665" t="n"/>
    </row>
    <row r="976" ht="15.75" customHeight="1" s="1666">
      <c r="K976" s="1665" t="n"/>
      <c r="L976" s="1665" t="n"/>
      <c r="M976" s="1665" t="n"/>
      <c r="N976" s="1665" t="n"/>
      <c r="O976" s="1665" t="n"/>
      <c r="P976" s="1665" t="n"/>
      <c r="Q976" s="1665" t="n"/>
      <c r="R976" s="1665" t="n"/>
      <c r="S976" s="1665" t="n"/>
      <c r="T976" s="1665" t="n"/>
      <c r="U976" s="1665" t="n"/>
      <c r="V976" s="1665" t="n"/>
      <c r="W976" s="1665" t="n"/>
      <c r="X976" s="1665" t="n"/>
      <c r="Y976" s="1665" t="n"/>
      <c r="Z976" s="1665" t="n"/>
    </row>
    <row r="977" ht="15.75" customHeight="1" s="1666">
      <c r="K977" s="1665" t="n"/>
      <c r="L977" s="1665" t="n"/>
      <c r="M977" s="1665" t="n"/>
      <c r="N977" s="1665" t="n"/>
      <c r="O977" s="1665" t="n"/>
      <c r="P977" s="1665" t="n"/>
      <c r="Q977" s="1665" t="n"/>
      <c r="R977" s="1665" t="n"/>
      <c r="S977" s="1665" t="n"/>
      <c r="T977" s="1665" t="n"/>
      <c r="U977" s="1665" t="n"/>
      <c r="V977" s="1665" t="n"/>
      <c r="W977" s="1665" t="n"/>
      <c r="X977" s="1665" t="n"/>
      <c r="Y977" s="1665" t="n"/>
      <c r="Z977" s="1665" t="n"/>
    </row>
    <row r="978" ht="15.75" customHeight="1" s="1666">
      <c r="K978" s="1665" t="n"/>
      <c r="L978" s="1665" t="n"/>
      <c r="M978" s="1665" t="n"/>
      <c r="N978" s="1665" t="n"/>
      <c r="O978" s="1665" t="n"/>
      <c r="P978" s="1665" t="n"/>
      <c r="Q978" s="1665" t="n"/>
      <c r="R978" s="1665" t="n"/>
      <c r="S978" s="1665" t="n"/>
      <c r="T978" s="1665" t="n"/>
      <c r="U978" s="1665" t="n"/>
      <c r="V978" s="1665" t="n"/>
      <c r="W978" s="1665" t="n"/>
      <c r="X978" s="1665" t="n"/>
      <c r="Y978" s="1665" t="n"/>
      <c r="Z978" s="1665" t="n"/>
    </row>
    <row r="979" ht="15.75" customHeight="1" s="1666">
      <c r="K979" s="1665" t="n"/>
      <c r="L979" s="1665" t="n"/>
      <c r="M979" s="1665" t="n"/>
      <c r="N979" s="1665" t="n"/>
      <c r="O979" s="1665" t="n"/>
      <c r="P979" s="1665" t="n"/>
      <c r="Q979" s="1665" t="n"/>
      <c r="R979" s="1665" t="n"/>
      <c r="S979" s="1665" t="n"/>
      <c r="T979" s="1665" t="n"/>
      <c r="U979" s="1665" t="n"/>
      <c r="V979" s="1665" t="n"/>
      <c r="W979" s="1665" t="n"/>
      <c r="X979" s="1665" t="n"/>
      <c r="Y979" s="1665" t="n"/>
      <c r="Z979" s="1665" t="n"/>
    </row>
    <row r="980" ht="15.75" customHeight="1" s="1666">
      <c r="K980" s="1665" t="n"/>
      <c r="L980" s="1665" t="n"/>
      <c r="M980" s="1665" t="n"/>
      <c r="N980" s="1665" t="n"/>
      <c r="O980" s="1665" t="n"/>
      <c r="P980" s="1665" t="n"/>
      <c r="Q980" s="1665" t="n"/>
      <c r="R980" s="1665" t="n"/>
      <c r="S980" s="1665" t="n"/>
      <c r="T980" s="1665" t="n"/>
      <c r="U980" s="1665" t="n"/>
      <c r="V980" s="1665" t="n"/>
      <c r="W980" s="1665" t="n"/>
      <c r="X980" s="1665" t="n"/>
      <c r="Y980" s="1665" t="n"/>
      <c r="Z980" s="1665" t="n"/>
    </row>
    <row r="981" ht="15.75" customHeight="1" s="1666">
      <c r="K981" s="1665" t="n"/>
      <c r="L981" s="1665" t="n"/>
      <c r="M981" s="1665" t="n"/>
      <c r="N981" s="1665" t="n"/>
      <c r="O981" s="1665" t="n"/>
      <c r="P981" s="1665" t="n"/>
      <c r="Q981" s="1665" t="n"/>
      <c r="R981" s="1665" t="n"/>
      <c r="S981" s="1665" t="n"/>
      <c r="T981" s="1665" t="n"/>
      <c r="U981" s="1665" t="n"/>
      <c r="V981" s="1665" t="n"/>
      <c r="W981" s="1665" t="n"/>
      <c r="X981" s="1665" t="n"/>
      <c r="Y981" s="1665" t="n"/>
      <c r="Z981" s="1665" t="n"/>
    </row>
    <row r="982" ht="15.75" customHeight="1" s="1666">
      <c r="K982" s="1665" t="n"/>
      <c r="L982" s="1665" t="n"/>
      <c r="M982" s="1665" t="n"/>
      <c r="N982" s="1665" t="n"/>
      <c r="O982" s="1665" t="n"/>
      <c r="P982" s="1665" t="n"/>
      <c r="Q982" s="1665" t="n"/>
      <c r="R982" s="1665" t="n"/>
      <c r="S982" s="1665" t="n"/>
      <c r="T982" s="1665" t="n"/>
      <c r="U982" s="1665" t="n"/>
      <c r="V982" s="1665" t="n"/>
      <c r="W982" s="1665" t="n"/>
      <c r="X982" s="1665" t="n"/>
      <c r="Y982" s="1665" t="n"/>
      <c r="Z982" s="1665" t="n"/>
    </row>
    <row r="983" ht="15.75" customHeight="1" s="1666">
      <c r="K983" s="1665" t="n"/>
      <c r="L983" s="1665" t="n"/>
      <c r="M983" s="1665" t="n"/>
      <c r="N983" s="1665" t="n"/>
      <c r="O983" s="1665" t="n"/>
      <c r="P983" s="1665" t="n"/>
      <c r="Q983" s="1665" t="n"/>
      <c r="R983" s="1665" t="n"/>
      <c r="S983" s="1665" t="n"/>
      <c r="T983" s="1665" t="n"/>
      <c r="U983" s="1665" t="n"/>
      <c r="V983" s="1665" t="n"/>
      <c r="W983" s="1665" t="n"/>
      <c r="X983" s="1665" t="n"/>
      <c r="Y983" s="1665" t="n"/>
      <c r="Z983" s="1665" t="n"/>
    </row>
    <row r="984" ht="15.75" customHeight="1" s="1666">
      <c r="K984" s="1665" t="n"/>
      <c r="L984" s="1665" t="n"/>
      <c r="M984" s="1665" t="n"/>
      <c r="N984" s="1665" t="n"/>
      <c r="O984" s="1665" t="n"/>
      <c r="P984" s="1665" t="n"/>
      <c r="Q984" s="1665" t="n"/>
      <c r="R984" s="1665" t="n"/>
      <c r="S984" s="1665" t="n"/>
      <c r="T984" s="1665" t="n"/>
      <c r="U984" s="1665" t="n"/>
      <c r="V984" s="1665" t="n"/>
      <c r="W984" s="1665" t="n"/>
      <c r="X984" s="1665" t="n"/>
      <c r="Y984" s="1665" t="n"/>
      <c r="Z984" s="1665" t="n"/>
    </row>
    <row r="985" ht="15.75" customHeight="1" s="1666">
      <c r="K985" s="1665" t="n"/>
      <c r="L985" s="1665" t="n"/>
      <c r="M985" s="1665" t="n"/>
      <c r="N985" s="1665" t="n"/>
      <c r="O985" s="1665" t="n"/>
      <c r="P985" s="1665" t="n"/>
      <c r="Q985" s="1665" t="n"/>
      <c r="R985" s="1665" t="n"/>
      <c r="S985" s="1665" t="n"/>
      <c r="T985" s="1665" t="n"/>
      <c r="U985" s="1665" t="n"/>
      <c r="V985" s="1665" t="n"/>
      <c r="W985" s="1665" t="n"/>
      <c r="X985" s="1665" t="n"/>
      <c r="Y985" s="1665" t="n"/>
      <c r="Z985" s="1665" t="n"/>
    </row>
    <row r="986" ht="15.75" customHeight="1" s="1666">
      <c r="K986" s="1665" t="n"/>
      <c r="L986" s="1665" t="n"/>
      <c r="M986" s="1665" t="n"/>
      <c r="N986" s="1665" t="n"/>
      <c r="O986" s="1665" t="n"/>
      <c r="P986" s="1665" t="n"/>
      <c r="Q986" s="1665" t="n"/>
      <c r="R986" s="1665" t="n"/>
      <c r="S986" s="1665" t="n"/>
      <c r="T986" s="1665" t="n"/>
      <c r="U986" s="1665" t="n"/>
      <c r="V986" s="1665" t="n"/>
      <c r="W986" s="1665" t="n"/>
      <c r="X986" s="1665" t="n"/>
      <c r="Y986" s="1665" t="n"/>
      <c r="Z986" s="1665" t="n"/>
    </row>
    <row r="987" ht="15.75" customHeight="1" s="1666">
      <c r="K987" s="1665" t="n"/>
      <c r="L987" s="1665" t="n"/>
      <c r="M987" s="1665" t="n"/>
      <c r="N987" s="1665" t="n"/>
      <c r="O987" s="1665" t="n"/>
      <c r="P987" s="1665" t="n"/>
      <c r="Q987" s="1665" t="n"/>
      <c r="R987" s="1665" t="n"/>
      <c r="S987" s="1665" t="n"/>
      <c r="T987" s="1665" t="n"/>
      <c r="U987" s="1665" t="n"/>
      <c r="V987" s="1665" t="n"/>
      <c r="W987" s="1665" t="n"/>
      <c r="X987" s="1665" t="n"/>
      <c r="Y987" s="1665" t="n"/>
      <c r="Z987" s="1665" t="n"/>
    </row>
    <row r="988" ht="15.75" customHeight="1" s="1666">
      <c r="K988" s="1665" t="n"/>
      <c r="L988" s="1665" t="n"/>
      <c r="M988" s="1665" t="n"/>
      <c r="N988" s="1665" t="n"/>
      <c r="O988" s="1665" t="n"/>
      <c r="P988" s="1665" t="n"/>
      <c r="Q988" s="1665" t="n"/>
      <c r="R988" s="1665" t="n"/>
      <c r="S988" s="1665" t="n"/>
      <c r="T988" s="1665" t="n"/>
      <c r="U988" s="1665" t="n"/>
      <c r="V988" s="1665" t="n"/>
      <c r="W988" s="1665" t="n"/>
      <c r="X988" s="1665" t="n"/>
      <c r="Y988" s="1665" t="n"/>
      <c r="Z988" s="1665" t="n"/>
    </row>
    <row r="989" ht="15.75" customHeight="1" s="1666">
      <c r="K989" s="1665" t="n"/>
      <c r="L989" s="1665" t="n"/>
      <c r="M989" s="1665" t="n"/>
      <c r="N989" s="1665" t="n"/>
      <c r="O989" s="1665" t="n"/>
      <c r="P989" s="1665" t="n"/>
      <c r="Q989" s="1665" t="n"/>
      <c r="R989" s="1665" t="n"/>
      <c r="S989" s="1665" t="n"/>
      <c r="T989" s="1665" t="n"/>
      <c r="U989" s="1665" t="n"/>
      <c r="V989" s="1665" t="n"/>
      <c r="W989" s="1665" t="n"/>
      <c r="X989" s="1665" t="n"/>
      <c r="Y989" s="1665" t="n"/>
      <c r="Z989" s="1665" t="n"/>
    </row>
    <row r="990" ht="15.75" customHeight="1" s="1666">
      <c r="K990" s="1665" t="n"/>
      <c r="L990" s="1665" t="n"/>
      <c r="M990" s="1665" t="n"/>
      <c r="N990" s="1665" t="n"/>
      <c r="O990" s="1665" t="n"/>
      <c r="P990" s="1665" t="n"/>
      <c r="Q990" s="1665" t="n"/>
      <c r="R990" s="1665" t="n"/>
      <c r="S990" s="1665" t="n"/>
      <c r="T990" s="1665" t="n"/>
      <c r="U990" s="1665" t="n"/>
      <c r="V990" s="1665" t="n"/>
      <c r="W990" s="1665" t="n"/>
      <c r="X990" s="1665" t="n"/>
      <c r="Y990" s="1665" t="n"/>
      <c r="Z990" s="1665" t="n"/>
    </row>
    <row r="991" ht="15.75" customHeight="1" s="1666">
      <c r="K991" s="1665" t="n"/>
      <c r="L991" s="1665" t="n"/>
      <c r="M991" s="1665" t="n"/>
      <c r="N991" s="1665" t="n"/>
      <c r="O991" s="1665" t="n"/>
      <c r="P991" s="1665" t="n"/>
      <c r="Q991" s="1665" t="n"/>
      <c r="R991" s="1665" t="n"/>
      <c r="S991" s="1665" t="n"/>
      <c r="T991" s="1665" t="n"/>
      <c r="U991" s="1665" t="n"/>
      <c r="V991" s="1665" t="n"/>
      <c r="W991" s="1665" t="n"/>
      <c r="X991" s="1665" t="n"/>
      <c r="Y991" s="1665" t="n"/>
      <c r="Z991" s="1665" t="n"/>
    </row>
    <row r="992" ht="15.75" customHeight="1" s="1666">
      <c r="K992" s="1665" t="n"/>
      <c r="L992" s="1665" t="n"/>
      <c r="M992" s="1665" t="n"/>
      <c r="N992" s="1665" t="n"/>
      <c r="O992" s="1665" t="n"/>
      <c r="P992" s="1665" t="n"/>
      <c r="Q992" s="1665" t="n"/>
      <c r="R992" s="1665" t="n"/>
      <c r="S992" s="1665" t="n"/>
      <c r="T992" s="1665" t="n"/>
      <c r="U992" s="1665" t="n"/>
      <c r="V992" s="1665" t="n"/>
      <c r="W992" s="1665" t="n"/>
      <c r="X992" s="1665" t="n"/>
      <c r="Y992" s="1665" t="n"/>
      <c r="Z992" s="1665" t="n"/>
    </row>
    <row r="993" ht="15.75" customHeight="1" s="1666">
      <c r="K993" s="1665" t="n"/>
      <c r="L993" s="1665" t="n"/>
      <c r="M993" s="1665" t="n"/>
      <c r="N993" s="1665" t="n"/>
      <c r="O993" s="1665" t="n"/>
      <c r="P993" s="1665" t="n"/>
      <c r="Q993" s="1665" t="n"/>
      <c r="R993" s="1665" t="n"/>
      <c r="S993" s="1665" t="n"/>
      <c r="T993" s="1665" t="n"/>
      <c r="U993" s="1665" t="n"/>
      <c r="V993" s="1665" t="n"/>
      <c r="W993" s="1665" t="n"/>
      <c r="X993" s="1665" t="n"/>
      <c r="Y993" s="1665" t="n"/>
      <c r="Z993" s="1665" t="n"/>
    </row>
    <row r="994" ht="15.75" customHeight="1" s="1666">
      <c r="K994" s="1665" t="n"/>
      <c r="L994" s="1665" t="n"/>
      <c r="M994" s="1665" t="n"/>
      <c r="N994" s="1665" t="n"/>
      <c r="O994" s="1665" t="n"/>
      <c r="P994" s="1665" t="n"/>
      <c r="Q994" s="1665" t="n"/>
      <c r="R994" s="1665" t="n"/>
      <c r="S994" s="1665" t="n"/>
      <c r="T994" s="1665" t="n"/>
      <c r="U994" s="1665" t="n"/>
      <c r="V994" s="1665" t="n"/>
      <c r="W994" s="1665" t="n"/>
      <c r="X994" s="1665" t="n"/>
      <c r="Y994" s="1665" t="n"/>
      <c r="Z994" s="1665" t="n"/>
    </row>
    <row r="995" ht="15.75" customHeight="1" s="1666">
      <c r="K995" s="1665" t="n"/>
      <c r="L995" s="1665" t="n"/>
      <c r="M995" s="1665" t="n"/>
      <c r="N995" s="1665" t="n"/>
      <c r="O995" s="1665" t="n"/>
      <c r="P995" s="1665" t="n"/>
      <c r="Q995" s="1665" t="n"/>
      <c r="R995" s="1665" t="n"/>
      <c r="S995" s="1665" t="n"/>
      <c r="T995" s="1665" t="n"/>
      <c r="U995" s="1665" t="n"/>
      <c r="V995" s="1665" t="n"/>
      <c r="W995" s="1665" t="n"/>
      <c r="X995" s="1665" t="n"/>
      <c r="Y995" s="1665" t="n"/>
      <c r="Z995" s="1665" t="n"/>
    </row>
    <row r="996" ht="15.75" customHeight="1" s="1666">
      <c r="K996" s="1665" t="n"/>
      <c r="L996" s="1665" t="n"/>
      <c r="M996" s="1665" t="n"/>
      <c r="N996" s="1665" t="n"/>
      <c r="O996" s="1665" t="n"/>
      <c r="P996" s="1665" t="n"/>
      <c r="Q996" s="1665" t="n"/>
      <c r="R996" s="1665" t="n"/>
      <c r="S996" s="1665" t="n"/>
      <c r="T996" s="1665" t="n"/>
      <c r="U996" s="1665" t="n"/>
      <c r="V996" s="1665" t="n"/>
      <c r="W996" s="1665" t="n"/>
      <c r="X996" s="1665" t="n"/>
      <c r="Y996" s="1665" t="n"/>
      <c r="Z996" s="1665" t="n"/>
    </row>
    <row r="997" ht="15.75" customHeight="1" s="1666">
      <c r="K997" s="1665" t="n"/>
      <c r="L997" s="1665" t="n"/>
      <c r="M997" s="1665" t="n"/>
      <c r="N997" s="1665" t="n"/>
      <c r="O997" s="1665" t="n"/>
      <c r="P997" s="1665" t="n"/>
      <c r="Q997" s="1665" t="n"/>
      <c r="R997" s="1665" t="n"/>
      <c r="S997" s="1665" t="n"/>
      <c r="T997" s="1665" t="n"/>
      <c r="U997" s="1665" t="n"/>
      <c r="V997" s="1665" t="n"/>
      <c r="W997" s="1665" t="n"/>
      <c r="X997" s="1665" t="n"/>
      <c r="Y997" s="1665" t="n"/>
      <c r="Z997" s="1665" t="n"/>
    </row>
    <row r="998" ht="15.75" customHeight="1" s="1666">
      <c r="K998" s="1665" t="n"/>
      <c r="L998" s="1665" t="n"/>
      <c r="M998" s="1665" t="n"/>
      <c r="N998" s="1665" t="n"/>
      <c r="O998" s="1665" t="n"/>
      <c r="P998" s="1665" t="n"/>
      <c r="Q998" s="1665" t="n"/>
      <c r="R998" s="1665" t="n"/>
      <c r="S998" s="1665" t="n"/>
      <c r="T998" s="1665" t="n"/>
      <c r="U998" s="1665" t="n"/>
      <c r="V998" s="1665" t="n"/>
      <c r="W998" s="1665" t="n"/>
      <c r="X998" s="1665" t="n"/>
      <c r="Y998" s="1665" t="n"/>
      <c r="Z998" s="1665" t="n"/>
    </row>
    <row r="999" ht="15.75" customHeight="1" s="1666">
      <c r="K999" s="1665" t="n"/>
      <c r="L999" s="1665" t="n"/>
      <c r="M999" s="1665" t="n"/>
      <c r="N999" s="1665" t="n"/>
      <c r="O999" s="1665" t="n"/>
      <c r="P999" s="1665" t="n"/>
      <c r="Q999" s="1665" t="n"/>
      <c r="R999" s="1665" t="n"/>
      <c r="S999" s="1665" t="n"/>
      <c r="T999" s="1665" t="n"/>
      <c r="U999" s="1665" t="n"/>
      <c r="V999" s="1665" t="n"/>
      <c r="W999" s="1665" t="n"/>
      <c r="X999" s="1665" t="n"/>
      <c r="Y999" s="1665" t="n"/>
      <c r="Z999" s="1665" t="n"/>
    </row>
    <row r="1000" ht="15.75" customHeight="1" s="1666">
      <c r="K1000" s="1665" t="n"/>
      <c r="L1000" s="1665" t="n"/>
      <c r="M1000" s="1665" t="n"/>
      <c r="N1000" s="1665" t="n"/>
      <c r="O1000" s="1665" t="n"/>
      <c r="P1000" s="1665" t="n"/>
      <c r="Q1000" s="1665" t="n"/>
      <c r="R1000" s="1665" t="n"/>
      <c r="S1000" s="1665" t="n"/>
      <c r="T1000" s="1665" t="n"/>
      <c r="U1000" s="1665" t="n"/>
      <c r="V1000" s="1665" t="n"/>
      <c r="W1000" s="1665" t="n"/>
      <c r="X1000" s="1665" t="n"/>
      <c r="Y1000" s="1665" t="n"/>
      <c r="Z1000" s="1665" t="n"/>
    </row>
    <row r="1001" ht="15.75" customHeight="1" s="1666">
      <c r="K1001" s="1665" t="n"/>
      <c r="L1001" s="1665" t="n"/>
      <c r="M1001" s="1665" t="n"/>
      <c r="N1001" s="1665" t="n"/>
      <c r="O1001" s="1665" t="n"/>
      <c r="P1001" s="1665" t="n"/>
      <c r="Q1001" s="1665" t="n"/>
      <c r="R1001" s="1665" t="n"/>
      <c r="S1001" s="1665" t="n"/>
      <c r="T1001" s="1665" t="n"/>
      <c r="U1001" s="1665" t="n"/>
      <c r="V1001" s="1665" t="n"/>
      <c r="W1001" s="1665" t="n"/>
      <c r="X1001" s="1665" t="n"/>
      <c r="Y1001" s="1665" t="n"/>
      <c r="Z1001" s="1665" t="n"/>
    </row>
    <row r="1002" ht="15.75" customHeight="1" s="1666">
      <c r="K1002" s="1665" t="n"/>
      <c r="L1002" s="1665" t="n"/>
      <c r="M1002" s="1665" t="n"/>
      <c r="N1002" s="1665" t="n"/>
      <c r="O1002" s="1665" t="n"/>
      <c r="P1002" s="1665" t="n"/>
      <c r="Q1002" s="1665" t="n"/>
      <c r="R1002" s="1665" t="n"/>
      <c r="S1002" s="1665" t="n"/>
      <c r="T1002" s="1665" t="n"/>
      <c r="U1002" s="1665" t="n"/>
      <c r="V1002" s="1665" t="n"/>
      <c r="W1002" s="1665" t="n"/>
      <c r="X1002" s="1665" t="n"/>
      <c r="Y1002" s="1665" t="n"/>
      <c r="Z1002" s="1665" t="n"/>
    </row>
    <row r="1003" ht="15" customHeight="1" s="1666">
      <c r="B1003" s="2989" t="inlineStr">
        <is>
          <t>📊  BENCHMARK PERFORMANCE  ·  Portfolio vs VFV.TO  ·  Source de vérité stratégique</t>
        </is>
      </c>
      <c r="K1003" s="1665" t="n"/>
      <c r="L1003" s="1665" t="n"/>
      <c r="M1003" s="1665" t="n"/>
      <c r="N1003" s="1665" t="n"/>
      <c r="O1003" s="1665" t="n"/>
      <c r="P1003" s="1665" t="n"/>
      <c r="Q1003" s="1665" t="n"/>
      <c r="R1003" s="1665" t="n"/>
      <c r="S1003" s="1665" t="n"/>
      <c r="T1003" s="1665" t="n"/>
      <c r="U1003" s="1665" t="n"/>
      <c r="V1003" s="1665" t="n"/>
      <c r="W1003" s="1665" t="n"/>
      <c r="X1003" s="1665" t="n"/>
      <c r="Y1003" s="1665" t="n"/>
      <c r="Z1003" s="1665" t="n"/>
    </row>
    <row r="1004" ht="15" customHeight="1" s="1666">
      <c r="B1004" s="1883" t="inlineStr">
        <is>
          <t>La seule question qui compte : est-ce que ma sélection de titres bat un all-in VFV.TO ?</t>
        </is>
      </c>
      <c r="K1004" s="1665" t="n"/>
      <c r="L1004" s="1665" t="n"/>
      <c r="M1004" s="1665" t="n"/>
      <c r="N1004" s="1665" t="n"/>
      <c r="O1004" s="1665" t="n"/>
      <c r="P1004" s="1665" t="n"/>
      <c r="Q1004" s="1665" t="n"/>
      <c r="R1004" s="1665" t="n"/>
      <c r="S1004" s="1665" t="n"/>
      <c r="T1004" s="1665" t="n"/>
      <c r="U1004" s="1665" t="n"/>
      <c r="V1004" s="1665" t="n"/>
      <c r="W1004" s="1665" t="n"/>
      <c r="X1004" s="1665" t="n"/>
      <c r="Y1004" s="1665" t="n"/>
      <c r="Z1004" s="1665" t="n"/>
    </row>
    <row r="1005" ht="15.75" customHeight="1" s="1666">
      <c r="K1005" s="1665" t="n"/>
      <c r="L1005" s="1665" t="n"/>
      <c r="M1005" s="1665" t="n"/>
      <c r="N1005" s="1665" t="n"/>
      <c r="O1005" s="1665" t="n"/>
      <c r="P1005" s="1665" t="n"/>
      <c r="Q1005" s="1665" t="n"/>
      <c r="R1005" s="1665" t="n"/>
      <c r="S1005" s="1665" t="n"/>
      <c r="T1005" s="1665" t="n"/>
      <c r="U1005" s="1665" t="n"/>
      <c r="V1005" s="1665" t="n"/>
      <c r="W1005" s="1665" t="n"/>
      <c r="X1005" s="1665" t="n"/>
      <c r="Y1005" s="1665" t="n"/>
      <c r="Z1005" s="1665" t="n"/>
    </row>
    <row r="1006" ht="15" customHeight="1" s="1666">
      <c r="B1006" s="2990" t="inlineStr">
        <is>
          <t>PÉRIODE</t>
        </is>
      </c>
      <c r="C1006" s="2990" t="inlineStr">
        <is>
          <t>PORTFOLIO CAD</t>
        </is>
      </c>
      <c r="D1006" s="2990" t="inlineStr">
        <is>
          <t>VFV.TO (unités)</t>
        </is>
      </c>
      <c r="E1006" s="2990" t="inlineStr">
        <is>
          <t>VFV.TO VALEUR CAD</t>
        </is>
      </c>
      <c r="F1006" s="2990" t="inlineStr">
        <is>
          <t>ALPHA (Portfolio vs VFV)</t>
        </is>
      </c>
      <c r="G1006" s="2990" t="inlineStr">
        <is>
          <t>VERDICT</t>
        </is>
      </c>
      <c r="K1006" s="1665" t="n"/>
      <c r="L1006" s="1665" t="n"/>
      <c r="M1006" s="1665" t="n"/>
      <c r="N1006" s="1665" t="n"/>
      <c r="O1006" s="1665" t="n"/>
      <c r="P1006" s="1665" t="n"/>
      <c r="Q1006" s="1665" t="n"/>
      <c r="R1006" s="1665" t="n"/>
      <c r="S1006" s="1665" t="n"/>
      <c r="T1006" s="1665" t="n"/>
      <c r="U1006" s="1665" t="n"/>
      <c r="V1006" s="1665" t="n"/>
      <c r="W1006" s="1665" t="n"/>
      <c r="X1006" s="1665" t="n"/>
      <c r="Y1006" s="1665" t="n"/>
      <c r="Z1006" s="1665" t="n"/>
    </row>
    <row r="1007" ht="15" customHeight="1" s="1666">
      <c r="B1007" s="2991" t="inlineStr">
        <is>
          <t>📍 Référence 1 jan 2026</t>
        </is>
      </c>
      <c r="C1007" s="2992" t="n">
        <v>74290</v>
      </c>
      <c r="D1007" s="1665" t="inlineStr">
        <is>
          <t>⬜ Saisir unités VFV.TO possédées le 1 jan</t>
        </is>
      </c>
      <c r="E1007" s="1665" t="inlineStr">
        <is>
          <t>⬜ Saisir prix VFV.TO le 1 jan (CAD)</t>
        </is>
      </c>
      <c r="F1007" s="1665" t="inlineStr">
        <is>
          <t>— référence —</t>
        </is>
      </c>
      <c r="G1007" s="1665" t="inlineStr">
        <is>
          <t>📍 BASE</t>
        </is>
      </c>
      <c r="K1007" s="1665" t="n"/>
      <c r="L1007" s="1665" t="n"/>
      <c r="M1007" s="1665" t="n"/>
      <c r="N1007" s="1665" t="n"/>
      <c r="O1007" s="1665" t="n"/>
      <c r="P1007" s="1665" t="n"/>
      <c r="Q1007" s="1665" t="n"/>
      <c r="R1007" s="1665" t="n"/>
      <c r="S1007" s="1665" t="n"/>
      <c r="T1007" s="1665" t="n"/>
      <c r="U1007" s="1665" t="n"/>
      <c r="V1007" s="1665" t="n"/>
      <c r="W1007" s="1665" t="n"/>
      <c r="X1007" s="1665" t="n"/>
      <c r="Y1007" s="1665" t="n"/>
      <c r="Z1007" s="1665" t="n"/>
    </row>
    <row r="1008" ht="15" customHeight="1" s="1666">
      <c r="B1008" s="2685" t="inlineStr">
        <is>
          <t>📊 11 mars 2026 (aujourd'hui)</t>
        </is>
      </c>
      <c r="C1008" s="2721">
        <f>'📈 PORTEFEUILLE'!L70</f>
        <v/>
      </c>
      <c r="D1008" s="2993">
        <f>('📈 PORTEFEUILLE'!G15+'📈 PORTEFEUILLE'!G47)</f>
        <v/>
      </c>
      <c r="E1008" s="2721">
        <f>IFERROR(D1008*CONFIG!G6,"⬜ Prix VFV manquant")</f>
        <v/>
      </c>
      <c r="F1008" s="2994">
        <f>IFERROR((C1008-E1008)/E1008,"—")</f>
        <v/>
      </c>
      <c r="G1008" s="1665">
        <f>IF(ISNUMBER(F1008),IF(F1008&gt;0,"✅ Alpha positif 🏆",IF(F1008&gt;-0.02,"🟡 Quasi-benchmark","❌ Sous-benchmark")),"⬜ Calculer")</f>
        <v/>
      </c>
      <c r="K1008" s="1665" t="n"/>
      <c r="L1008" s="1665" t="n"/>
      <c r="M1008" s="1665" t="n"/>
      <c r="N1008" s="1665" t="n"/>
      <c r="O1008" s="1665" t="n"/>
      <c r="P1008" s="1665" t="n"/>
      <c r="Q1008" s="1665" t="n"/>
      <c r="R1008" s="1665" t="n"/>
      <c r="S1008" s="1665" t="n"/>
      <c r="T1008" s="1665" t="n"/>
      <c r="U1008" s="1665" t="n"/>
      <c r="V1008" s="1665" t="n"/>
      <c r="W1008" s="1665" t="n"/>
      <c r="X1008" s="1665" t="n"/>
      <c r="Y1008" s="1665" t="n"/>
      <c r="Z1008" s="1665" t="n"/>
    </row>
    <row r="1009" ht="15.75" customHeight="1" s="1666">
      <c r="K1009" s="1665" t="n"/>
      <c r="L1009" s="1665" t="n"/>
      <c r="M1009" s="1665" t="n"/>
      <c r="N1009" s="1665" t="n"/>
      <c r="O1009" s="1665" t="n"/>
      <c r="P1009" s="1665" t="n"/>
      <c r="Q1009" s="1665" t="n"/>
      <c r="R1009" s="1665" t="n"/>
      <c r="S1009" s="1665" t="n"/>
      <c r="T1009" s="1665" t="n"/>
      <c r="U1009" s="1665" t="n"/>
      <c r="V1009" s="1665" t="n"/>
      <c r="W1009" s="1665" t="n"/>
      <c r="X1009" s="1665" t="n"/>
      <c r="Y1009" s="1665" t="n"/>
      <c r="Z1009" s="1665" t="n"/>
    </row>
    <row r="1010" ht="15" customHeight="1" s="1666">
      <c r="B1010" s="2995" t="inlineStr">
        <is>
          <t>📅  VERDICTS J+30  ·  Chaque décision trackée = Claude s'améliore</t>
        </is>
      </c>
      <c r="K1010" s="1665" t="n"/>
      <c r="L1010" s="1665" t="n"/>
      <c r="M1010" s="1665" t="n"/>
      <c r="N1010" s="1665" t="n"/>
      <c r="O1010" s="1665" t="n"/>
      <c r="P1010" s="1665" t="n"/>
      <c r="Q1010" s="1665" t="n"/>
      <c r="R1010" s="1665" t="n"/>
      <c r="S1010" s="1665" t="n"/>
      <c r="T1010" s="1665" t="n"/>
      <c r="U1010" s="1665" t="n"/>
      <c r="V1010" s="1665" t="n"/>
      <c r="W1010" s="1665" t="n"/>
      <c r="X1010" s="1665" t="n"/>
      <c r="Y1010" s="1665" t="n"/>
      <c r="Z1010" s="1665" t="n"/>
    </row>
    <row r="1011" ht="15" customHeight="1" s="1666">
      <c r="B1011" s="2996" t="inlineStr">
        <is>
          <t>DATE ACHAT</t>
        </is>
      </c>
      <c r="C1011" s="2996" t="inlineStr">
        <is>
          <t>TICKER</t>
        </is>
      </c>
      <c r="D1011" s="2996" t="inlineStr">
        <is>
          <t>CTE</t>
        </is>
      </c>
      <c r="E1011" s="2996" t="inlineStr">
        <is>
          <t>PRIX ACHAT</t>
        </is>
      </c>
      <c r="F1011" s="2996" t="inlineStr">
        <is>
          <t>PRIX J+30</t>
        </is>
      </c>
      <c r="G1011" s="2996" t="inlineStr">
        <is>
          <t>PERF J+30</t>
        </is>
      </c>
      <c r="H1011" s="2996" t="inlineStr">
        <is>
          <t>VFV.TO J+30</t>
        </is>
      </c>
      <c r="I1011" s="2996" t="inlineStr">
        <is>
          <t>VERDICT</t>
        </is>
      </c>
      <c r="K1011" s="1665" t="n"/>
      <c r="L1011" s="1665" t="n"/>
      <c r="M1011" s="1665" t="n"/>
      <c r="N1011" s="1665" t="n"/>
      <c r="O1011" s="1665" t="n"/>
      <c r="P1011" s="1665" t="n"/>
      <c r="Q1011" s="1665" t="n"/>
      <c r="R1011" s="1665" t="n"/>
      <c r="S1011" s="1665" t="n"/>
      <c r="T1011" s="1665" t="n"/>
      <c r="U1011" s="1665" t="n"/>
      <c r="V1011" s="1665" t="n"/>
      <c r="W1011" s="1665" t="n"/>
      <c r="X1011" s="1665" t="n"/>
      <c r="Y1011" s="1665" t="n"/>
      <c r="Z1011" s="1665" t="n"/>
    </row>
    <row r="1012" ht="15" customHeight="1" s="1666">
      <c r="B1012" s="2700" t="inlineStr">
        <is>
          <t>2026-03-11</t>
        </is>
      </c>
      <c r="C1012" s="1665" t="inlineStr">
        <is>
          <t>AVGO</t>
        </is>
      </c>
      <c r="D1012" s="1665" t="inlineStr">
        <is>
          <t>TFSA</t>
        </is>
      </c>
      <c r="E1012" s="1665" t="inlineStr">
        <is>
          <t>$340.65 USD</t>
        </is>
      </c>
      <c r="F1012" s="1665" t="inlineStr">
        <is>
          <t>⬜ 11 avril</t>
        </is>
      </c>
      <c r="G1012" s="1665" t="inlineStr">
        <is>
          <t>⬜</t>
        </is>
      </c>
      <c r="H1012" s="1665" t="inlineStr">
        <is>
          <t>⬜</t>
        </is>
      </c>
      <c r="I1012" s="1665" t="inlineStr">
        <is>
          <t>⬜ Remplir le 11 avril</t>
        </is>
      </c>
      <c r="K1012" s="1665" t="n"/>
      <c r="L1012" s="1665" t="n"/>
      <c r="M1012" s="1665" t="n"/>
      <c r="N1012" s="1665" t="n"/>
      <c r="O1012" s="1665" t="n"/>
      <c r="P1012" s="1665" t="n"/>
      <c r="Q1012" s="1665" t="n"/>
      <c r="R1012" s="1665" t="n"/>
      <c r="S1012" s="1665" t="n"/>
      <c r="T1012" s="1665" t="n"/>
      <c r="U1012" s="1665" t="n"/>
      <c r="V1012" s="1665" t="n"/>
      <c r="W1012" s="1665" t="n"/>
      <c r="X1012" s="1665" t="n"/>
      <c r="Y1012" s="1665" t="n"/>
      <c r="Z1012" s="1665" t="n"/>
    </row>
    <row r="1013" ht="15" customHeight="1" s="1666">
      <c r="B1013" s="2700" t="inlineStr">
        <is>
          <t>2026-03-11</t>
        </is>
      </c>
      <c r="C1013" s="1665" t="inlineStr">
        <is>
          <t>GEV</t>
        </is>
      </c>
      <c r="D1013" s="1665" t="inlineStr">
        <is>
          <t>TFSA</t>
        </is>
      </c>
      <c r="E1013" s="1665" t="inlineStr">
        <is>
          <t>$844.18 USD</t>
        </is>
      </c>
      <c r="F1013" s="1665" t="inlineStr">
        <is>
          <t>⬜ 11 avril</t>
        </is>
      </c>
      <c r="G1013" s="1665" t="inlineStr">
        <is>
          <t>⬜</t>
        </is>
      </c>
      <c r="H1013" s="1665" t="inlineStr">
        <is>
          <t>⬜</t>
        </is>
      </c>
      <c r="I1013" s="1665" t="inlineStr">
        <is>
          <t>⬜ Remplir le 11 avril</t>
        </is>
      </c>
      <c r="K1013" s="1665" t="n"/>
      <c r="L1013" s="1665" t="n"/>
      <c r="M1013" s="1665" t="n"/>
      <c r="N1013" s="1665" t="n"/>
      <c r="O1013" s="1665" t="n"/>
      <c r="P1013" s="1665" t="n"/>
      <c r="Q1013" s="1665" t="n"/>
      <c r="R1013" s="1665" t="n"/>
      <c r="S1013" s="1665" t="n"/>
      <c r="T1013" s="1665" t="n"/>
      <c r="U1013" s="1665" t="n"/>
      <c r="V1013" s="1665" t="n"/>
      <c r="W1013" s="1665" t="n"/>
      <c r="X1013" s="1665" t="n"/>
      <c r="Y1013" s="1665" t="n"/>
      <c r="Z1013" s="1665" t="n"/>
    </row>
    <row r="1014" ht="15" customHeight="1" s="1666">
      <c r="B1014" s="2700" t="inlineStr">
        <is>
          <t>2026-03-11</t>
        </is>
      </c>
      <c r="C1014" s="1665" t="inlineStr">
        <is>
          <t>SMH</t>
        </is>
      </c>
      <c r="D1014" s="1665" t="inlineStr">
        <is>
          <t>TFSA</t>
        </is>
      </c>
      <c r="E1014" s="1665" t="inlineStr">
        <is>
          <t>$400.33 USD</t>
        </is>
      </c>
      <c r="F1014" s="1665" t="inlineStr">
        <is>
          <t>⬜ 11 avril</t>
        </is>
      </c>
      <c r="G1014" s="1665" t="inlineStr">
        <is>
          <t>⬜</t>
        </is>
      </c>
      <c r="H1014" s="1665" t="inlineStr">
        <is>
          <t>⬜</t>
        </is>
      </c>
      <c r="I1014" s="1665" t="inlineStr">
        <is>
          <t>⬜ Remplir le 11 avril</t>
        </is>
      </c>
      <c r="K1014" s="1665" t="n"/>
      <c r="L1014" s="1665" t="n"/>
      <c r="M1014" s="1665" t="n"/>
      <c r="N1014" s="1665" t="n"/>
      <c r="O1014" s="1665" t="n"/>
      <c r="P1014" s="1665" t="n"/>
      <c r="Q1014" s="1665" t="n"/>
      <c r="R1014" s="1665" t="n"/>
      <c r="S1014" s="1665" t="n"/>
      <c r="T1014" s="1665" t="n"/>
      <c r="U1014" s="1665" t="n"/>
      <c r="V1014" s="1665" t="n"/>
      <c r="W1014" s="1665" t="n"/>
      <c r="X1014" s="1665" t="n"/>
      <c r="Y1014" s="1665" t="n"/>
      <c r="Z1014" s="1665" t="n"/>
    </row>
    <row r="1015" ht="15.75" customHeight="1" s="1666">
      <c r="K1015" s="1665" t="n"/>
      <c r="L1015" s="1665" t="n"/>
      <c r="M1015" s="1665" t="n"/>
      <c r="N1015" s="1665" t="n"/>
      <c r="O1015" s="1665" t="n"/>
      <c r="P1015" s="1665" t="n"/>
      <c r="Q1015" s="1665" t="n"/>
      <c r="R1015" s="1665" t="n"/>
      <c r="S1015" s="1665" t="n"/>
      <c r="T1015" s="1665" t="n"/>
      <c r="U1015" s="1665" t="n"/>
      <c r="V1015" s="1665" t="n"/>
      <c r="W1015" s="1665" t="n"/>
      <c r="X1015" s="1665" t="n"/>
      <c r="Y1015" s="1665" t="n"/>
      <c r="Z1015" s="1665" t="n"/>
    </row>
    <row r="1016" ht="15" customHeight="1" s="1666">
      <c r="B1016" s="2997" t="inlineStr">
        <is>
          <t>⏰ ALARME : Mettre une alarme téléphone pour le 11 AVRIL 2026 — Verdicts J+30</t>
        </is>
      </c>
      <c r="K1016" s="1665" t="n"/>
      <c r="L1016" s="1665" t="n"/>
      <c r="M1016" s="1665" t="n"/>
      <c r="N1016" s="1665" t="n"/>
      <c r="O1016" s="1665" t="n"/>
      <c r="P1016" s="1665" t="n"/>
      <c r="Q1016" s="1665" t="n"/>
      <c r="R1016" s="1665" t="n"/>
      <c r="S1016" s="1665" t="n"/>
      <c r="T1016" s="1665" t="n"/>
      <c r="U1016" s="1665" t="n"/>
      <c r="V1016" s="1665" t="n"/>
      <c r="W1016" s="1665" t="n"/>
      <c r="X1016" s="1665" t="n"/>
      <c r="Y1016" s="1665" t="n"/>
      <c r="Z1016" s="1665" t="n"/>
    </row>
  </sheetData>
  <mergeCells count="42">
    <mergeCell ref="C30:D30"/>
    <mergeCell ref="B7:I7"/>
    <mergeCell ref="I133:J133"/>
    <mergeCell ref="C33:D33"/>
    <mergeCell ref="B25:C25"/>
    <mergeCell ref="B16:I16"/>
    <mergeCell ref="B81:I81"/>
    <mergeCell ref="B22:I22"/>
    <mergeCell ref="B66:I66"/>
    <mergeCell ref="I136:J136"/>
    <mergeCell ref="B27:C27"/>
    <mergeCell ref="I135:J135"/>
    <mergeCell ref="C35:D35"/>
    <mergeCell ref="I134:J134"/>
    <mergeCell ref="I131:J131"/>
    <mergeCell ref="C31:D31"/>
    <mergeCell ref="B3:H3"/>
    <mergeCell ref="B140:E140"/>
    <mergeCell ref="B142:J142"/>
    <mergeCell ref="B78:I78"/>
    <mergeCell ref="G126:J126"/>
    <mergeCell ref="B123:J123"/>
    <mergeCell ref="B34:I34"/>
    <mergeCell ref="C36:D36"/>
    <mergeCell ref="G125:J125"/>
    <mergeCell ref="I132:J132"/>
    <mergeCell ref="B129:J129"/>
    <mergeCell ref="B23:H23"/>
    <mergeCell ref="B68:I68"/>
    <mergeCell ref="C32:D32"/>
    <mergeCell ref="B83:I83"/>
    <mergeCell ref="G127:J127"/>
    <mergeCell ref="B1:H1"/>
    <mergeCell ref="B51:I51"/>
    <mergeCell ref="I138:J138"/>
    <mergeCell ref="B122:J122"/>
    <mergeCell ref="B5:I5"/>
    <mergeCell ref="B29:H29"/>
    <mergeCell ref="B76:I76"/>
    <mergeCell ref="B26:C26"/>
    <mergeCell ref="I137:J137"/>
    <mergeCell ref="B85:I8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B1:Z3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14.43359375" defaultRowHeight="15" zeroHeight="0" outlineLevelRow="0"/>
  <cols>
    <col width="2" customWidth="1" style="1665" min="1" max="1"/>
    <col width="18" customWidth="1" style="1665" min="2" max="2"/>
    <col width="14" customWidth="1" style="1665" min="3" max="8"/>
    <col width="22" customWidth="1" style="1665" min="9" max="9"/>
  </cols>
  <sheetData>
    <row r="1" ht="25.5" customHeight="1" s="1666">
      <c r="B1" s="2998" t="inlineStr">
        <is>
          <t>🔒  VALIDATION INTÉGRITÉ  ·  Vérifie automatiquement les formules à chaque ouverture</t>
        </is>
      </c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27.75" customHeight="1" s="1666">
      <c r="B2" s="2999">
        <f>IF(AND(ISNUMBER(C57),ISNUMBER(C58),ISNUMBER(C59),ABS(F60)&lt;1000),"🟢  FICHIER SAIN — Tous checks OK  ·  Ouvrir session","🔴  ATTENTION — Vérifier checks ci-dessous avant de continuer")</f>
        <v/>
      </c>
      <c r="E2" s="2757">
        <f>IF(AND(E51=0,E61=0,E74=0),"🟢  FICHIER INTÈGRE — Tous les checks sont ✅","🔴  PROBLÈMES DÉTECTÉS — Voir sections ci-dessous")</f>
        <v/>
      </c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5" customHeight="1" s="1666"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8" customHeight="1" s="1666">
      <c r="B4" s="1689" t="inlineStr">
        <is>
          <t>🔍  CHECK 1  —  L{N} DOIT RÉFÉRENCER G{N} MÊME LIGNE  ·  Cause du bug $81K</t>
        </is>
      </c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5" customHeight="1" s="1666">
      <c r="B5" s="3000" t="inlineStr">
        <is>
          <t>Si une ligne est insérée dans une section, les offsets se décalent silencieusement.</t>
        </is>
      </c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5" customHeight="1" s="1666">
      <c r="B6" s="1690" t="inlineStr">
        <is>
          <t>ROW</t>
        </is>
      </c>
      <c r="C6" s="1690" t="inlineStr">
        <is>
          <t>TICKER</t>
        </is>
      </c>
      <c r="D6" s="1690" t="inlineStr">
        <is>
          <t>CTE</t>
        </is>
      </c>
      <c r="E6" s="1690" t="inlineStr">
        <is>
          <t>G ATTENDU</t>
        </is>
      </c>
      <c r="F6" s="1690" t="inlineStr">
        <is>
          <t>G ACTUEL</t>
        </is>
      </c>
      <c r="G6" s="1690" t="inlineStr">
        <is>
          <t>STATUT</t>
        </is>
      </c>
      <c r="I6" s="1690" t="inlineStr">
        <is>
          <t>FIX SUGGÉRÉ</t>
        </is>
      </c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5.75" customHeight="1" s="1666">
      <c r="B7" s="2666" t="n">
        <v>15</v>
      </c>
      <c r="C7" s="2666" t="inlineStr">
        <is>
          <t>VFV.TO</t>
        </is>
      </c>
      <c r="D7" s="2666" t="inlineStr">
        <is>
          <t>TFSA</t>
        </is>
      </c>
      <c r="E7" s="2666" t="inlineStr">
        <is>
          <t>G15</t>
        </is>
      </c>
      <c r="F7" s="2666" t="inlineStr">
        <is>
          <t>G15</t>
        </is>
      </c>
      <c r="G7" s="2666">
        <f>IF(ISNUMBER('📈 PORTEFEUILLE'!G15),IF('📈 PORTEFEUILLE'!G15=0,"✅ QTÉ ZÉRO",IF(ABS('📈 PORTEFEUILLE'!L15-'📈 PORTEFEUILLE'!G15*'📈 PORTEFEUILLE'!I15)&lt;0.05,"✅ OK","🔴 OFFSET DÉTECTÉ")),"✅ N/A")</f>
        <v/>
      </c>
      <c r="I7" s="2666">
        <f>IF(G7="🔴 OFFSET DÉTECTÉ","→ Corriger L15: G15*I15","")</f>
        <v/>
      </c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5.75" customHeight="1" s="1666">
      <c r="B8" s="2716" t="n">
        <v>16</v>
      </c>
      <c r="C8" s="2716" t="inlineStr">
        <is>
          <t>GOOG</t>
        </is>
      </c>
      <c r="D8" s="2716" t="inlineStr">
        <is>
          <t>TFSA</t>
        </is>
      </c>
      <c r="E8" s="2716" t="inlineStr">
        <is>
          <t>G16</t>
        </is>
      </c>
      <c r="F8" s="2716" t="inlineStr">
        <is>
          <t>G16</t>
        </is>
      </c>
      <c r="G8" s="2716">
        <f>IF(ISNUMBER('📈 PORTEFEUILLE'!G16),IF('📈 PORTEFEUILLE'!G16=0,"✅ QTÉ ZÉRO",IF(ABS('📈 PORTEFEUILLE'!L16-'📈 PORTEFEUILLE'!G16*'📈 PORTEFEUILLE'!I16)&lt;0.05,"✅ OK","🔴 OFFSET DÉTECTÉ")),"✅ N/A")</f>
        <v/>
      </c>
      <c r="I8" s="2716">
        <f>IF(G8="🔴 OFFSET DÉTECTÉ","→ Corriger L16: G16*I16","")</f>
        <v/>
      </c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5.75" customHeight="1" s="1666">
      <c r="B9" s="2666" t="n">
        <v>17</v>
      </c>
      <c r="C9" s="2666" t="inlineStr">
        <is>
          <t>AVGO</t>
        </is>
      </c>
      <c r="D9" s="2666" t="inlineStr">
        <is>
          <t>TFSA</t>
        </is>
      </c>
      <c r="E9" s="2666" t="inlineStr">
        <is>
          <t>G17</t>
        </is>
      </c>
      <c r="F9" s="2666" t="inlineStr">
        <is>
          <t>G17</t>
        </is>
      </c>
      <c r="G9" s="2666">
        <f>IF(ISNUMBER('📈 PORTEFEUILLE'!G17),IF('📈 PORTEFEUILLE'!G17=0,"✅ QTÉ ZÉRO",IF(ABS('📈 PORTEFEUILLE'!L17-'📈 PORTEFEUILLE'!G17*'📈 PORTEFEUILLE'!I17)&lt;0.05,"✅ OK","🔴 OFFSET DÉTECTÉ")),"✅ N/A")</f>
        <v/>
      </c>
      <c r="I9" s="2666">
        <f>IF(G9="🔴 OFFSET DÉTECTÉ","→ Corriger L17: G17*I17","")</f>
        <v/>
      </c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5.75" customHeight="1" s="1666">
      <c r="B10" s="2716" t="n">
        <v>18</v>
      </c>
      <c r="C10" s="2716" t="inlineStr">
        <is>
          <t>AMZN</t>
        </is>
      </c>
      <c r="D10" s="2716" t="inlineStr">
        <is>
          <t>TFSA</t>
        </is>
      </c>
      <c r="E10" s="2716" t="inlineStr">
        <is>
          <t>G18</t>
        </is>
      </c>
      <c r="F10" s="2716" t="inlineStr">
        <is>
          <t>G18</t>
        </is>
      </c>
      <c r="G10" s="2716">
        <f>IF(ISNUMBER('📈 PORTEFEUILLE'!G18),IF('📈 PORTEFEUILLE'!G18=0,"✅ QTÉ ZÉRO",IF(ABS('📈 PORTEFEUILLE'!L18-'📈 PORTEFEUILLE'!G18*'📈 PORTEFEUILLE'!I18)&lt;0.05,"✅ OK","🔴 OFFSET DÉTECTÉ")),"✅ N/A")</f>
        <v/>
      </c>
      <c r="I10" s="2716">
        <f>IF(G10="🔴 OFFSET DÉTECTÉ","→ Corriger L18: G18*I18","")</f>
        <v/>
      </c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5.75" customHeight="1" s="1666">
      <c r="B11" s="2666" t="n">
        <v>19</v>
      </c>
      <c r="C11" s="2666" t="inlineStr">
        <is>
          <t>SMH</t>
        </is>
      </c>
      <c r="D11" s="2666" t="inlineStr">
        <is>
          <t>TFSA</t>
        </is>
      </c>
      <c r="E11" s="2666" t="inlineStr">
        <is>
          <t>G19</t>
        </is>
      </c>
      <c r="F11" s="2666" t="inlineStr">
        <is>
          <t>G19</t>
        </is>
      </c>
      <c r="G11" s="2666">
        <f>IF(ISNUMBER('📈 PORTEFEUILLE'!G19),IF('📈 PORTEFEUILLE'!G19=0,"✅ QTÉ ZÉRO",IF(ABS('📈 PORTEFEUILLE'!L19-'📈 PORTEFEUILLE'!G19*'📈 PORTEFEUILLE'!I19)&lt;0.05,"✅ OK","🔴 OFFSET DÉTECTÉ")),"✅ N/A")</f>
        <v/>
      </c>
      <c r="I11" s="2666">
        <f>IF(G11="🔴 OFFSET DÉTECTÉ","→ Corriger L19: G19*I19","")</f>
        <v/>
      </c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5.75" customHeight="1" s="1666">
      <c r="B12" s="2716" t="n">
        <v>20</v>
      </c>
      <c r="C12" s="2716" t="inlineStr">
        <is>
          <t>META</t>
        </is>
      </c>
      <c r="D12" s="2716" t="inlineStr">
        <is>
          <t>TFSA</t>
        </is>
      </c>
      <c r="E12" s="2716" t="inlineStr">
        <is>
          <t>G20</t>
        </is>
      </c>
      <c r="F12" s="2716" t="inlineStr">
        <is>
          <t>G20</t>
        </is>
      </c>
      <c r="G12" s="2716">
        <f>IF(ISNUMBER('📈 PORTEFEUILLE'!G20),IF('📈 PORTEFEUILLE'!G20=0,"✅ QTÉ ZÉRO",IF(ABS('📈 PORTEFEUILLE'!L20-'📈 PORTEFEUILLE'!G20*'📈 PORTEFEUILLE'!I20)&lt;0.05,"✅ OK","🔴 OFFSET DÉTECTÉ")),"✅ N/A")</f>
        <v/>
      </c>
      <c r="I12" s="2716">
        <f>IF(G12="🔴 OFFSET DÉTECTÉ","→ Corriger L20: G20*I20","")</f>
        <v/>
      </c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5.75" customHeight="1" s="1666">
      <c r="B13" s="2666" t="n">
        <v>21</v>
      </c>
      <c r="C13" s="2666" t="inlineStr">
        <is>
          <t>ENB.TO</t>
        </is>
      </c>
      <c r="D13" s="2666" t="inlineStr">
        <is>
          <t>TFSA</t>
        </is>
      </c>
      <c r="E13" s="2666" t="inlineStr">
        <is>
          <t>G21</t>
        </is>
      </c>
      <c r="F13" s="2666" t="inlineStr">
        <is>
          <t>G21</t>
        </is>
      </c>
      <c r="G13" s="2666">
        <f>IF(ISNUMBER('📈 PORTEFEUILLE'!G21),IF('📈 PORTEFEUILLE'!G21=0,"✅ QTÉ ZÉRO",IF(ABS('📈 PORTEFEUILLE'!L21-'📈 PORTEFEUILLE'!G21*'📈 PORTEFEUILLE'!I21)&lt;0.05,"✅ OK","🔴 OFFSET DÉTECTÉ")),"✅ N/A")</f>
        <v/>
      </c>
      <c r="I13" s="2666">
        <f>IF(G13="🔴 OFFSET DÉTECTÉ","→ Corriger L21: G21*I21","")</f>
        <v/>
      </c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5.75" customHeight="1" s="1666">
      <c r="B14" s="2716" t="n">
        <v>22</v>
      </c>
      <c r="C14" s="2716" t="inlineStr">
        <is>
          <t>GEV</t>
        </is>
      </c>
      <c r="D14" s="2716" t="inlineStr">
        <is>
          <t>TFSA</t>
        </is>
      </c>
      <c r="E14" s="2716" t="inlineStr">
        <is>
          <t>G22</t>
        </is>
      </c>
      <c r="F14" s="2716" t="inlineStr">
        <is>
          <t>G22</t>
        </is>
      </c>
      <c r="G14" s="2716">
        <f>IF(ISNUMBER('📈 PORTEFEUILLE'!G22),IF('📈 PORTEFEUILLE'!G22=0,"✅ QTÉ ZÉRO",IF(ABS('📈 PORTEFEUILLE'!L22-'📈 PORTEFEUILLE'!G22*'📈 PORTEFEUILLE'!I22)&lt;0.05,"✅ OK","🔴 OFFSET DÉTECTÉ")),"✅ N/A")</f>
        <v/>
      </c>
      <c r="I14" s="2716">
        <f>IF(G14="🔴 OFFSET DÉTECTÉ","→ Corriger L22: G22*I22","")</f>
        <v/>
      </c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5.75" customHeight="1" s="1666">
      <c r="B15" s="2666" t="n">
        <v>23</v>
      </c>
      <c r="C15" s="2666" t="inlineStr">
        <is>
          <t>MSFT</t>
        </is>
      </c>
      <c r="D15" s="2666" t="inlineStr">
        <is>
          <t>TFSA</t>
        </is>
      </c>
      <c r="E15" s="2666" t="inlineStr">
        <is>
          <t>G23</t>
        </is>
      </c>
      <c r="F15" s="2666" t="inlineStr">
        <is>
          <t>G23</t>
        </is>
      </c>
      <c r="G15" s="2666">
        <f>IF(ISNUMBER('📈 PORTEFEUILLE'!G23),IF('📈 PORTEFEUILLE'!G23=0,"✅ QTÉ ZÉRO",IF(ABS('📈 PORTEFEUILLE'!L23-'📈 PORTEFEUILLE'!G23*'📈 PORTEFEUILLE'!I23)&lt;0.05,"✅ OK","🔴 OFFSET DÉTECTÉ")),"✅ N/A")</f>
        <v/>
      </c>
      <c r="I15" s="2666">
        <f>IF(G15="🔴 OFFSET DÉTECTÉ","→ Corriger L23: G23*I23","")</f>
        <v/>
      </c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5.75" customHeight="1" s="1666">
      <c r="B16" s="2716" t="n">
        <v>24</v>
      </c>
      <c r="C16" s="2716" t="inlineStr">
        <is>
          <t>NVDA</t>
        </is>
      </c>
      <c r="D16" s="2716" t="inlineStr">
        <is>
          <t>TFSA</t>
        </is>
      </c>
      <c r="E16" s="2716" t="inlineStr">
        <is>
          <t>G24</t>
        </is>
      </c>
      <c r="F16" s="2716" t="inlineStr">
        <is>
          <t>G24</t>
        </is>
      </c>
      <c r="G16" s="2716">
        <f>IF(ISNUMBER('📈 PORTEFEUILLE'!G24),IF('📈 PORTEFEUILLE'!G24=0,"✅ QTÉ ZÉRO",IF(ABS('📈 PORTEFEUILLE'!L24-'📈 PORTEFEUILLE'!G24*'📈 PORTEFEUILLE'!I24)&lt;0.05,"✅ OK","🔴 OFFSET DÉTECTÉ")),"✅ N/A")</f>
        <v/>
      </c>
      <c r="I16" s="2716">
        <f>IF(G16="🔴 OFFSET DÉTECTÉ","→ Corriger L24: G24*I24","")</f>
        <v/>
      </c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5.75" customHeight="1" s="1666">
      <c r="B17" s="2666" t="n">
        <v>25</v>
      </c>
      <c r="C17" s="2666" t="inlineStr">
        <is>
          <t>TSLA</t>
        </is>
      </c>
      <c r="D17" s="2666" t="inlineStr">
        <is>
          <t>TFSA</t>
        </is>
      </c>
      <c r="E17" s="2666" t="inlineStr">
        <is>
          <t>G25</t>
        </is>
      </c>
      <c r="F17" s="2666" t="inlineStr">
        <is>
          <t>G25</t>
        </is>
      </c>
      <c r="G17" s="2666">
        <f>IF(ISNUMBER('📈 PORTEFEUILLE'!G25),IF('📈 PORTEFEUILLE'!G25=0,"✅ QTÉ ZÉRO",IF(ABS('📈 PORTEFEUILLE'!L25-'📈 PORTEFEUILLE'!G25*'📈 PORTEFEUILLE'!I25)&lt;0.05,"✅ OK","🔴 OFFSET DÉTECTÉ")),"✅ N/A")</f>
        <v/>
      </c>
      <c r="I17" s="2666">
        <f>IF(G17="🔴 OFFSET DÉTECTÉ","→ Corriger L25: G25*I25","")</f>
        <v/>
      </c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5.75" customHeight="1" s="1666">
      <c r="B18" s="2716" t="n">
        <v>26</v>
      </c>
      <c r="C18" s="2716" t="inlineStr">
        <is>
          <t>QQQM</t>
        </is>
      </c>
      <c r="D18" s="2716" t="inlineStr">
        <is>
          <t>TFSA</t>
        </is>
      </c>
      <c r="E18" s="2716" t="inlineStr">
        <is>
          <t>G26</t>
        </is>
      </c>
      <c r="F18" s="2716" t="inlineStr">
        <is>
          <t>G26</t>
        </is>
      </c>
      <c r="G18" s="2716">
        <f>IF(ISNUMBER('📈 PORTEFEUILLE'!G26),IF('📈 PORTEFEUILLE'!G26=0,"✅ QTÉ ZÉRO",IF(ABS('📈 PORTEFEUILLE'!L26-'📈 PORTEFEUILLE'!G26*'📈 PORTEFEUILLE'!I26)&lt;0.05,"✅ OK","🔴 OFFSET DÉTECTÉ")),"✅ N/A")</f>
        <v/>
      </c>
      <c r="I18" s="2716">
        <f>IF(G18="🔴 OFFSET DÉTECTÉ","→ Corriger L26: G26*I26","")</f>
        <v/>
      </c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5.75" customHeight="1" s="1666">
      <c r="B19" s="2666" t="n">
        <v>27</v>
      </c>
      <c r="C19" s="2666" t="inlineStr">
        <is>
          <t>XEQT.TO</t>
        </is>
      </c>
      <c r="D19" s="2666" t="inlineStr">
        <is>
          <t>TFSA</t>
        </is>
      </c>
      <c r="E19" s="2666" t="inlineStr">
        <is>
          <t>G27</t>
        </is>
      </c>
      <c r="F19" s="2666" t="inlineStr">
        <is>
          <t>G27</t>
        </is>
      </c>
      <c r="G19" s="2666">
        <f>IF(ISNUMBER('📈 PORTEFEUILLE'!G27),IF('📈 PORTEFEUILLE'!G27=0,"✅ QTÉ ZÉRO",IF(ABS('📈 PORTEFEUILLE'!L27-'📈 PORTEFEUILLE'!G27*'📈 PORTEFEUILLE'!I27)&lt;0.05,"✅ OK","🔴 OFFSET DÉTECTÉ")),"✅ N/A")</f>
        <v/>
      </c>
      <c r="I19" s="2666">
        <f>IF(G19="🔴 OFFSET DÉTECTÉ","→ Corriger L27: G27*I27","")</f>
        <v/>
      </c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5.75" customHeight="1" s="1666">
      <c r="B20" s="2716" t="n">
        <v>28</v>
      </c>
      <c r="C20" s="2716" t="inlineStr">
        <is>
          <t>SPGI</t>
        </is>
      </c>
      <c r="D20" s="2716" t="inlineStr">
        <is>
          <t>TFSA</t>
        </is>
      </c>
      <c r="E20" s="2716" t="inlineStr">
        <is>
          <t>G28</t>
        </is>
      </c>
      <c r="F20" s="2716" t="inlineStr">
        <is>
          <t>G28</t>
        </is>
      </c>
      <c r="G20" s="2716">
        <f>IF(ISNUMBER('📈 PORTEFEUILLE'!G28),IF('📈 PORTEFEUILLE'!G28=0,"✅ QTÉ ZÉRO",IF(ABS('📈 PORTEFEUILLE'!L28-'📈 PORTEFEUILLE'!G28*'📈 PORTEFEUILLE'!I28)&lt;0.05,"✅ OK","🔴 OFFSET DÉTECTÉ")),"✅ N/A")</f>
        <v/>
      </c>
      <c r="I20" s="2716">
        <f>IF(G20="🔴 OFFSET DÉTECTÉ","→ Corriger L28: G28*I28","")</f>
        <v/>
      </c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5.75" customHeight="1" s="1666">
      <c r="B21" s="2666" t="n">
        <v>29</v>
      </c>
      <c r="C21" s="2666" t="inlineStr">
        <is>
          <t>TD.TO</t>
        </is>
      </c>
      <c r="D21" s="2666" t="inlineStr">
        <is>
          <t>TFSA</t>
        </is>
      </c>
      <c r="E21" s="2666" t="inlineStr">
        <is>
          <t>G29</t>
        </is>
      </c>
      <c r="F21" s="2666" t="inlineStr">
        <is>
          <t>G29</t>
        </is>
      </c>
      <c r="G21" s="2666">
        <f>IF(ISNUMBER('📈 PORTEFEUILLE'!G29),IF('📈 PORTEFEUILLE'!G29=0,"✅ QTÉ ZÉRO",IF(ABS('📈 PORTEFEUILLE'!L29-'📈 PORTEFEUILLE'!G29*'📈 PORTEFEUILLE'!I29)&lt;0.05,"✅ OK","🔴 OFFSET DÉTECTÉ")),"✅ N/A")</f>
        <v/>
      </c>
      <c r="I21" s="2666">
        <f>IF(G21="🔴 OFFSET DÉTECTÉ","→ Corriger L29: G29*I29","")</f>
        <v/>
      </c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5.75" customHeight="1" s="1666">
      <c r="B22" s="2716" t="n">
        <v>30</v>
      </c>
      <c r="C22" s="2716" t="inlineStr">
        <is>
          <t>ZLB.TO</t>
        </is>
      </c>
      <c r="D22" s="2716" t="inlineStr">
        <is>
          <t>TFSA</t>
        </is>
      </c>
      <c r="E22" s="2716" t="inlineStr">
        <is>
          <t>G30</t>
        </is>
      </c>
      <c r="F22" s="2716" t="inlineStr">
        <is>
          <t>G30</t>
        </is>
      </c>
      <c r="G22" s="2716">
        <f>IF(ISNUMBER('📈 PORTEFEUILLE'!G30),IF('📈 PORTEFEUILLE'!G30=0,"✅ QTÉ ZÉRO",IF(ABS('📈 PORTEFEUILLE'!L30-'📈 PORTEFEUILLE'!G30*'📈 PORTEFEUILLE'!I30)&lt;0.05,"✅ OK","🔴 OFFSET DÉTECTÉ")),"✅ N/A")</f>
        <v/>
      </c>
      <c r="I22" s="2716">
        <f>IF(G22="🔴 OFFSET DÉTECTÉ","→ Corriger L30: G30*I30","")</f>
        <v/>
      </c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5.75" customHeight="1" s="1666">
      <c r="B23" s="2666" t="n">
        <v>31</v>
      </c>
      <c r="C23" s="2666" t="inlineStr">
        <is>
          <t>H.TO</t>
        </is>
      </c>
      <c r="D23" s="2666" t="inlineStr">
        <is>
          <t>TFSA</t>
        </is>
      </c>
      <c r="E23" s="2666" t="inlineStr">
        <is>
          <t>G31</t>
        </is>
      </c>
      <c r="F23" s="2666" t="inlineStr">
        <is>
          <t>G31</t>
        </is>
      </c>
      <c r="G23" s="2666">
        <f>IF(ISNUMBER('📈 PORTEFEUILLE'!G31),IF('📈 PORTEFEUILLE'!G31=0,"✅ QTÉ ZÉRO",IF(ABS('📈 PORTEFEUILLE'!L31-'📈 PORTEFEUILLE'!G31*'📈 PORTEFEUILLE'!I31)&lt;0.05,"✅ OK","🔴 OFFSET DÉTECTÉ")),"✅ N/A")</f>
        <v/>
      </c>
      <c r="I23" s="2666">
        <f>IF(G23="🔴 OFFSET DÉTECTÉ","→ Corriger L31: G31*I31","")</f>
        <v/>
      </c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5.75" customHeight="1" s="1666">
      <c r="B24" s="2716" t="n">
        <v>32</v>
      </c>
      <c r="C24" s="2716" t="inlineStr">
        <is>
          <t>T.TO</t>
        </is>
      </c>
      <c r="D24" s="2716" t="inlineStr">
        <is>
          <t>TFSA</t>
        </is>
      </c>
      <c r="E24" s="2716" t="inlineStr">
        <is>
          <t>G32</t>
        </is>
      </c>
      <c r="F24" s="2716" t="inlineStr">
        <is>
          <t>G32</t>
        </is>
      </c>
      <c r="G24" s="2716">
        <f>IF(ISNUMBER('📈 PORTEFEUILLE'!G32),IF('📈 PORTEFEUILLE'!G32=0,"✅ QTÉ ZÉRO",IF(ABS('📈 PORTEFEUILLE'!L32-'📈 PORTEFEUILLE'!G32*'📈 PORTEFEUILLE'!I32)&lt;0.05,"✅ OK","🔴 OFFSET DÉTECTÉ")),"✅ N/A")</f>
        <v/>
      </c>
      <c r="I24" s="2716">
        <f>IF(G24="🔴 OFFSET DÉTECTÉ","→ Corriger L32: G32*I32","")</f>
        <v/>
      </c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5.75" customHeight="1" s="1666">
      <c r="B25" s="2666" t="n">
        <v>33</v>
      </c>
      <c r="C25" s="2666" t="inlineStr">
        <is>
          <t>QTUM</t>
        </is>
      </c>
      <c r="D25" s="2666" t="inlineStr">
        <is>
          <t>TFSA</t>
        </is>
      </c>
      <c r="E25" s="2666" t="inlineStr">
        <is>
          <t>G33</t>
        </is>
      </c>
      <c r="F25" s="2666" t="inlineStr">
        <is>
          <t>G33</t>
        </is>
      </c>
      <c r="G25" s="2666">
        <f>IF(ISNUMBER('📈 PORTEFEUILLE'!G33),IF('📈 PORTEFEUILLE'!G33=0,"✅ QTÉ ZÉRO",IF(ABS('📈 PORTEFEUILLE'!L33-'📈 PORTEFEUILLE'!G33*'📈 PORTEFEUILLE'!I33)&lt;0.05,"✅ OK","🔴 OFFSET DÉTECTÉ")),"✅ N/A")</f>
        <v/>
      </c>
      <c r="I25" s="2666">
        <f>IF(G25="🔴 OFFSET DÉTECTÉ","→ Corriger L33: G33*I33","")</f>
        <v/>
      </c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5.75" customHeight="1" s="1666">
      <c r="B26" s="2716" t="n">
        <v>34</v>
      </c>
      <c r="C26" s="2716" t="inlineStr">
        <is>
          <t>HURA.TO</t>
        </is>
      </c>
      <c r="D26" s="2716" t="inlineStr">
        <is>
          <t>TFSA</t>
        </is>
      </c>
      <c r="E26" s="2716" t="inlineStr">
        <is>
          <t>G34</t>
        </is>
      </c>
      <c r="F26" s="2716" t="inlineStr">
        <is>
          <t>G34</t>
        </is>
      </c>
      <c r="G26" s="2716">
        <f>IF(ISNUMBER('📈 PORTEFEUILLE'!G34),IF('📈 PORTEFEUILLE'!G34=0,"✅ QTÉ ZÉRO",IF(ABS('📈 PORTEFEUILLE'!L34-'📈 PORTEFEUILLE'!G34*'📈 PORTEFEUILLE'!I34)&lt;0.05,"✅ OK","🔴 OFFSET DÉTECTÉ")),"✅ N/A")</f>
        <v/>
      </c>
      <c r="I26" s="2716">
        <f>IF(G26="🔴 OFFSET DÉTECTÉ","→ Corriger L34: G34*I34","")</f>
        <v/>
      </c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5.75" customHeight="1" s="1666">
      <c r="B27" s="2666" t="n">
        <v>35</v>
      </c>
      <c r="C27" s="2666" t="inlineStr">
        <is>
          <t>REI.UN.TO 🔴 VENDU</t>
        </is>
      </c>
      <c r="D27" s="2666" t="inlineStr">
        <is>
          <t>TFSA · VENDU 11 mars 2026 @ $19.02 · 332u</t>
        </is>
      </c>
      <c r="E27" s="2666" t="inlineStr">
        <is>
          <t>G35</t>
        </is>
      </c>
      <c r="F27" s="2666" t="inlineStr">
        <is>
          <t>G35</t>
        </is>
      </c>
      <c r="G27" s="2666">
        <f>IF(ISNUMBER('📈 PORTEFEUILLE'!G35),IF('📈 PORTEFEUILLE'!G35=0,"✅ QTÉ ZÉRO",IF(ABS('📈 PORTEFEUILLE'!L35-'📈 PORTEFEUILLE'!G35*'📈 PORTEFEUILLE'!I35)&lt;0.05,"✅ OK","🔴 OFFSET DÉTECTÉ")),"✅ N/A")</f>
        <v/>
      </c>
      <c r="I27" s="2666">
        <f>IF(G27="🔴 OFFSET DÉTECTÉ","→ Corriger L35: G35*I35","")</f>
        <v/>
      </c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5.75" customHeight="1" s="1666">
      <c r="B28" s="2716" t="n">
        <v>36</v>
      </c>
      <c r="C28" s="2716" t="inlineStr">
        <is>
          <t>PLZ.UN.TO 🔴 VENDU</t>
        </is>
      </c>
      <c r="D28" s="2716" t="inlineStr">
        <is>
          <t>TFSA · VENDU 11 mars 2026 @ $4.26 · 961u</t>
        </is>
      </c>
      <c r="E28" s="2716" t="inlineStr">
        <is>
          <t>G36</t>
        </is>
      </c>
      <c r="F28" s="2716" t="inlineStr">
        <is>
          <t>G36</t>
        </is>
      </c>
      <c r="G28" s="2716">
        <f>IF(ISNUMBER('📈 PORTEFEUILLE'!G36),IF('📈 PORTEFEUILLE'!G36=0,"✅ QTÉ ZÉRO",IF(ABS('📈 PORTEFEUILLE'!L36-'📈 PORTEFEUILLE'!G36*'📈 PORTEFEUILLE'!I36)&lt;0.05,"✅ OK","🔴 OFFSET DÉTECTÉ")),"✅ N/A")</f>
        <v/>
      </c>
      <c r="I28" s="2716">
        <f>IF(G28="🔴 OFFSET DÉTECTÉ","→ Corriger L36: G36*I36","")</f>
        <v/>
      </c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5.75" customHeight="1" s="1666">
      <c r="B29" s="2666" t="n">
        <v>37</v>
      </c>
      <c r="C29" s="2666" t="inlineStr">
        <is>
          <t>XEI.TO</t>
        </is>
      </c>
      <c r="D29" s="2666" t="inlineStr">
        <is>
          <t>TFSA</t>
        </is>
      </c>
      <c r="E29" s="2666" t="inlineStr">
        <is>
          <t>G37</t>
        </is>
      </c>
      <c r="F29" s="2666" t="inlineStr">
        <is>
          <t>G37</t>
        </is>
      </c>
      <c r="G29" s="2666">
        <f>IF(ISNUMBER('📈 PORTEFEUILLE'!G37),IF('📈 PORTEFEUILLE'!G37=0,"✅ QTÉ ZÉRO",IF(ABS('📈 PORTEFEUILLE'!L37-'📈 PORTEFEUILLE'!G37*'📈 PORTEFEUILLE'!I37)&lt;0.05,"✅ OK","🔴 OFFSET DÉTECTÉ")),"✅ N/A")</f>
        <v/>
      </c>
      <c r="I29" s="2666">
        <f>IF(G29="🔴 OFFSET DÉTECTÉ","→ Corriger L37: G37*I37","")</f>
        <v/>
      </c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.75" customHeight="1" s="1666">
      <c r="B30" s="2716" t="n">
        <v>38</v>
      </c>
      <c r="C30" s="2716" t="inlineStr">
        <is>
          <t>SRU.UN.TO</t>
        </is>
      </c>
      <c r="D30" s="2716" t="inlineStr">
        <is>
          <t>TFSA</t>
        </is>
      </c>
      <c r="E30" s="2716" t="inlineStr">
        <is>
          <t>G38</t>
        </is>
      </c>
      <c r="F30" s="2716" t="inlineStr">
        <is>
          <t>G38</t>
        </is>
      </c>
      <c r="G30" s="2716">
        <f>IF(ISNUMBER('📈 PORTEFEUILLE'!G38),IF('📈 PORTEFEUILLE'!G38=0,"✅ QTÉ ZÉRO",IF(ABS('📈 PORTEFEUILLE'!L38-'📈 PORTEFEUILLE'!G38*'📈 PORTEFEUILLE'!I38)&lt;0.05,"✅ OK","🔴 OFFSET DÉTECTÉ")),"✅ N/A")</f>
        <v/>
      </c>
      <c r="I30" s="2716">
        <f>IF(G30="🔴 OFFSET DÉTECTÉ","→ Corriger L38: G38*I38","")</f>
        <v/>
      </c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.75" customHeight="1" s="1666">
      <c r="B31" s="2666" t="n">
        <v>39</v>
      </c>
      <c r="C31" s="2666" t="inlineStr">
        <is>
          <t>XIC.TO</t>
        </is>
      </c>
      <c r="D31" s="2666" t="inlineStr">
        <is>
          <t>TFSA</t>
        </is>
      </c>
      <c r="E31" s="2666" t="inlineStr">
        <is>
          <t>G39</t>
        </is>
      </c>
      <c r="F31" s="2666" t="inlineStr">
        <is>
          <t>G39</t>
        </is>
      </c>
      <c r="G31" s="2666">
        <f>IF(ISNUMBER('📈 PORTEFEUILLE'!G39),IF('📈 PORTEFEUILLE'!G39=0,"✅ QTÉ ZÉRO",IF(ABS('📈 PORTEFEUILLE'!L39-'📈 PORTEFEUILLE'!G39*'📈 PORTEFEUILLE'!I39)&lt;0.05,"✅ OK","🔴 OFFSET DÉTECTÉ")),"✅ N/A")</f>
        <v/>
      </c>
      <c r="I31" s="2666">
        <f>IF(G31="🔴 OFFSET DÉTECTÉ","→ Corriger L39: G39*I39","")</f>
        <v/>
      </c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.75" customHeight="1" s="1666">
      <c r="B32" s="2716" t="n">
        <v>40</v>
      </c>
      <c r="C32" s="2716" t="inlineStr">
        <is>
          <t>ZRE.TO</t>
        </is>
      </c>
      <c r="D32" s="2716" t="inlineStr">
        <is>
          <t>TFSA</t>
        </is>
      </c>
      <c r="E32" s="2716" t="inlineStr">
        <is>
          <t>G40</t>
        </is>
      </c>
      <c r="F32" s="2716" t="inlineStr">
        <is>
          <t>G40</t>
        </is>
      </c>
      <c r="G32" s="2716">
        <f>IF(ISNUMBER('📈 PORTEFEUILLE'!G40),IF('📈 PORTEFEUILLE'!G40=0,"✅ QTÉ ZÉRO",IF(ABS('📈 PORTEFEUILLE'!L40-'📈 PORTEFEUILLE'!G40*'📈 PORTEFEUILLE'!I40)&lt;0.05,"✅ OK","🔴 OFFSET DÉTECTÉ")),"✅ N/A")</f>
        <v/>
      </c>
      <c r="I32" s="2716">
        <f>IF(G32="🔴 OFFSET DÉTECTÉ","→ Corriger L40: G40*I40","")</f>
        <v/>
      </c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.75" customHeight="1" s="1666">
      <c r="B33" s="2666" t="n">
        <v>41</v>
      </c>
      <c r="C33" s="2666" t="inlineStr">
        <is>
          <t>MFC.TO</t>
        </is>
      </c>
      <c r="D33" s="2666" t="inlineStr">
        <is>
          <t>TFSA</t>
        </is>
      </c>
      <c r="E33" s="2666" t="inlineStr">
        <is>
          <t>G41</t>
        </is>
      </c>
      <c r="F33" s="2666" t="inlineStr">
        <is>
          <t>G41</t>
        </is>
      </c>
      <c r="G33" s="2666">
        <f>IF(ISNUMBER('📈 PORTEFEUILLE'!G41),IF('📈 PORTEFEUILLE'!G41=0,"✅ QTÉ ZÉRO",IF(ABS('📈 PORTEFEUILLE'!L41-'📈 PORTEFEUILLE'!G41*'📈 PORTEFEUILLE'!I41)&lt;0.05,"✅ OK","🔴 OFFSET DÉTECTÉ")),"✅ N/A")</f>
        <v/>
      </c>
      <c r="I33" s="2666">
        <f>IF(G33="🔴 OFFSET DÉTECTÉ","→ Corriger L41: G41*I41","")</f>
        <v/>
      </c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.75" customHeight="1" s="1666">
      <c r="B34" s="2716" t="n">
        <v>42</v>
      </c>
      <c r="C34" s="2716" t="inlineStr">
        <is>
          <t>VDU.TO</t>
        </is>
      </c>
      <c r="D34" s="2716" t="inlineStr">
        <is>
          <t>TFSA</t>
        </is>
      </c>
      <c r="E34" s="2716" t="inlineStr">
        <is>
          <t>G42</t>
        </is>
      </c>
      <c r="F34" s="2716" t="inlineStr">
        <is>
          <t>G42</t>
        </is>
      </c>
      <c r="G34" s="2716">
        <f>IF(ISNUMBER('📈 PORTEFEUILLE'!G42),IF('📈 PORTEFEUILLE'!G42=0,"✅ QTÉ ZÉRO",IF(ABS('📈 PORTEFEUILLE'!L42-'📈 PORTEFEUILLE'!G42*'📈 PORTEFEUILLE'!I42)&lt;0.05,"✅ OK","🔴 OFFSET DÉTECTÉ")),"✅ N/A")</f>
        <v/>
      </c>
      <c r="I34" s="2716">
        <f>IF(G34="🔴 OFFSET DÉTECTÉ","→ Corriger L42: G42*I42","")</f>
        <v/>
      </c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5.75" customHeight="1" s="1666">
      <c r="B35" s="2666" t="n">
        <v>47</v>
      </c>
      <c r="C35" s="2666" t="inlineStr">
        <is>
          <t>VFV.TO</t>
        </is>
      </c>
      <c r="D35" s="2666" t="inlineStr">
        <is>
          <t>FHSA</t>
        </is>
      </c>
      <c r="E35" s="2666" t="inlineStr">
        <is>
          <t>G47</t>
        </is>
      </c>
      <c r="F35" s="2666" t="inlineStr">
        <is>
          <t>G47</t>
        </is>
      </c>
      <c r="G35" s="2666">
        <f>IF(ISNUMBER('📈 PORTEFEUILLE'!G47),IF('📈 PORTEFEUILLE'!G47=0,"✅ QTÉ ZÉRO",IF(ABS('📈 PORTEFEUILLE'!L47-'📈 PORTEFEUILLE'!G47*'📈 PORTEFEUILLE'!I47)&lt;0.05,"✅ OK","🔴 OFFSET DÉTECTÉ")),"✅ N/A")</f>
        <v/>
      </c>
      <c r="I35" s="2666">
        <f>IF(G35="🔴 OFFSET DÉTECTÉ","→ Corriger L47: G47*I47","")</f>
        <v/>
      </c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.75" customHeight="1" s="1666">
      <c r="B36" s="2716" t="n">
        <v>48</v>
      </c>
      <c r="C36" s="2716" t="inlineStr">
        <is>
          <t>AMZN</t>
        </is>
      </c>
      <c r="D36" s="2716" t="inlineStr">
        <is>
          <t>FHSA</t>
        </is>
      </c>
      <c r="E36" s="2716" t="inlineStr">
        <is>
          <t>G48</t>
        </is>
      </c>
      <c r="F36" s="2716" t="inlineStr">
        <is>
          <t>G48</t>
        </is>
      </c>
      <c r="G36" s="2716">
        <f>IF(ISNUMBER('📈 PORTEFEUILLE'!G48),IF('📈 PORTEFEUILLE'!G48=0,"✅ QTÉ ZÉRO",IF(ABS('📈 PORTEFEUILLE'!L48-'📈 PORTEFEUILLE'!G48*'📈 PORTEFEUILLE'!I48)&lt;0.05,"✅ OK","🔴 OFFSET DÉTECTÉ")),"✅ N/A")</f>
        <v/>
      </c>
      <c r="I36" s="2716">
        <f>IF(G36="🔴 OFFSET DÉTECTÉ","→ Corriger L48: G48*I48","")</f>
        <v/>
      </c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.75" customHeight="1" s="1666">
      <c r="B37" s="2666" t="n">
        <v>49</v>
      </c>
      <c r="C37" s="2666" t="inlineStr">
        <is>
          <t>QQQM</t>
        </is>
      </c>
      <c r="D37" s="2666" t="inlineStr">
        <is>
          <t>FHSA</t>
        </is>
      </c>
      <c r="E37" s="2666" t="inlineStr">
        <is>
          <t>G49</t>
        </is>
      </c>
      <c r="F37" s="2666" t="inlineStr">
        <is>
          <t>G49</t>
        </is>
      </c>
      <c r="G37" s="2666">
        <f>IF(ISNUMBER('📈 PORTEFEUILLE'!G49),IF('📈 PORTEFEUILLE'!G49=0,"✅ QTÉ ZÉRO",IF(ABS('📈 PORTEFEUILLE'!L49-'📈 PORTEFEUILLE'!G49*'📈 PORTEFEUILLE'!I49)&lt;0.05,"✅ OK","🔴 OFFSET DÉTECTÉ")),"✅ N/A")</f>
        <v/>
      </c>
      <c r="I37" s="2666">
        <f>IF(G37="🔴 OFFSET DÉTECTÉ","→ Corriger L49: G49*I49","")</f>
        <v/>
      </c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.75" customHeight="1" s="1666">
      <c r="B38" s="2716" t="n">
        <v>50</v>
      </c>
      <c r="C38" s="2716" t="inlineStr">
        <is>
          <t>XEQT.TO</t>
        </is>
      </c>
      <c r="D38" s="2716" t="inlineStr">
        <is>
          <t>FHSA</t>
        </is>
      </c>
      <c r="E38" s="2716" t="inlineStr">
        <is>
          <t>G50</t>
        </is>
      </c>
      <c r="F38" s="2716" t="inlineStr">
        <is>
          <t>G50</t>
        </is>
      </c>
      <c r="G38" s="2716">
        <f>IF(ISNUMBER('📈 PORTEFEUILLE'!G50),IF('📈 PORTEFEUILLE'!G50=0,"✅ QTÉ ZÉRO",IF(ABS('📈 PORTEFEUILLE'!L50-'📈 PORTEFEUILLE'!G50*'📈 PORTEFEUILLE'!I50)&lt;0.05,"✅ OK","🔴 OFFSET DÉTECTÉ")),"✅ N/A")</f>
        <v/>
      </c>
      <c r="I38" s="2716">
        <f>IF(G38="🔴 OFFSET DÉTECTÉ","→ Corriger L50: G50*I50","")</f>
        <v/>
      </c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5.75" customHeight="1" s="1666">
      <c r="B39" s="2666" t="n">
        <v>51</v>
      </c>
      <c r="C39" s="2666" t="inlineStr">
        <is>
          <t>TD.TO</t>
        </is>
      </c>
      <c r="D39" s="2666" t="inlineStr">
        <is>
          <t>FHSA</t>
        </is>
      </c>
      <c r="E39" s="2666" t="inlineStr">
        <is>
          <t>G51</t>
        </is>
      </c>
      <c r="F39" s="2666" t="inlineStr">
        <is>
          <t>G51</t>
        </is>
      </c>
      <c r="G39" s="2666">
        <f>IF(ISNUMBER('📈 PORTEFEUILLE'!G51),IF('📈 PORTEFEUILLE'!G51=0,"✅ QTÉ ZÉRO",IF(ABS('📈 PORTEFEUILLE'!L51-'📈 PORTEFEUILLE'!G51*'📈 PORTEFEUILLE'!I51)&lt;0.05,"✅ OK","🔴 OFFSET DÉTECTÉ")),"✅ N/A")</f>
        <v/>
      </c>
      <c r="I39" s="2666">
        <f>IF(G39="🔴 OFFSET DÉTECTÉ","→ Corriger L51: G51*I51","")</f>
        <v/>
      </c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5.75" customHeight="1" s="1666">
      <c r="B40" s="2716" t="n">
        <v>52</v>
      </c>
      <c r="C40" s="2716" t="inlineStr">
        <is>
          <t>H.TO</t>
        </is>
      </c>
      <c r="D40" s="2716" t="inlineStr">
        <is>
          <t>FHSA</t>
        </is>
      </c>
      <c r="E40" s="2716" t="inlineStr">
        <is>
          <t>G52</t>
        </is>
      </c>
      <c r="F40" s="2716" t="inlineStr">
        <is>
          <t>G52</t>
        </is>
      </c>
      <c r="G40" s="2716">
        <f>IF(ISNUMBER('📈 PORTEFEUILLE'!G52),IF('📈 PORTEFEUILLE'!G52=0,"✅ QTÉ ZÉRO",IF(ABS('📈 PORTEFEUILLE'!L52-'📈 PORTEFEUILLE'!G52*'📈 PORTEFEUILLE'!I52)&lt;0.05,"✅ OK","🔴 OFFSET DÉTECTÉ")),"✅ N/A")</f>
        <v/>
      </c>
      <c r="I40" s="2716">
        <f>IF(G40="🔴 OFFSET DÉTECTÉ","→ Corriger L52: G52*I52","")</f>
        <v/>
      </c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5.75" customHeight="1" s="1666">
      <c r="B41" s="2666" t="n">
        <v>53</v>
      </c>
      <c r="C41" s="2666" t="inlineStr">
        <is>
          <t>ZLB.TO</t>
        </is>
      </c>
      <c r="D41" s="2666" t="inlineStr">
        <is>
          <t>FHSA</t>
        </is>
      </c>
      <c r="E41" s="2666" t="inlineStr">
        <is>
          <t>G53</t>
        </is>
      </c>
      <c r="F41" s="2666" t="inlineStr">
        <is>
          <t>G53</t>
        </is>
      </c>
      <c r="G41" s="2666">
        <f>IF(ISNUMBER('📈 PORTEFEUILLE'!G53),IF('📈 PORTEFEUILLE'!G53=0,"✅ QTÉ ZÉRO",IF(ABS('📈 PORTEFEUILLE'!L53-'📈 PORTEFEUILLE'!G53*'📈 PORTEFEUILLE'!I53)&lt;0.05,"✅ OK","🔴 OFFSET DÉTECTÉ")),"✅ N/A")</f>
        <v/>
      </c>
      <c r="I41" s="2666">
        <f>IF(G41="🔴 OFFSET DÉTECTÉ","→ Corriger L53: G53*I53","")</f>
        <v/>
      </c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5.75" customHeight="1" s="1666">
      <c r="B42" s="2716" t="n">
        <v>54</v>
      </c>
      <c r="C42" s="2716" t="inlineStr">
        <is>
          <t>SRU.UN.TO</t>
        </is>
      </c>
      <c r="D42" s="2716" t="inlineStr">
        <is>
          <t>FHSA</t>
        </is>
      </c>
      <c r="E42" s="2716" t="inlineStr">
        <is>
          <t>G54</t>
        </is>
      </c>
      <c r="F42" s="2716" t="inlineStr">
        <is>
          <t>G54</t>
        </is>
      </c>
      <c r="G42" s="2716">
        <f>IF(ISNUMBER('📈 PORTEFEUILLE'!G54),IF('📈 PORTEFEUILLE'!G54=0,"✅ QTÉ ZÉRO",IF(ABS('📈 PORTEFEUILLE'!L54-'📈 PORTEFEUILLE'!G54*'📈 PORTEFEUILLE'!I54)&lt;0.05,"✅ OK","🔴 OFFSET DÉTECTÉ")),"✅ N/A")</f>
        <v/>
      </c>
      <c r="I42" s="2716">
        <f>IF(G42="🔴 OFFSET DÉTECTÉ","→ Corriger L54: G54*I54","")</f>
        <v/>
      </c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5.75" customHeight="1" s="1666">
      <c r="B43" s="2666" t="n">
        <v>55</v>
      </c>
      <c r="C43" s="2666" t="inlineStr">
        <is>
          <t>REI.UN.TO</t>
        </is>
      </c>
      <c r="D43" s="2666" t="inlineStr">
        <is>
          <t>FHSA</t>
        </is>
      </c>
      <c r="E43" s="2666" t="inlineStr">
        <is>
          <t>G55</t>
        </is>
      </c>
      <c r="F43" s="2666" t="inlineStr">
        <is>
          <t>G55</t>
        </is>
      </c>
      <c r="G43" s="2666">
        <f>IF(ISNUMBER('📈 PORTEFEUILLE'!G55),IF('📈 PORTEFEUILLE'!G55=0,"✅ QTÉ ZÉRO",IF(ABS('📈 PORTEFEUILLE'!L55-'📈 PORTEFEUILLE'!G55*'📈 PORTEFEUILLE'!I55)&lt;0.05,"✅ OK","🔴 OFFSET DÉTECTÉ")),"✅ N/A")</f>
        <v/>
      </c>
      <c r="I43" s="2666">
        <f>IF(G43="🔴 OFFSET DÉTECTÉ","→ Corriger L55: G55*I55","")</f>
        <v/>
      </c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5.75" customHeight="1" s="1666">
      <c r="B44" s="2716" t="n">
        <v>56</v>
      </c>
      <c r="C44" s="2716" t="inlineStr">
        <is>
          <t>XIC.TO</t>
        </is>
      </c>
      <c r="D44" s="2716" t="inlineStr">
        <is>
          <t>FHSA</t>
        </is>
      </c>
      <c r="E44" s="2716" t="inlineStr">
        <is>
          <t>G56</t>
        </is>
      </c>
      <c r="F44" s="2716" t="inlineStr">
        <is>
          <t>G56</t>
        </is>
      </c>
      <c r="G44" s="2716">
        <f>IF(ISNUMBER('📈 PORTEFEUILLE'!G56),IF('📈 PORTEFEUILLE'!G56=0,"✅ QTÉ ZÉRO",IF(ABS('📈 PORTEFEUILLE'!L56-'📈 PORTEFEUILLE'!G56*'📈 PORTEFEUILLE'!I56)&lt;0.05,"✅ OK","🔴 OFFSET DÉTECTÉ")),"✅ N/A")</f>
        <v/>
      </c>
      <c r="I44" s="2716">
        <f>IF(G44="🔴 OFFSET DÉTECTÉ","→ Corriger L56: G56*I56","")</f>
        <v/>
      </c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5.75" customHeight="1" s="1666">
      <c r="B45" s="2666" t="n">
        <v>57</v>
      </c>
      <c r="C45" s="2666" t="inlineStr">
        <is>
          <t>XEI.TO</t>
        </is>
      </c>
      <c r="D45" s="2666" t="inlineStr">
        <is>
          <t>FHSA</t>
        </is>
      </c>
      <c r="E45" s="2666" t="inlineStr">
        <is>
          <t>G57</t>
        </is>
      </c>
      <c r="F45" s="2666" t="inlineStr">
        <is>
          <t>G57</t>
        </is>
      </c>
      <c r="G45" s="2666">
        <f>IF(ISNUMBER('📈 PORTEFEUILLE'!G57),IF('📈 PORTEFEUILLE'!G57=0,"✅ QTÉ ZÉRO",IF(ABS('📈 PORTEFEUILLE'!L57-'📈 PORTEFEUILLE'!G57*'📈 PORTEFEUILLE'!I57)&lt;0.05,"✅ OK","🔴 OFFSET DÉTECTÉ")),"✅ N/A")</f>
        <v/>
      </c>
      <c r="I45" s="2666">
        <f>IF(G45="🔴 OFFSET DÉTECTÉ","→ Corriger L57: G57*I57","")</f>
        <v/>
      </c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5.75" customHeight="1" s="1666">
      <c r="B46" s="2716" t="n">
        <v>62</v>
      </c>
      <c r="C46" s="2716" t="inlineStr">
        <is>
          <t>SCHD</t>
        </is>
      </c>
      <c r="D46" s="2716" t="inlineStr">
        <is>
          <t>REER</t>
        </is>
      </c>
      <c r="E46" s="2716" t="inlineStr">
        <is>
          <t>G62</t>
        </is>
      </c>
      <c r="F46" s="2716" t="inlineStr">
        <is>
          <t>G62</t>
        </is>
      </c>
      <c r="G46" s="2716">
        <f>IF(ISNUMBER('📈 PORTEFEUILLE'!G62),IF('📈 PORTEFEUILLE'!G62=0,"✅ QTÉ ZÉRO",IF(ABS('📈 PORTEFEUILLE'!L62-'📈 PORTEFEUILLE'!G62*'📈 PORTEFEUILLE'!I62)&lt;0.05,"✅ OK","🔴 OFFSET DÉTECTÉ")),"✅ N/A")</f>
        <v/>
      </c>
      <c r="I46" s="2716">
        <f>IF(G46="🔴 OFFSET DÉTECTÉ","→ Corriger L62: G62*I62","")</f>
        <v/>
      </c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5.75" customHeight="1" s="1666">
      <c r="B47" s="2666" t="n">
        <v>63</v>
      </c>
      <c r="C47" s="2666" t="inlineStr">
        <is>
          <t>JEPI</t>
        </is>
      </c>
      <c r="D47" s="2666" t="inlineStr">
        <is>
          <t>REER</t>
        </is>
      </c>
      <c r="E47" s="2666" t="inlineStr">
        <is>
          <t>G63</t>
        </is>
      </c>
      <c r="F47" s="2666" t="inlineStr">
        <is>
          <t>G63</t>
        </is>
      </c>
      <c r="G47" s="2666">
        <f>IF(ISNUMBER('📈 PORTEFEUILLE'!G63),IF('📈 PORTEFEUILLE'!G63=0,"✅ QTÉ ZÉRO",IF(ABS('📈 PORTEFEUILLE'!L63-'📈 PORTEFEUILLE'!G63*'📈 PORTEFEUILLE'!I63)&lt;0.05,"✅ OK","🔴 OFFSET DÉTECTÉ")),"✅ N/A")</f>
        <v/>
      </c>
      <c r="I47" s="2666">
        <f>IF(G47="🔴 OFFSET DÉTECTÉ","→ Corriger L63: G63*I63","")</f>
        <v/>
      </c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5.75" customHeight="1" s="1666">
      <c r="B48" s="2716" t="n">
        <v>64</v>
      </c>
      <c r="C48" s="2716" t="inlineStr">
        <is>
          <t>XEI.TO</t>
        </is>
      </c>
      <c r="D48" s="2716" t="inlineStr">
        <is>
          <t>REER</t>
        </is>
      </c>
      <c r="E48" s="2716" t="inlineStr">
        <is>
          <t>G64</t>
        </is>
      </c>
      <c r="F48" s="2716" t="inlineStr">
        <is>
          <t>G64</t>
        </is>
      </c>
      <c r="G48" s="2716">
        <f>IF(ISNUMBER('📈 PORTEFEUILLE'!G64),IF('📈 PORTEFEUILLE'!G64=0,"✅ QTÉ ZÉRO",IF(ABS('📈 PORTEFEUILLE'!L64-'📈 PORTEFEUILLE'!G64*'📈 PORTEFEUILLE'!I64)&lt;0.05,"✅ OK","🔴 OFFSET DÉTECTÉ")),"✅ N/A")</f>
        <v/>
      </c>
      <c r="I48" s="2716">
        <f>IF(G48="🔴 OFFSET DÉTECTÉ","→ Corriger L64: G64*I64","")</f>
        <v/>
      </c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5.75" customHeight="1" s="1666">
      <c r="B49" s="2666" t="n">
        <v>65</v>
      </c>
      <c r="C49" s="2666" t="inlineStr">
        <is>
          <t>ZEQT.TO</t>
        </is>
      </c>
      <c r="D49" s="2666" t="inlineStr">
        <is>
          <t>REER</t>
        </is>
      </c>
      <c r="E49" s="2666" t="inlineStr">
        <is>
          <t>G65</t>
        </is>
      </c>
      <c r="F49" s="2666" t="inlineStr">
        <is>
          <t>G65</t>
        </is>
      </c>
      <c r="G49" s="2666">
        <f>IF(ISNUMBER('📈 PORTEFEUILLE'!G65),IF('📈 PORTEFEUILLE'!G65=0,"✅ QTÉ ZÉRO",IF(ABS('📈 PORTEFEUILLE'!L65-'📈 PORTEFEUILLE'!G65*'📈 PORTEFEUILLE'!I65)&lt;0.05,"✅ OK","🔴 OFFSET DÉTECTÉ")),"✅ N/A")</f>
        <v/>
      </c>
      <c r="I49" s="2666">
        <f>IF(G49="🔴 OFFSET DÉTECTÉ","→ Corriger L65: G65*I65","")</f>
        <v/>
      </c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5.75" customHeight="1" s="1666">
      <c r="B50" s="2716" t="n">
        <v>66</v>
      </c>
      <c r="C50" s="2716" t="inlineStr">
        <is>
          <t>XRE.TO</t>
        </is>
      </c>
      <c r="D50" s="2716" t="inlineStr">
        <is>
          <t>REER</t>
        </is>
      </c>
      <c r="E50" s="2716" t="inlineStr">
        <is>
          <t>G66</t>
        </is>
      </c>
      <c r="F50" s="2716" t="inlineStr">
        <is>
          <t>G66</t>
        </is>
      </c>
      <c r="G50" s="2716">
        <f>IF(ISNUMBER('📈 PORTEFEUILLE'!G66),IF('📈 PORTEFEUILLE'!G66=0,"✅ QTÉ ZÉRO",IF(ABS('📈 PORTEFEUILLE'!L66-'📈 PORTEFEUILLE'!G66*'📈 PORTEFEUILLE'!I66)&lt;0.05,"✅ OK","🔴 OFFSET DÉTECTÉ")),"✅ N/A")</f>
        <v/>
      </c>
      <c r="I50" s="2716">
        <f>IF(G50="🔴 OFFSET DÉTECTÉ","→ Corriger L66: G66*I66","")</f>
        <v/>
      </c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9.5" customHeight="1" s="1666">
      <c r="B51" s="1689" t="inlineStr">
        <is>
          <t>RÉSULTAT CHECK 1</t>
        </is>
      </c>
      <c r="E51" s="3001">
        <f>COUNTIF(G7:G50,"🔴 OFFSET DÉTECTÉ")</f>
        <v/>
      </c>
      <c r="G51" s="1689">
        <f>IF(E51=0,"✅ 0 OFFSET — FORMULES INTÈGRES","🔴 "&amp;E51&amp;" OFFSET(S) — CORRIGER")</f>
        <v/>
      </c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5.75" customHeight="1" s="1666"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5.75" customHeight="1" s="1666"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8" customHeight="1" s="1666">
      <c r="B54" s="1689" t="inlineStr">
        <is>
          <t>💰  CHECK 2  —  TOTAUX vs QUESTRADE  ·  Écart toléré &lt; $300 (fractions d'unités)</t>
        </is>
      </c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5" customHeight="1" s="1666">
      <c r="B55" s="3000" t="inlineStr">
        <is>
          <t>Mettre à jour colonne E après chaque dump Questrade. Écart &gt; $300 = formule cassée.</t>
        </is>
      </c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5" customHeight="1" s="1666">
      <c r="B56" s="1690" t="inlineStr">
        <is>
          <t>COMPTE</t>
        </is>
      </c>
      <c r="C56" s="1690" t="inlineStr">
        <is>
          <t>CALCULÉ</t>
        </is>
      </c>
      <c r="E56" s="1690" t="inlineStr">
        <is>
          <t>QUESTRADE ← SAISIR</t>
        </is>
      </c>
      <c r="F56" s="1690" t="inlineStr">
        <is>
          <t>ÉCART $</t>
        </is>
      </c>
      <c r="G56" s="1690" t="inlineStr">
        <is>
          <t>ÉCART %</t>
        </is>
      </c>
      <c r="H56" s="1690" t="inlineStr">
        <is>
          <t>STATUT</t>
        </is>
      </c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6.5" customHeight="1" s="1666">
      <c r="B57" s="2666" t="inlineStr">
        <is>
          <t>TFSA</t>
        </is>
      </c>
      <c r="C57" s="3002">
        <f>'📈 PORTEFEUILLE'!L44</f>
        <v/>
      </c>
      <c r="E57" s="2667" t="n">
        <v>69671.86</v>
      </c>
      <c r="F57" s="3002">
        <f>C57-E57</f>
        <v/>
      </c>
      <c r="G57" s="2666">
        <f>IF(E57&gt;0,ABS(C57-E57)/E57,0)</f>
        <v/>
      </c>
      <c r="H57" s="2666">
        <f>IF(ABS(F57)&lt;300,"✅ OK (fractions)",IF(ABS(F57)&lt;1000,"🟡 VÉRIFIER","🔴 ERREUR CALCUL"))</f>
        <v/>
      </c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6.5" customHeight="1" s="1666">
      <c r="B58" s="2716" t="inlineStr">
        <is>
          <t>FHSA</t>
        </is>
      </c>
      <c r="C58" s="3003">
        <f>'📈 PORTEFEUILLE'!L59</f>
        <v/>
      </c>
      <c r="E58" s="2667" t="n">
        <v>14979.21</v>
      </c>
      <c r="F58" s="3003">
        <f>C58-E58</f>
        <v/>
      </c>
      <c r="G58" s="2716">
        <f>IF(E58&gt;0,ABS(C58-E58)/E58,0)</f>
        <v/>
      </c>
      <c r="H58" s="2716">
        <f>IF(ABS(F58)&lt;300,"✅ OK (fractions)",IF(ABS(F58)&lt;1000,"🟡 VÉRIFIER","🔴 ERREUR CALCUL"))</f>
        <v/>
      </c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6.5" customHeight="1" s="1666">
      <c r="B59" s="2666" t="inlineStr">
        <is>
          <t>REER</t>
        </is>
      </c>
      <c r="C59" s="3002">
        <f>'📈 PORTEFEUILLE'!L68</f>
        <v/>
      </c>
      <c r="E59" s="2667" t="n">
        <v>2783.58</v>
      </c>
      <c r="F59" s="3002">
        <f>C59-E59</f>
        <v/>
      </c>
      <c r="G59" s="2666">
        <f>IF(E59&gt;0,ABS(C59-E59)/E59,0)</f>
        <v/>
      </c>
      <c r="H59" s="2666">
        <f>IF(ABS(F59)&lt;300,"✅ OK (fractions)",IF(ABS(F59)&lt;1000,"🟡 VÉRIFIER","🔴 ERREUR CALCUL"))</f>
        <v/>
      </c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6.5" customHeight="1" s="1666">
      <c r="B60" s="3004" t="inlineStr">
        <is>
          <t>TOTAL</t>
        </is>
      </c>
      <c r="C60" s="3005">
        <f>'📈 PORTEFEUILLE'!L70</f>
        <v/>
      </c>
      <c r="E60" s="2667" t="n">
        <v>87434.64999999999</v>
      </c>
      <c r="F60" s="3005">
        <f>C60-E60</f>
        <v/>
      </c>
      <c r="G60" s="3004">
        <f>IF(E60&gt;0,ABS(C60-E60)/E60,0)</f>
        <v/>
      </c>
      <c r="H60" s="3006">
        <f>IF(ABS(F60)&lt;300,"✅ OK (fractions)",IF(ABS(F60)&lt;1000,"🟡 VÉRIFIER","🔴 ERREUR CALCUL"))</f>
        <v/>
      </c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9.5" customHeight="1" s="1666">
      <c r="B61" s="1689" t="inlineStr">
        <is>
          <t>RÉSULTAT CHECK 2</t>
        </is>
      </c>
      <c r="E61" s="3001">
        <f>COUNTIF(H57:H60,"🔴*")</f>
        <v/>
      </c>
      <c r="G61" s="1689">
        <f>IF(E61=0,"✅ TOTAUX COHÉRENTS","🔴 "&amp;E61&amp;" TOTAL(S) EN ERREUR")</f>
        <v/>
      </c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6" customHeight="1" s="1666"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8" customHeight="1" s="1666">
      <c r="B63" s="1689" t="inlineStr">
        <is>
          <t>📐  PRÉCISION DU FICHIER  ·  Écart % calculé vs Questrade réel  ·  Objectif &lt; 0.5%</t>
        </is>
      </c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2.75" customHeight="1" s="1666">
      <c r="B64" s="2389" t="inlineStr">
        <is>
          <t>MÉTRIQUE</t>
        </is>
      </c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8.75" customHeight="1" s="1666">
      <c r="B65" s="3007" t="inlineStr">
        <is>
          <t>Écart $ TOTAL</t>
        </is>
      </c>
      <c r="C65" s="1978" t="n"/>
      <c r="D65" s="1978" t="n"/>
      <c r="E65" s="1978" t="n"/>
      <c r="F65" s="1978" t="n"/>
      <c r="G65" s="1978" t="n"/>
      <c r="H65" s="1978" t="n"/>
      <c r="I65" s="1979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8.75" customHeight="1" s="1666">
      <c r="B66" s="3007" t="inlineStr">
        <is>
          <t>Écart % TOTAL</t>
        </is>
      </c>
      <c r="C66" s="3008">
        <f>'🔒 VALIDATION'!G60</f>
        <v/>
      </c>
      <c r="D66" s="1979" t="n"/>
      <c r="E66" s="3009" t="inlineStr">
        <is>
          <t>&lt; 0.5%</t>
        </is>
      </c>
      <c r="F66" s="1979" t="n"/>
      <c r="G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8.75" customHeight="1" s="1666">
      <c r="B67" s="3010" t="inlineStr">
        <is>
          <t>Taux USD/CAD (CONFIG)</t>
        </is>
      </c>
      <c r="C67" s="3011">
        <f>CONFIG!B3</f>
        <v/>
      </c>
      <c r="D67" s="1979" t="n"/>
      <c r="E67" s="3012" t="inlineStr">
        <is>
          <t>xe.com à chaque dump</t>
        </is>
      </c>
      <c r="F67" s="1979" t="n"/>
      <c r="G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3.5" customHeight="1" s="1666">
      <c r="B68" s="3013" t="inlineStr">
        <is>
          <t>📅  HISTORIQUE PRÉCISION  ·  Saisir après chaque session  ·  Évolution %  erreur dans le temps</t>
        </is>
      </c>
      <c r="C68" s="1665" t="n"/>
      <c r="E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3.5" customHeight="1" s="1666">
      <c r="B69" s="3014" t="inlineStr">
        <is>
          <t>SESSION</t>
        </is>
      </c>
      <c r="C69" s="3014" t="inlineStr">
        <is>
          <t>DATE</t>
        </is>
      </c>
      <c r="E69" s="3014" t="inlineStr">
        <is>
          <t>TOTAL QUESTRADE</t>
        </is>
      </c>
      <c r="G69" s="3014" t="inlineStr">
        <is>
          <t>ÉCART %</t>
        </is>
      </c>
      <c r="I69" s="3014" t="inlineStr">
        <is>
          <t>NOTE</t>
        </is>
      </c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8" customHeight="1" s="1666">
      <c r="B70" s="3015" t="inlineStr">
        <is>
          <t>S9→S10</t>
        </is>
      </c>
      <c r="C70" s="3016" t="inlineStr">
        <is>
          <t>2026-03-11</t>
        </is>
      </c>
      <c r="D70" s="1979" t="n"/>
      <c r="E70" s="3016">
        <f>'🔒 VALIDATION'!E60</f>
        <v/>
      </c>
      <c r="F70" s="1979" t="n"/>
      <c r="G70" s="3016">
        <f>'🔒 VALIDATION'!G60</f>
        <v/>
      </c>
      <c r="H70" s="1979" t="n"/>
      <c r="I70" s="3017" t="inlineStr">
        <is>
          <t>Session active — se met à jour</t>
        </is>
      </c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8" customHeight="1" s="1666">
      <c r="B71" s="3018" t="inlineStr">
        <is>
          <t>S8</t>
        </is>
      </c>
      <c r="C71" s="3019" t="inlineStr">
        <is>
          <t>2026-03-10</t>
        </is>
      </c>
      <c r="D71" s="1979" t="n"/>
      <c r="E71" s="3019" t="n">
        <v>87252</v>
      </c>
      <c r="F71" s="1979" t="n"/>
      <c r="G71" s="3019" t="inlineStr">
        <is>
          <t>~0.0%</t>
        </is>
      </c>
      <c r="H71" s="1979" t="n"/>
      <c r="I71" s="3020" t="inlineStr">
        <is>
          <t>Snapshot initial S10</t>
        </is>
      </c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8" customHeight="1" s="1666">
      <c r="B72" s="3021" t="inlineStr">
        <is>
          <t>S7</t>
        </is>
      </c>
      <c r="C72" s="3022" t="n"/>
      <c r="D72" s="1979" t="n"/>
      <c r="E72" s="3022" t="n"/>
      <c r="F72" s="1979" t="n"/>
      <c r="G72" s="3022" t="n"/>
      <c r="H72" s="1979" t="n"/>
      <c r="I72" s="3023" t="inlineStr">
        <is>
          <t>← Saisir après prochaine session</t>
        </is>
      </c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8" customHeight="1" s="1666">
      <c r="B73" s="3021" t="inlineStr">
        <is>
          <t>S6</t>
        </is>
      </c>
      <c r="C73" s="3022" t="n"/>
      <c r="D73" s="1979" t="n"/>
      <c r="E73" s="3022" t="n"/>
      <c r="F73" s="1979" t="n"/>
      <c r="G73" s="3022" t="n"/>
      <c r="H73" s="1979" t="n"/>
      <c r="I73" s="3023" t="inlineStr">
        <is>
          <t>← Saisir après prochaine session</t>
        </is>
      </c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8" customHeight="1" s="1666">
      <c r="B74" s="3021" t="inlineStr">
        <is>
          <t>S5</t>
        </is>
      </c>
      <c r="C74" s="1978" t="n"/>
      <c r="D74" s="1979" t="n"/>
      <c r="E74" s="3022" t="n"/>
      <c r="F74" s="1979" t="n"/>
      <c r="G74" s="3022" t="n"/>
      <c r="H74" s="1978" t="n"/>
      <c r="I74" s="1979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27.75" customHeight="1" s="1666">
      <c r="B75" s="3024" t="inlineStr">
        <is>
          <t>💡 PROTOCOLE PRÉCISION  ·  ① Après dump Questrade: copier totaux TFSA/FHSA/REER dans E57:E59  ·  ② Mettre à jour CONFIG!B3 (taux xe.com)  ·  ③ Noter SESSION+DATE+ÉCART% dans historique ci-dessus  ·  Objectif: &lt; 0.5% à chaque session</t>
        </is>
      </c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5.75" customHeight="1" s="1666">
      <c r="B76" s="1689" t="inlineStr">
        <is>
          <t>⚙️  CHECK 3  —  CONFIG RÉFÉRENCES CRITIQUES  ·  Brisées après fusion/suppression onglets</t>
        </is>
      </c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8" customHeight="1" s="1666">
      <c r="B77" s="3000" t="inlineStr">
        <is>
          <t>Chaque fois qu'un onglet est supprimé, ces cellules CONFIG peuvent perdre leur source.</t>
        </is>
      </c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5" customHeight="1" s="1666">
      <c r="B78" s="1690" t="inlineStr">
        <is>
          <t>CELLULE</t>
        </is>
      </c>
      <c r="F78" s="1665" t="n"/>
      <c r="I78" s="1690" t="inlineStr">
        <is>
          <t>ACTION</t>
        </is>
      </c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9.5" customHeight="1" s="1666">
      <c r="B79" s="2666" t="inlineStr">
        <is>
          <t>CONFIG!B3</t>
        </is>
      </c>
      <c r="F79" s="1665" t="n"/>
      <c r="I79" s="2666" t="inlineStr">
        <is>
          <t>xe.com après dump</t>
        </is>
      </c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9.5" customHeight="1" s="1666">
      <c r="B80" s="2716" t="inlineStr">
        <is>
          <t>CONFIG!B32</t>
        </is>
      </c>
      <c r="F80" s="1665" t="n"/>
      <c r="I80" s="2716" t="inlineStr">
        <is>
          <t>Valeur manuelle</t>
        </is>
      </c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9.5" customHeight="1" s="1666">
      <c r="B81" s="2666" t="inlineStr">
        <is>
          <t>CONFIG!B33</t>
        </is>
      </c>
      <c r="F81" s="1665" t="n"/>
      <c r="I81" s="2666" t="inlineStr">
        <is>
          <t>Valeur manuelle</t>
        </is>
      </c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9.5" customHeight="1" s="1666">
      <c r="B82" s="2716" t="inlineStr">
        <is>
          <t>CONFIG!B34</t>
        </is>
      </c>
      <c r="F82" s="1665" t="n"/>
      <c r="I82" s="2716" t="inlineStr">
        <is>
          <t>Valeur manuelle</t>
        </is>
      </c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9.5" customHeight="1" s="1666">
      <c r="B83" s="2666" t="inlineStr">
        <is>
          <t>CONFIG!B37</t>
        </is>
      </c>
      <c r="F83" s="1665" t="n"/>
      <c r="I83" s="2666" t="inlineStr">
        <is>
          <t>Depuis dump</t>
        </is>
      </c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9.5" customHeight="1" s="1666">
      <c r="B84" s="2716" t="inlineStr">
        <is>
          <t>CONFIG!B38</t>
        </is>
      </c>
      <c r="F84" s="1665" t="n"/>
      <c r="I84" s="2716" t="inlineStr">
        <is>
          <t>Depuis dump</t>
        </is>
      </c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9.5" customHeight="1" s="1666">
      <c r="B85" s="2666" t="inlineStr">
        <is>
          <t>CONFIG!B39</t>
        </is>
      </c>
      <c r="F85" s="1665" t="n"/>
      <c r="I85" s="2666" t="inlineStr">
        <is>
          <t>USD × B3</t>
        </is>
      </c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5.75" customHeight="1" s="1666">
      <c r="B86" s="1689" t="inlineStr">
        <is>
          <t>RÉSULTAT CHECK 3</t>
        </is>
      </c>
      <c r="E86" s="3001">
        <f>COUNTIF(G67:G73,"🔴*")</f>
        <v/>
      </c>
      <c r="G86" s="1689">
        <f>IF(E74=0,"✅ CONFIG INTÈGRE","🔴 "&amp;E74&amp;" REF(S) BRISÉE(S)")</f>
        <v/>
      </c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8" customHeight="1" s="1666">
      <c r="B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" customHeight="1" s="1666">
      <c r="C88" s="1665" t="n"/>
      <c r="H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8" customHeight="1" s="1666">
      <c r="B89" s="1689" t="inlineStr">
        <is>
          <t>⚖️  CHECK 4  —  RÈGLES MÉTIER CRITIQUES  ·  Plafonds · Positions protégées · Alertes FI</t>
        </is>
      </c>
      <c r="C89" s="1665" t="n"/>
      <c r="H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8" customHeight="1" s="1666">
      <c r="B90" s="1690" t="inlineStr">
        <is>
          <t>RÈGLE</t>
        </is>
      </c>
      <c r="C90" s="1665" t="n"/>
      <c r="H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8" customHeight="1" s="1666">
      <c r="B91" s="3025" t="inlineStr">
        <is>
          <t>🚫 T.TO + MFC.TO — JAMAIS vendre en perte TFSA (room perdu définitivement)</t>
        </is>
      </c>
      <c r="C91" s="1665" t="n"/>
      <c r="H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8" customHeight="1" s="1666">
      <c r="B92" s="3026" t="inlineStr">
        <is>
          <t>🤖 Expo IA ≤ 45% avant tout achat tech</t>
        </is>
      </c>
      <c r="C92" s="1665" t="n"/>
      <c r="H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8" customHeight="1" s="1666">
      <c r="B93" s="3025" t="inlineStr">
        <is>
          <t>💱 Expo USD ≤ 65%</t>
        </is>
      </c>
      <c r="C93" s="1665" t="n"/>
      <c r="H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8" customHeight="1" s="1666">
      <c r="B94" s="3027" t="inlineStr">
        <is>
          <t>❄️ Snowball REER — cotisé $2,000/mois ($2K → +$1,060 ARC)</t>
        </is>
      </c>
      <c r="C94" s="1665" t="n"/>
      <c r="H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8" customHeight="1" s="1666">
      <c r="B95" s="3025" t="inlineStr">
        <is>
          <t>🏠 FHSA room 2026 ≥ 0 (max $16,000 — sur-contribution = pénalité)</t>
        </is>
      </c>
      <c r="C95" s="1665" t="n"/>
      <c r="H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B96" s="3026" t="inlineStr">
        <is>
          <t>🏦 Fonds urgence — cible $15,000 EQ Bank</t>
        </is>
      </c>
      <c r="F96" s="2682">
        <f>IF(CONFIG!B25&gt;=15000,"✅ "&amp;TEXT(CONFIG!B25,"$#,##0"),"🔴 "&amp;TEXT(CONFIG!B25,"$#,##0")&amp;" — CIBLE $15K")</f>
        <v/>
      </c>
      <c r="I96" s="1710" t="inlineStr">
        <is>
          <t>HAUTE</t>
        </is>
      </c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B97" s="3028" t="inlineStr">
        <is>
          <t>✅ PLZ.UN.TO — 961u VENDUS 11 mars @ $4.26 · gain +17% · EXÉCUTÉ</t>
        </is>
      </c>
      <c r="F97" s="2681">
        <f>IF(SUMIF('📈 PORTEFEUILLE'!B:B,"PLZ.UN.TO",'📈 PORTEFEUILLE'!G:G)&gt;0,"🔴 PLZ.UN NON VENDU — ~$4,161 immobilisé","✅ PLZ.UN vendu")</f>
        <v/>
      </c>
      <c r="I97" s="2755" t="inlineStr">
        <is>
          <t>EXÉCUTÉ</t>
        </is>
      </c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8" customHeight="1" s="1666">
      <c r="B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8" customHeight="1" s="1666">
      <c r="B99" s="1689" t="inlineStr">
        <is>
          <t>📋  CHECK 5  —  PROTOCOLE SESSION  ·  7 étapes obligatoires à chaque ouverture</t>
        </is>
      </c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8" customHeight="1" s="1666">
      <c r="B100" s="1690" t="inlineStr">
        <is>
          <t>#</t>
        </is>
      </c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8" customHeight="1" s="1666">
      <c r="B101" s="3029" t="inlineStr">
        <is>
          <t>1</t>
        </is>
      </c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8" customHeight="1" s="1666">
      <c r="B102" s="3004" t="inlineStr">
        <is>
          <t>2</t>
        </is>
      </c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8" customHeight="1" s="1666">
      <c r="B103" s="3029" t="inlineStr">
        <is>
          <t>3</t>
        </is>
      </c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5.75" customHeight="1" s="1666">
      <c r="B104" s="3004" t="inlineStr">
        <is>
          <t>4</t>
        </is>
      </c>
      <c r="C104" s="3030" t="inlineStr">
        <is>
          <t>Ouvrir 🔒 VALIDATION — vérifier état global = 🟢</t>
        </is>
      </c>
      <c r="G104" s="3004" t="inlineStr">
        <is>
          <t>2 min</t>
        </is>
      </c>
      <c r="H104" s="2697" t="inlineStr">
        <is>
          <t>Si 🔴 → corriger AVANT de continuer</t>
        </is>
      </c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5.75" customHeight="1" s="1666">
      <c r="B105" s="3029" t="inlineStr">
        <is>
          <t>5</t>
        </is>
      </c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3.5" customHeight="1" s="1666">
      <c r="B106" s="3004" t="inlineStr">
        <is>
          <t>6</t>
        </is>
      </c>
      <c r="C106" s="3030" t="inlineStr">
        <is>
          <t>JAMAIS insérer ligne dans une section — toujours à la FIN</t>
        </is>
      </c>
      <c r="G106" s="3004" t="inlineStr">
        <is>
          <t>Toujours</t>
        </is>
      </c>
      <c r="H106" s="2697" t="inlineStr">
        <is>
          <t>Anti-offset · Règle absolue</t>
        </is>
      </c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8" customHeight="1" s="1666">
      <c r="B107" s="3029" t="inlineStr">
        <is>
          <t>7</t>
        </is>
      </c>
      <c r="C107" s="2674" t="inlineStr">
        <is>
          <t>CONTEXT : log session + actions exécutées</t>
        </is>
      </c>
      <c r="G107" s="3029" t="inlineStr">
        <is>
          <t>2 min</t>
        </is>
      </c>
      <c r="H107" s="2675" t="inlineStr">
        <is>
          <t>Fin de session obligatoire</t>
        </is>
      </c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8" customHeight="1" s="1666"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8" customHeight="1" s="1666"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8" customHeight="1" s="1666">
      <c r="B110" s="3031" t="inlineStr">
        <is>
          <t>📌  RÈGLES ANTI-OFFSET PERMANENTES  ·  Immuables</t>
        </is>
      </c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8" customHeight="1" s="1666">
      <c r="B111" s="3032" t="inlineStr">
        <is>
          <t>1. JAMAIS insérer une ligne au milieu d'une section positions. Toujours ajouter à la FIN.</t>
        </is>
      </c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B112" s="3033" t="inlineStr">
        <is>
          <t>2. Chaque L{N} DOIT utiliser G{N}*I{N} — même numéro de ligne. Vérifié par Check 1.</t>
        </is>
      </c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B113" s="3032" t="inlineStr">
        <is>
          <t>3. Chaque I{N} USD doit utiliser J{N}*C$4 — jamais J{N-1} ou J{N+1}.</t>
        </is>
      </c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B114" s="3033" t="inlineStr">
        <is>
          <t>4. Après suppression/renommage d'onglet: re-vérifier CONFIG B32/B33/B34 (Check 3).</t>
        </is>
      </c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B115" s="3032" t="inlineStr">
        <is>
          <t>5. SOUS-TOTAUX: TFSA=SUM(L15:L43) | FHSA=SUM(L46:L58) | REER=SUM(L62:L67) | TOTAL=L44+L59+L68.</t>
        </is>
      </c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5.75" customHeight="1" s="1666">
      <c r="B117" s="2691" t="inlineStr">
        <is>
          <t>📊  CHECK 6  —  COHÉRENCE EXPO USD/IA  ·  CONFIG vs réalité post-trades</t>
        </is>
      </c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5.75" customHeight="1" s="1666">
      <c r="B118" s="1690" t="inlineStr">
        <is>
          <t>MÉTRIQUE</t>
        </is>
      </c>
      <c r="C118" s="1690" t="inlineStr">
        <is>
          <t>CONFIG ACTUEL</t>
        </is>
      </c>
      <c r="D118" s="1690" t="inlineStr">
        <is>
          <t>ALERTES AFFICHE</t>
        </is>
      </c>
      <c r="E118" s="1690" t="inlineStr">
        <is>
          <t>ÉCART</t>
        </is>
      </c>
      <c r="F118" s="1690" t="inlineStr">
        <is>
          <t>STATUT</t>
        </is>
      </c>
      <c r="G118" s="1690" t="n"/>
      <c r="H118" s="1690" t="n"/>
      <c r="I118" s="1690" t="inlineStr">
        <is>
          <t>RÈGLE</t>
        </is>
      </c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B119" s="3034" t="inlineStr">
        <is>
          <t>Expo USD</t>
        </is>
      </c>
      <c r="C119" s="3035" t="inlineStr">
        <is>
          <t>44% (CONFIG!B32)</t>
        </is>
      </c>
      <c r="D119" s="3035" t="inlineStr">
        <is>
          <t>44% ✅</t>
        </is>
      </c>
      <c r="E119" s="3035" t="inlineStr">
        <is>
          <t>Cohérent</t>
        </is>
      </c>
      <c r="F119" s="3035" t="inlineStr">
        <is>
          <t>✅</t>
        </is>
      </c>
      <c r="G119" s="3035" t="n"/>
      <c r="H119" s="3035" t="n"/>
      <c r="I119" s="3035" t="inlineStr">
        <is>
          <t>Si écart &gt;5% → MAJ CONFIG!B32</t>
        </is>
      </c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B120" s="3034" t="inlineStr">
        <is>
          <t>Expo IA</t>
        </is>
      </c>
      <c r="C120" s="3035" t="inlineStr">
        <is>
          <t>28% (CONFIG!B31)</t>
        </is>
      </c>
      <c r="D120" s="3035" t="inlineStr">
        <is>
          <t>28% ✅</t>
        </is>
      </c>
      <c r="E120" s="3035" t="inlineStr">
        <is>
          <t>Cohérent</t>
        </is>
      </c>
      <c r="F120" s="3035" t="inlineStr">
        <is>
          <t>✅</t>
        </is>
      </c>
      <c r="G120" s="3035" t="n"/>
      <c r="H120" s="3035" t="n"/>
      <c r="I120" s="3035" t="inlineStr">
        <is>
          <t>Si écart &gt;5% → MAJ CONFIG!B31</t>
        </is>
      </c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B121" s="3034" t="inlineStr">
        <is>
          <t>Crypto CAD</t>
        </is>
      </c>
      <c r="C121" s="3035" t="inlineStr">
        <is>
          <t>$300 BTC</t>
        </is>
      </c>
      <c r="D121" s="3035" t="inlineStr">
        <is>
          <t>$300</t>
        </is>
      </c>
      <c r="E121" s="3035" t="inlineStr">
        <is>
          <t>OK</t>
        </is>
      </c>
      <c r="F121" s="3035" t="inlineStr">
        <is>
          <t>✅</t>
        </is>
      </c>
      <c r="G121" s="3035" t="n"/>
      <c r="H121" s="3035" t="n"/>
      <c r="I121" s="3035" t="inlineStr">
        <is>
          <t>BTC hors portefeuille principal</t>
        </is>
      </c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B122" s="2692" t="inlineStr">
        <is>
          <t>REER YTD</t>
        </is>
      </c>
      <c r="C122" s="2693" t="inlineStr">
        <is>
          <t>0 → doit être $0</t>
        </is>
      </c>
      <c r="D122" s="2693" t="inlineStr">
        <is>
          <t>$0</t>
        </is>
      </c>
      <c r="E122" s="2693" t="inlineStr">
        <is>
          <t>À MAJ post-achat SCHD</t>
        </is>
      </c>
      <c r="F122" s="2693" t="inlineStr">
        <is>
          <t>⚠️</t>
        </is>
      </c>
      <c r="G122" s="2693" t="n"/>
      <c r="H122" s="2693" t="n"/>
      <c r="I122" s="2693" t="inlineStr">
        <is>
          <t>MAJ après 12 mars</t>
        </is>
      </c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B123" s="3034" t="inlineStr">
        <is>
          <t>FHSA YTD</t>
        </is>
      </c>
      <c r="C123" s="3035" t="inlineStr">
        <is>
          <t>$12,000 (16×157)</t>
        </is>
      </c>
      <c r="D123" s="3035" t="inlineStr">
        <is>
          <t>$12,000</t>
        </is>
      </c>
      <c r="E123" s="3035" t="inlineStr">
        <is>
          <t>Cohérent</t>
        </is>
      </c>
      <c r="F123" s="3035" t="inlineStr">
        <is>
          <t>✅</t>
        </is>
      </c>
      <c r="G123" s="3035" t="n"/>
      <c r="H123" s="3035" t="n"/>
      <c r="I123" s="3035" t="inlineStr">
        <is>
          <t>Plafond $16K → room $4,000</t>
        </is>
      </c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5.75" customHeight="1" s="1666"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5.75" customHeight="1" s="1666"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5.75" customHeight="1" s="1666"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5.75" customHeight="1" s="1666"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5.75" customHeight="1" s="1666"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5.75" customHeight="1" s="1666"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5.75" customHeight="1" s="1666"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5.75" customHeight="1" s="1666"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5.75" customHeight="1" s="1666"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5.75" customHeight="1" s="1666"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5.75" customHeight="1" s="1666"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J271" s="1665" t="n"/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J272" s="1665" t="n"/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J273" s="1665" t="n"/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J274" s="1665" t="n"/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J275" s="1665" t="n"/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J276" s="1665" t="n"/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J277" s="1665" t="n"/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J278" s="1665" t="n"/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J279" s="1665" t="n"/>
      <c r="K279" s="1665" t="n"/>
      <c r="L279" s="1665" t="n"/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J280" s="1665" t="n"/>
      <c r="K280" s="1665" t="n"/>
      <c r="L280" s="1665" t="n"/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J281" s="1665" t="n"/>
      <c r="K281" s="1665" t="n"/>
      <c r="L281" s="1665" t="n"/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J282" s="1665" t="n"/>
      <c r="K282" s="1665" t="n"/>
      <c r="L282" s="1665" t="n"/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J283" s="1665" t="n"/>
      <c r="K283" s="1665" t="n"/>
      <c r="L283" s="1665" t="n"/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J284" s="1665" t="n"/>
      <c r="K284" s="1665" t="n"/>
      <c r="L284" s="1665" t="n"/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J285" s="1665" t="n"/>
      <c r="K285" s="1665" t="n"/>
      <c r="L285" s="1665" t="n"/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J286" s="1665" t="n"/>
      <c r="K286" s="1665" t="n"/>
      <c r="L286" s="1665" t="n"/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J287" s="1665" t="n"/>
      <c r="K287" s="1665" t="n"/>
      <c r="L287" s="1665" t="n"/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J288" s="1665" t="n"/>
      <c r="K288" s="1665" t="n"/>
      <c r="L288" s="1665" t="n"/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J289" s="1665" t="n"/>
      <c r="K289" s="1665" t="n"/>
      <c r="L289" s="1665" t="n"/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J290" s="1665" t="n"/>
      <c r="K290" s="1665" t="n"/>
      <c r="L290" s="1665" t="n"/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J291" s="1665" t="n"/>
      <c r="K291" s="1665" t="n"/>
      <c r="L291" s="1665" t="n"/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J292" s="1665" t="n"/>
      <c r="K292" s="1665" t="n"/>
      <c r="L292" s="1665" t="n"/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J293" s="1665" t="n"/>
      <c r="K293" s="1665" t="n"/>
      <c r="L293" s="1665" t="n"/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J294" s="1665" t="n"/>
      <c r="K294" s="1665" t="n"/>
      <c r="L294" s="1665" t="n"/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J295" s="1665" t="n"/>
      <c r="K295" s="1665" t="n"/>
      <c r="L295" s="1665" t="n"/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J296" s="1665" t="n"/>
      <c r="K296" s="1665" t="n"/>
      <c r="L296" s="1665" t="n"/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J297" s="1665" t="n"/>
      <c r="K297" s="1665" t="n"/>
      <c r="L297" s="1665" t="n"/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>
      <c r="J298" s="1665" t="n"/>
      <c r="K298" s="1665" t="n"/>
      <c r="L298" s="1665" t="n"/>
      <c r="M298" s="1665" t="n"/>
      <c r="N298" s="1665" t="n"/>
      <c r="O298" s="1665" t="n"/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5.75" customHeight="1" s="1666">
      <c r="J299" s="1665" t="n"/>
      <c r="K299" s="1665" t="n"/>
      <c r="L299" s="1665" t="n"/>
      <c r="M299" s="1665" t="n"/>
      <c r="N299" s="1665" t="n"/>
      <c r="O299" s="1665" t="n"/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5.75" customHeight="1" s="1666">
      <c r="J300" s="1665" t="n"/>
      <c r="K300" s="1665" t="n"/>
      <c r="L300" s="1665" t="n"/>
      <c r="M300" s="1665" t="n"/>
      <c r="N300" s="1665" t="n"/>
      <c r="O300" s="1665" t="n"/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5.75" customHeight="1" s="1666">
      <c r="J301" s="1665" t="n"/>
      <c r="K301" s="1665" t="n"/>
      <c r="L301" s="1665" t="n"/>
      <c r="M301" s="1665" t="n"/>
      <c r="N301" s="1665" t="n"/>
      <c r="O301" s="1665" t="n"/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5.75" customHeight="1" s="1666">
      <c r="J302" s="1665" t="n"/>
      <c r="K302" s="1665" t="n"/>
      <c r="L302" s="1665" t="n"/>
      <c r="M302" s="1665" t="n"/>
      <c r="N302" s="1665" t="n"/>
      <c r="O302" s="1665" t="n"/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5.75" customHeight="1" s="1666">
      <c r="J303" s="1665" t="n"/>
      <c r="K303" s="1665" t="n"/>
      <c r="L303" s="1665" t="n"/>
      <c r="M303" s="1665" t="n"/>
      <c r="N303" s="1665" t="n"/>
      <c r="O303" s="1665" t="n"/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5.75" customHeight="1" s="1666">
      <c r="J304" s="1665" t="n"/>
      <c r="K304" s="1665" t="n"/>
      <c r="L304" s="1665" t="n"/>
      <c r="M304" s="1665" t="n"/>
      <c r="N304" s="1665" t="n"/>
      <c r="O304" s="1665" t="n"/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J305" s="1665" t="n"/>
      <c r="K305" s="1665" t="n"/>
      <c r="L305" s="1665" t="n"/>
      <c r="M305" s="1665" t="n"/>
      <c r="N305" s="1665" t="n"/>
      <c r="O305" s="1665" t="n"/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J306" s="1665" t="n"/>
      <c r="K306" s="1665" t="n"/>
      <c r="L306" s="1665" t="n"/>
      <c r="M306" s="1665" t="n"/>
      <c r="N306" s="1665" t="n"/>
      <c r="O306" s="1665" t="n"/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J307" s="1665" t="n"/>
      <c r="K307" s="1665" t="n"/>
      <c r="L307" s="1665" t="n"/>
      <c r="M307" s="1665" t="n"/>
      <c r="N307" s="1665" t="n"/>
      <c r="O307" s="1665" t="n"/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J308" s="1665" t="n"/>
      <c r="K308" s="1665" t="n"/>
      <c r="L308" s="1665" t="n"/>
      <c r="M308" s="1665" t="n"/>
      <c r="N308" s="1665" t="n"/>
      <c r="O308" s="1665" t="n"/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J309" s="1665" t="n"/>
      <c r="K309" s="1665" t="n"/>
      <c r="L309" s="1665" t="n"/>
      <c r="M309" s="1665" t="n"/>
      <c r="N309" s="1665" t="n"/>
      <c r="O309" s="1665" t="n"/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J310" s="1665" t="n"/>
      <c r="K310" s="1665" t="n"/>
      <c r="L310" s="1665" t="n"/>
      <c r="M310" s="1665" t="n"/>
      <c r="N310" s="1665" t="n"/>
      <c r="O310" s="1665" t="n"/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J311" s="1665" t="n"/>
      <c r="K311" s="1665" t="n"/>
      <c r="L311" s="1665" t="n"/>
      <c r="M311" s="1665" t="n"/>
      <c r="N311" s="1665" t="n"/>
      <c r="O311" s="1665" t="n"/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J312" s="1665" t="n"/>
      <c r="K312" s="1665" t="n"/>
      <c r="L312" s="1665" t="n"/>
      <c r="M312" s="1665" t="n"/>
      <c r="N312" s="1665" t="n"/>
      <c r="O312" s="1665" t="n"/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5.75" customHeight="1" s="1666">
      <c r="J313" s="1665" t="n"/>
      <c r="K313" s="1665" t="n"/>
      <c r="L313" s="1665" t="n"/>
      <c r="M313" s="1665" t="n"/>
      <c r="N313" s="1665" t="n"/>
      <c r="O313" s="1665" t="n"/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5.75" customHeight="1" s="1666">
      <c r="J314" s="1665" t="n"/>
      <c r="K314" s="1665" t="n"/>
      <c r="L314" s="1665" t="n"/>
      <c r="M314" s="1665" t="n"/>
      <c r="N314" s="1665" t="n"/>
      <c r="O314" s="1665" t="n"/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5.75" customHeight="1" s="1666">
      <c r="J315" s="1665" t="n"/>
      <c r="K315" s="1665" t="n"/>
      <c r="L315" s="1665" t="n"/>
      <c r="M315" s="1665" t="n"/>
      <c r="N315" s="1665" t="n"/>
      <c r="O315" s="1665" t="n"/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5.75" customHeight="1" s="1666">
      <c r="J316" s="1665" t="n"/>
      <c r="K316" s="1665" t="n"/>
      <c r="L316" s="1665" t="n"/>
      <c r="M316" s="1665" t="n"/>
      <c r="N316" s="1665" t="n"/>
      <c r="O316" s="1665" t="n"/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5.75" customHeight="1" s="1666">
      <c r="J317" s="1665" t="n"/>
      <c r="K317" s="1665" t="n"/>
      <c r="L317" s="1665" t="n"/>
      <c r="M317" s="1665" t="n"/>
      <c r="N317" s="1665" t="n"/>
      <c r="O317" s="1665" t="n"/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5.75" customHeight="1" s="1666">
      <c r="J318" s="1665" t="n"/>
      <c r="K318" s="1665" t="n"/>
      <c r="L318" s="1665" t="n"/>
      <c r="M318" s="1665" t="n"/>
      <c r="N318" s="1665" t="n"/>
      <c r="O318" s="1665" t="n"/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5.75" customHeight="1" s="1666">
      <c r="J319" s="1665" t="n"/>
      <c r="K319" s="1665" t="n"/>
      <c r="L319" s="1665" t="n"/>
      <c r="M319" s="1665" t="n"/>
      <c r="N319" s="1665" t="n"/>
      <c r="O319" s="1665" t="n"/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5.75" customHeight="1" s="1666">
      <c r="J320" s="1665" t="n"/>
      <c r="K320" s="1665" t="n"/>
      <c r="L320" s="1665" t="n"/>
      <c r="M320" s="1665" t="n"/>
      <c r="N320" s="1665" t="n"/>
      <c r="O320" s="1665" t="n"/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5.75" customHeight="1" s="1666">
      <c r="J321" s="1665" t="n"/>
      <c r="K321" s="1665" t="n"/>
      <c r="L321" s="1665" t="n"/>
      <c r="M321" s="1665" t="n"/>
      <c r="N321" s="1665" t="n"/>
      <c r="O321" s="1665" t="n"/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5.75" customHeight="1" s="1666">
      <c r="J322" s="1665" t="n"/>
      <c r="K322" s="1665" t="n"/>
      <c r="L322" s="1665" t="n"/>
      <c r="M322" s="1665" t="n"/>
      <c r="N322" s="1665" t="n"/>
      <c r="O322" s="1665" t="n"/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5.75" customHeight="1" s="1666">
      <c r="J323" s="1665" t="n"/>
      <c r="K323" s="1665" t="n"/>
      <c r="L323" s="1665" t="n"/>
      <c r="M323" s="1665" t="n"/>
      <c r="N323" s="1665" t="n"/>
      <c r="O323" s="1665" t="n"/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5.75" customHeight="1" s="1666"/>
    <row r="325" ht="15.75" customHeight="1" s="1666"/>
    <row r="326" ht="15.75" customHeight="1" s="1666"/>
    <row r="327" ht="15.75" customHeight="1" s="1666"/>
    <row r="328" ht="15.75" customHeight="1" s="1666"/>
    <row r="329" ht="15.75" customHeight="1" s="1666"/>
    <row r="330" ht="15.75" customHeight="1" s="1666"/>
    <row r="331" ht="15.75" customHeight="1" s="1666"/>
    <row r="332" ht="15.75" customHeight="1" s="1666"/>
    <row r="333" ht="15.75" customHeight="1" s="1666"/>
    <row r="334" ht="15.75" customHeight="1" s="1666"/>
    <row r="335" ht="15.75" customHeight="1" s="1666"/>
    <row r="336" ht="15.75" customHeight="1" s="1666"/>
    <row r="337" ht="15.75" customHeight="1" s="1666"/>
    <row r="338" ht="15.75" customHeight="1" s="1666"/>
    <row r="339" ht="15.75" customHeight="1" s="1666"/>
    <row r="340" ht="15.75" customHeight="1" s="1666"/>
    <row r="341" ht="15.75" customHeight="1" s="1666"/>
    <row r="342" ht="15.75" customHeight="1" s="1666"/>
    <row r="343" ht="15.75" customHeight="1" s="1666"/>
    <row r="344" ht="15.75" customHeight="1" s="1666"/>
    <row r="345" ht="15.75" customHeight="1" s="1666"/>
    <row r="346" ht="15.75" customHeight="1" s="1666"/>
    <row r="347" ht="15.75" customHeight="1" s="1666"/>
    <row r="348" ht="15.75" customHeight="1" s="1666"/>
    <row r="349" ht="15.75" customHeight="1" s="1666"/>
    <row r="350" ht="15.75" customHeight="1" s="1666"/>
    <row r="351" ht="15.75" customHeight="1" s="1666"/>
    <row r="352" ht="15.75" customHeight="1" s="1666"/>
    <row r="353" ht="15.75" customHeight="1" s="1666"/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139">
    <mergeCell ref="G21:H21"/>
    <mergeCell ref="B54:I54"/>
    <mergeCell ref="F85:H85"/>
    <mergeCell ref="E71:F71"/>
    <mergeCell ref="G71:H71"/>
    <mergeCell ref="G23:H23"/>
    <mergeCell ref="C73:D73"/>
    <mergeCell ref="E73:F73"/>
    <mergeCell ref="E51:F51"/>
    <mergeCell ref="B105:I105"/>
    <mergeCell ref="H94:I94"/>
    <mergeCell ref="G66:H66"/>
    <mergeCell ref="H89:I89"/>
    <mergeCell ref="B98:I98"/>
    <mergeCell ref="G18:H18"/>
    <mergeCell ref="C56:D56"/>
    <mergeCell ref="C89:F89"/>
    <mergeCell ref="G34:H34"/>
    <mergeCell ref="C88:F88"/>
    <mergeCell ref="F78:H78"/>
    <mergeCell ref="C93:F93"/>
    <mergeCell ref="B65:I65"/>
    <mergeCell ref="G20:H20"/>
    <mergeCell ref="C67:D67"/>
    <mergeCell ref="B78:E78"/>
    <mergeCell ref="B5:I5"/>
    <mergeCell ref="G44:H44"/>
    <mergeCell ref="G22:H22"/>
    <mergeCell ref="C69:D69"/>
    <mergeCell ref="H91:I91"/>
    <mergeCell ref="G12:H12"/>
    <mergeCell ref="B100:I100"/>
    <mergeCell ref="B75:I75"/>
    <mergeCell ref="E67:F67"/>
    <mergeCell ref="G67:H67"/>
    <mergeCell ref="H93:I93"/>
    <mergeCell ref="G40:H40"/>
    <mergeCell ref="G70:H70"/>
    <mergeCell ref="B102:I102"/>
    <mergeCell ref="G48:H48"/>
    <mergeCell ref="H56:I56"/>
    <mergeCell ref="G7:H7"/>
    <mergeCell ref="G38:H38"/>
    <mergeCell ref="C92:F92"/>
    <mergeCell ref="B74:D74"/>
    <mergeCell ref="B1:I1"/>
    <mergeCell ref="G51:I51"/>
    <mergeCell ref="G49:H49"/>
    <mergeCell ref="G24:H24"/>
    <mergeCell ref="C60:D60"/>
    <mergeCell ref="B87:I87"/>
    <mergeCell ref="G33:H33"/>
    <mergeCell ref="C71:D71"/>
    <mergeCell ref="G26:H26"/>
    <mergeCell ref="G35:H35"/>
    <mergeCell ref="B64:I64"/>
    <mergeCell ref="H95:I95"/>
    <mergeCell ref="G16:H16"/>
    <mergeCell ref="G25:H25"/>
    <mergeCell ref="C57:D57"/>
    <mergeCell ref="C90:F90"/>
    <mergeCell ref="C66:D66"/>
    <mergeCell ref="E66:F66"/>
    <mergeCell ref="B63:I63"/>
    <mergeCell ref="G9:H9"/>
    <mergeCell ref="B84:E84"/>
    <mergeCell ref="C68:D68"/>
    <mergeCell ref="E68:F68"/>
    <mergeCell ref="C91:F91"/>
    <mergeCell ref="F79:H79"/>
    <mergeCell ref="G11:H11"/>
    <mergeCell ref="G42:H42"/>
    <mergeCell ref="C58:D58"/>
    <mergeCell ref="B80:E80"/>
    <mergeCell ref="G74:I74"/>
    <mergeCell ref="H58:I58"/>
    <mergeCell ref="G39:H39"/>
    <mergeCell ref="F81:H81"/>
    <mergeCell ref="B79:E79"/>
    <mergeCell ref="B77:I77"/>
    <mergeCell ref="H60:I60"/>
    <mergeCell ref="G37:H37"/>
    <mergeCell ref="E69:F69"/>
    <mergeCell ref="G13:H13"/>
    <mergeCell ref="G69:H69"/>
    <mergeCell ref="B81:E81"/>
    <mergeCell ref="B101:I101"/>
    <mergeCell ref="B51:D51"/>
    <mergeCell ref="C59:D59"/>
    <mergeCell ref="F82:H82"/>
    <mergeCell ref="G15:H15"/>
    <mergeCell ref="B103:I103"/>
    <mergeCell ref="E2:I2"/>
    <mergeCell ref="H57:I57"/>
    <mergeCell ref="C94:F94"/>
    <mergeCell ref="E61:F61"/>
    <mergeCell ref="C70:D70"/>
    <mergeCell ref="E70:F70"/>
    <mergeCell ref="G73:H73"/>
    <mergeCell ref="B55:I55"/>
    <mergeCell ref="E72:F72"/>
    <mergeCell ref="G32:H32"/>
    <mergeCell ref="G41:H41"/>
    <mergeCell ref="F84:H84"/>
    <mergeCell ref="G50:H50"/>
    <mergeCell ref="C95:F95"/>
    <mergeCell ref="H92:I92"/>
    <mergeCell ref="G43:H43"/>
    <mergeCell ref="F80:H80"/>
    <mergeCell ref="B83:E83"/>
    <mergeCell ref="B61:D61"/>
    <mergeCell ref="G27:H27"/>
    <mergeCell ref="G36:H36"/>
    <mergeCell ref="G8:H8"/>
    <mergeCell ref="G17:H17"/>
    <mergeCell ref="B85:E85"/>
    <mergeCell ref="H59:I59"/>
    <mergeCell ref="G10:H10"/>
    <mergeCell ref="G19:H19"/>
    <mergeCell ref="G28:H28"/>
    <mergeCell ref="G6:H6"/>
    <mergeCell ref="H88:I88"/>
    <mergeCell ref="E74:F74"/>
    <mergeCell ref="G30:H30"/>
    <mergeCell ref="H90:I90"/>
    <mergeCell ref="B4:I4"/>
    <mergeCell ref="B99:I99"/>
    <mergeCell ref="G14:H14"/>
    <mergeCell ref="G45:H45"/>
    <mergeCell ref="G29:H29"/>
    <mergeCell ref="G47:H47"/>
    <mergeCell ref="C72:D72"/>
    <mergeCell ref="G61:I61"/>
    <mergeCell ref="B82:E82"/>
    <mergeCell ref="G31:H31"/>
    <mergeCell ref="G46:H46"/>
    <mergeCell ref="F83:H83"/>
    <mergeCell ref="B2:D2"/>
    <mergeCell ref="G72:H7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595959"/>
    <outlinePr summaryBelow="1" summaryRight="1"/>
    <pageSetUpPr fitToPage="0"/>
  </sheetPr>
  <dimension ref="A1:Z3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3359375" defaultRowHeight="15" zeroHeight="0" outlineLevelRow="0"/>
  <cols>
    <col width="38" customWidth="1" style="1665" min="1" max="1"/>
    <col width="35" customWidth="1" style="1665" min="2" max="2"/>
    <col width="60" customWidth="1" style="1665" min="3" max="3"/>
    <col width="14" customWidth="1" style="1665" min="4" max="4"/>
    <col width="24" customWidth="1" style="1665" min="5" max="5"/>
    <col width="8.710000000000001" customWidth="1" style="1665" min="6" max="8"/>
  </cols>
  <sheetData>
    <row r="1" ht="27.75" customHeight="1" s="1666">
      <c r="A1" s="2920" t="inlineStr">
        <is>
          <t>⚙️  CONFIG  —  Source unique de vérité  ·  NE PAS MODIFIER les formules</t>
        </is>
      </c>
      <c r="D1" s="2389" t="inlineStr">
        <is>
          <t>DERNIÈRE MAJ</t>
        </is>
      </c>
      <c r="E1" s="2389" t="inlineStr">
        <is>
          <t>FRÉQUENCE</t>
        </is>
      </c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18" customHeight="1" s="1666"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6.5" customHeight="1" s="1666">
      <c r="A3" s="2456" t="inlineStr">
        <is>
          <t>TAUX USD/CAD</t>
        </is>
      </c>
      <c r="B3" s="3036" t="n">
        <v>1.3559</v>
      </c>
      <c r="C3" s="3037" t="inlineStr">
        <is>
          <t>← Modifier ICI — se propage dans tout le fichier</t>
        </is>
      </c>
      <c r="D3" s="3038" t="inlineStr">
        <is>
          <t>2026-03-14</t>
        </is>
      </c>
      <c r="E3" s="1719" t="inlineStr">
        <is>
          <t>Après chaque dump Questrade</t>
        </is>
      </c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5" customHeight="1" s="1666"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6.5" customHeight="1" s="1666">
      <c r="A5" s="2456" t="inlineStr">
        <is>
          <t>ROOMS DISPONIBLES 2026</t>
        </is>
      </c>
      <c r="B5" s="3039" t="n"/>
      <c r="C5" s="3037" t="n"/>
      <c r="F5" s="1838" t="inlineStr">
        <is>
          <t>TICKER</t>
        </is>
      </c>
      <c r="G5" s="1838" t="inlineStr">
        <is>
          <t>PRIX AUTO</t>
        </is>
      </c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6.5" customHeight="1" s="1666">
      <c r="A6" s="2453" t="inlineStr">
        <is>
          <t>TFSA Room 2026</t>
        </is>
      </c>
      <c r="B6" s="3040" t="n">
        <v>69600</v>
      </c>
      <c r="C6" s="3041" t="inlineStr">
        <is>
          <t>Plafond annuel 2026 total · Room disponible maintenant ≈ $1,423 (confirmé DÉCISIONS S18) · Mettre à jour après chaque cotisation</t>
        </is>
      </c>
      <c r="F6" s="3042" t="inlineStr">
        <is>
          <t>VFV.TO</t>
        </is>
      </c>
      <c r="G6" s="3043">
        <f>IFERROR(__xludf.dummyfunction("IFERROR(GOOGLEFINANCE(""TSE:VFV"",""price""),164)"),163.54)</f>
        <v/>
      </c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6.5" customHeight="1" s="1666">
      <c r="A7" s="2456" t="inlineStr">
        <is>
          <t>FHSA Room restant 2026</t>
        </is>
      </c>
      <c r="B7" s="3040" t="n">
        <v>13700</v>
      </c>
      <c r="C7" s="3037" t="inlineStr">
        <is>
          <t>~$13,700 après achats 9 mars (plafond $16K)</t>
        </is>
      </c>
      <c r="F7" s="3042" t="inlineStr">
        <is>
          <t>GOOG</t>
        </is>
      </c>
      <c r="G7" s="3043">
        <f>IFERROR(__xludf.dummyfunction("IFERROR(GOOGLEFINANCE(""GOOG"",""price""),307.889)"),308.42)</f>
        <v/>
      </c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6.5" customHeight="1" s="1666">
      <c r="A8" s="2453" t="inlineStr">
        <is>
          <t>REER Room 2026</t>
        </is>
      </c>
      <c r="B8" s="3040" t="n">
        <v>37008</v>
      </c>
      <c r="C8" s="3041" t="inlineStr">
        <is>
          <t>⚠️ PENDING régime retraite rétroactif</t>
        </is>
      </c>
      <c r="F8" s="3042" t="inlineStr">
        <is>
          <t>AVGO</t>
        </is>
      </c>
      <c r="G8" s="3043">
        <f>IFERROR(__xludf.dummyfunction("IFERROR(GOOGLEFINANCE(""AVGO"",""price""),343.65)"),341.57)</f>
        <v/>
      </c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4.25" customHeight="1" s="1666">
      <c r="F9" s="3042" t="inlineStr">
        <is>
          <t>AMZN</t>
        </is>
      </c>
      <c r="G9" s="3043">
        <f>IFERROR(__xludf.dummyfunction("IFERROR(GOOGLEFINANCE(""AMZN"",""price""),214.8)"),212.65)</f>
        <v/>
      </c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6.5" customHeight="1" s="1666">
      <c r="A10" s="2453" t="inlineStr">
        <is>
          <t>TAUX MARGINAL</t>
        </is>
      </c>
      <c r="B10" s="2561" t="n">
        <v>4000</v>
      </c>
      <c r="C10" s="3041" t="n"/>
      <c r="F10" s="3042" t="inlineStr">
        <is>
          <t>SMH</t>
        </is>
      </c>
      <c r="G10" s="3043">
        <f>IFERROR(__xludf.dummyfunction("IFERROR(GOOGLEFINANCE(""SMH"",""price""),397.05)"),401.03)</f>
        <v/>
      </c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6.5" customHeight="1" s="1666">
      <c r="A11" s="2456" t="inlineStr">
        <is>
          <t>Québec marginal</t>
        </is>
      </c>
      <c r="B11" s="3044" t="n">
        <v>0.5298</v>
      </c>
      <c r="C11" s="3037" t="n"/>
      <c r="F11" s="3042" t="inlineStr">
        <is>
          <t>META</t>
        </is>
      </c>
      <c r="G11" s="3043">
        <f>IFERROR(__xludf.dummyfunction("IFERROR(GOOGLEFINANCE(""META"",""price""),654.8)"),654.86)</f>
        <v/>
      </c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4.25" customHeight="1" s="1666">
      <c r="F12" s="3042" t="inlineStr">
        <is>
          <t>ENB.TO</t>
        </is>
      </c>
      <c r="G12" s="3043">
        <f>IFERROR(__xludf.dummyfunction("IFERROR(GOOGLEFINANCE(""TSE:ENB"",""price""),72.96)"),72.86)</f>
        <v/>
      </c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6.5" customHeight="1" s="1666">
      <c r="A13" s="2456" t="inlineStr">
        <is>
          <t>OBJECTIFS MAISON</t>
        </is>
      </c>
      <c r="B13" s="3039" t="n"/>
      <c r="C13" s="3037" t="n"/>
      <c r="F13" s="3042" t="inlineStr">
        <is>
          <t>GEV</t>
        </is>
      </c>
      <c r="G13" s="3043">
        <f>IFERROR(__xludf.dummyfunction("IFERROR(GOOGLEFINANCE(""GEV"",""price""),842.85)"),847.65)</f>
        <v/>
      </c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6.5" customHeight="1" s="1666">
      <c r="A14" s="2453" t="inlineStr">
        <is>
          <t>FHSA objectif</t>
        </is>
      </c>
      <c r="B14" s="3045" t="n">
        <v>40000</v>
      </c>
      <c r="C14" s="3041" t="n"/>
      <c r="F14" s="3042" t="inlineStr">
        <is>
          <t>SPGI</t>
        </is>
      </c>
      <c r="G14" s="3043">
        <f>IFERROR(__xludf.dummyfunction("IFERROR(GOOGLEFINANCE(""SPGI"",""price""),435.69)"),428.96)</f>
        <v/>
      </c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6.5" customHeight="1" s="1666">
      <c r="A15" s="2456" t="inlineStr">
        <is>
          <t>REER RAP objectif</t>
        </is>
      </c>
      <c r="B15" s="3046" t="n">
        <v>60000</v>
      </c>
      <c r="C15" s="3037" t="n"/>
      <c r="F15" s="3042" t="inlineStr">
        <is>
          <t>MSFT</t>
        </is>
      </c>
      <c r="G15" s="3043">
        <f>IFERROR(__xludf.dummyfunction("IFERROR(GOOGLEFINANCE(""MSFT"",""price""),405.78)"),404.88)</f>
        <v/>
      </c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6.5" customHeight="1" s="1666">
      <c r="A16" s="2453" t="inlineStr">
        <is>
          <t>Mise de fonds totale</t>
        </is>
      </c>
      <c r="B16" s="3045">
        <f>B14+B15</f>
        <v/>
      </c>
      <c r="C16" s="3041" t="n"/>
      <c r="F16" s="3042" t="inlineStr">
        <is>
          <t>NVDA</t>
        </is>
      </c>
      <c r="G16" s="3043">
        <f>IFERROR(__xludf.dummyfunction("IFERROR(GOOGLEFINANCE(""NVDA"",""price""),184.7603)"),186)</f>
        <v/>
      </c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4.25" customHeight="1" s="1666">
      <c r="B17" s="3047" t="inlineStr">
        <is>
          <t>v39-S14</t>
        </is>
      </c>
      <c r="C17" s="3047" t="inlineStr">
        <is>
          <t>11 mars 2026 · USD% dynamique · Benchmark HISTORIQUE · DÉMARRAGE nettoyé</t>
        </is>
      </c>
      <c r="F17" s="3042" t="inlineStr">
        <is>
          <t>TSLA</t>
        </is>
      </c>
      <c r="G17" s="3043">
        <f>IFERROR(__xludf.dummyfunction("IFERROR(GOOGLEFINANCE(""TSLA"",""price""),399.75)"),407.82)</f>
        <v/>
      </c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9.5" customHeight="1" s="1666">
      <c r="A18" s="2774" t="inlineStr">
        <is>
          <t>⚙️  CONFIG v25  ·  MAJ 12 mars 2026 — Analyse PRO + corrections FHSA</t>
        </is>
      </c>
      <c r="F18" s="3042" t="inlineStr">
        <is>
          <t>QQQM</t>
        </is>
      </c>
      <c r="G18" s="3043">
        <f>IFERROR(__xludf.dummyfunction("IFERROR(GOOGLEFINANCE(""QQQM"",""price""),250.5191)"),250.21)</f>
        <v/>
      </c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4.25" customHeight="1" s="1666">
      <c r="A19" s="3048" t="inlineStr">
        <is>
          <t>Version Wallet</t>
        </is>
      </c>
      <c r="B19" s="3049" t="inlineStr">
        <is>
          <t>v51-S21</t>
        </is>
      </c>
      <c r="C19" s="3049" t="inlineStr">
        <is>
          <t>12 mars 2026 · Ajout onglet 📚 SOURCES &amp; FIABILITÉ · 7 sections · 50+ sources documentées · auto-update</t>
        </is>
      </c>
      <c r="F19" s="3042" t="inlineStr">
        <is>
          <t>XEQT.TO</t>
        </is>
      </c>
      <c r="G19" s="3043">
        <f>IFERROR(__xludf.dummyfunction("IFERROR(GOOGLEFINANCE(""TSE:XEQT"",""price""),40.54)"),40.46)</f>
        <v/>
      </c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4.25" customHeight="1" s="1666">
      <c r="A20" s="3050" t="inlineStr">
        <is>
          <t>Objectif FI (plancher $2.1M+)</t>
        </is>
      </c>
      <c r="B20" s="3051" t="n">
        <v>2100000</v>
      </c>
      <c r="C20" s="3052" t="inlineStr">
        <is>
          <t>$7,000/mois × 25 = $1.75M min · $2.1M = plancher · jamais un plafond</t>
        </is>
      </c>
      <c r="F20" s="3042" t="inlineStr">
        <is>
          <t>TD.TO</t>
        </is>
      </c>
      <c r="G20" s="3043">
        <f>IFERROR(__xludf.dummyfunction("IFERROR(GOOGLEFINANCE(""TSE:TD"",""price""),130.25)"),130.31)</f>
        <v/>
      </c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4.25" customHeight="1" s="1666">
      <c r="A21" s="3048" t="inlineStr">
        <is>
          <t>Âge cible FI</t>
        </is>
      </c>
      <c r="B21" s="3053" t="n">
        <v>55</v>
      </c>
      <c r="C21" s="3054" t="inlineStr">
        <is>
          <t>Indépendance financière 2047 · Confirmé S16</t>
        </is>
      </c>
      <c r="F21" s="3042" t="inlineStr">
        <is>
          <t>ZLB.TO</t>
        </is>
      </c>
      <c r="G21" s="3043">
        <f>IFERROR(__xludf.dummyfunction("IFERROR(GOOGLEFINANCE(""TSE:ZLB"",""price""),59.32)"),59.01)</f>
        <v/>
      </c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4.25" customHeight="1" s="1666">
      <c r="A22" s="3050" t="inlineStr">
        <is>
          <t>Valeur voiture (CAD)</t>
        </is>
      </c>
      <c r="B22" s="3051" t="n">
        <v>27000</v>
      </c>
      <c r="C22" s="3052" t="inlineStr">
        <is>
          <t>🟡 Mettre à jour annuellement</t>
        </is>
      </c>
      <c r="F22" s="3042" t="inlineStr">
        <is>
          <t>H.TO</t>
        </is>
      </c>
      <c r="G22" s="3043">
        <f>IFERROR(__xludf.dummyfunction("IFERROR(GOOGLEFINANCE(""TSE:H"",""price""),59.15)"),58.67)</f>
        <v/>
      </c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4.25" customHeight="1" s="1666">
      <c r="A23" s="3048" t="inlineStr">
        <is>
          <t>Valeur moto (CAD)</t>
        </is>
      </c>
      <c r="B23" s="3055" t="n">
        <v>10000</v>
      </c>
      <c r="C23" s="3054" t="inlineStr">
        <is>
          <t>🟡 Mettre à jour annuellement</t>
        </is>
      </c>
      <c r="F23" s="3042" t="inlineStr">
        <is>
          <t>T.TO</t>
        </is>
      </c>
      <c r="G23" s="3043">
        <f>IFERROR(__xludf.dummyfunction("IFERROR(GOOGLEFINANCE(""TSE:T"",""price""),18.62)"),18.04)</f>
        <v/>
      </c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26.25" customHeight="1" s="1666">
      <c r="A24" s="3050" t="inlineStr">
        <is>
          <t>Valeur crypto hors TFSA (CAD)</t>
        </is>
      </c>
      <c r="B24" s="3056" t="n">
        <v>300</v>
      </c>
      <c r="C24" s="3052" t="inlineStr">
        <is>
          <t>BTC ~$300 · hors portefeuille principal · ne pas inclure dans portfolio total</t>
        </is>
      </c>
      <c r="F24" s="3042" t="inlineStr">
        <is>
          <t>QTUM</t>
        </is>
      </c>
      <c r="G24" s="3043">
        <f>IFERROR(__xludf.dummyfunction("IFERROR(GOOGLEFINANCE(""QTUM"",""price""),113.25)"),112.46)</f>
        <v/>
      </c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26.25" customHeight="1" s="1666">
      <c r="A25" s="3048" t="inlineStr">
        <is>
          <t>HISA / Cash d'urgence (CAD)</t>
        </is>
      </c>
      <c r="B25" s="3056" t="n">
        <v>0</v>
      </c>
      <c r="C25" s="3054" t="inlineStr">
        <is>
          <t>⚠️ Cible: $15,000 EQ Bank</t>
        </is>
      </c>
      <c r="F25" s="3042" t="inlineStr">
        <is>
          <t>HURA.TO</t>
        </is>
      </c>
      <c r="G25" s="3043">
        <f>IFERROR(__xludf.dummyfunction("IFERROR(GOOGLEFINANCE(""TSE:HURA"",""price""),60.43)"),59.62)</f>
        <v/>
      </c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4.25" customHeight="1" s="1666">
      <c r="A26" s="3050" t="inlineStr">
        <is>
          <t>Timeline maison révisée</t>
        </is>
      </c>
      <c r="B26" s="3057" t="inlineStr">
        <is>
          <t>2030+</t>
        </is>
      </c>
      <c r="C26" s="3052" t="inlineStr">
        <is>
          <t>Modifié: était 2028</t>
        </is>
      </c>
      <c r="F26" s="3042" t="inlineStr">
        <is>
          <t>REI.UN.TO</t>
        </is>
      </c>
      <c r="G26" s="3043">
        <f>IFERROR(__xludf.dummyfunction("IFERROR(GOOGLEFINANCE(""TSE:REI-UN"",""price""),IFERROR(GOOGLEFINANCE(""TSE:REI.UN"",""price""),19.02))"),19.02)</f>
        <v/>
      </c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4.25" customHeight="1" s="1666">
      <c r="A27" s="3048" t="inlineStr">
        <is>
          <t>FTQ cotisation 2026</t>
        </is>
      </c>
      <c r="B27" s="3056" t="n">
        <v>0</v>
      </c>
      <c r="C27" s="3054" t="inlineStr">
        <is>
          <t>🟡 À remplir si cotisation effectuée</t>
        </is>
      </c>
      <c r="F27" s="3042" t="inlineStr">
        <is>
          <t>PLZ.UN.TO</t>
        </is>
      </c>
      <c r="G27" s="3043">
        <f>IFERROR(__xludf.dummyfunction("IFERROR(GOOGLEFINANCE(""TSE:PLZ-UN"",""price""),IFERROR(GOOGLEFINANCE(""TSE:PLZ.UN"",""price""),IFERROR(VALUE(IMPORTXML(""https://finance.yahoo.com/quote/PLZ-UN.TO/"",""//fin-streamer[@data-field='regularMarketPrice']/@value"")),4.26)))"),4.26)</f>
        <v/>
      </c>
      <c r="H27" s="3058" t="inlineStr">
        <is>
          <t>✅ Triple fallback: TSE:PLZ-UN → TSE:PLZ.UN → Yahoo IMPORTXML → $4.26 statique</t>
        </is>
      </c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4.25" customHeight="1" s="1666">
      <c r="A28" s="3050" t="inlineStr">
        <is>
          <t>FTQ cotisation max annuel</t>
        </is>
      </c>
      <c r="B28" s="3051" t="n">
        <v>4000</v>
      </c>
      <c r="C28" s="3052" t="inlineStr">
        <is>
          <t>Crédit 30% = $1,500 max</t>
        </is>
      </c>
      <c r="F28" s="3042" t="inlineStr">
        <is>
          <t>XEI.TO</t>
        </is>
      </c>
      <c r="G28" s="3043">
        <f>IFERROR(__xludf.dummyfunction("IFERROR(GOOGLEFINANCE(""TSE:XEI"",""price""),35.51)"),35.7)</f>
        <v/>
      </c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4.25" customHeight="1" s="1666">
      <c r="A29" s="3048" t="inlineStr">
        <is>
          <t>Wealthica connecté</t>
        </is>
      </c>
      <c r="B29" s="3059" t="inlineStr">
        <is>
          <t>NON</t>
        </is>
      </c>
      <c r="C29" s="3054" t="inlineStr">
        <is>
          <t>🟡 Configurer pour sync Questrade → GSheets</t>
        </is>
      </c>
      <c r="F29" s="3042" t="inlineStr">
        <is>
          <t>SRU.UN.TO</t>
        </is>
      </c>
      <c r="G29" s="3043">
        <f>IFERROR(__xludf.dummyfunction("IFERROR(GOOGLEFINANCE(""TSE:SRU-UN"",""price""),IFERROR(GOOGLEFINANCE(""TSE:SRU.UN"",""price""),26.84))"),26.84)</f>
        <v/>
      </c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5" customHeight="1" s="1666">
      <c r="A30" s="3060" t="inlineStr">
        <is>
          <t>Régime retraite confirmé</t>
        </is>
      </c>
      <c r="B30" s="3061" t="inlineStr">
        <is>
          <t>AUCUN</t>
        </is>
      </c>
      <c r="C30" s="3062" t="inlineStr">
        <is>
          <t>🟡 Changer à OUI après appel employeur</t>
        </is>
      </c>
      <c r="D30" s="3063" t="inlineStr">
        <is>
          <t>⬜ À remplir</t>
        </is>
      </c>
      <c r="E30" s="1719" t="inlineStr">
        <is>
          <t>Après appel employeur</t>
        </is>
      </c>
      <c r="F30" s="3042" t="inlineStr">
        <is>
          <t>XIC.TO</t>
        </is>
      </c>
      <c r="G30" s="3043">
        <f>IFERROR(__xludf.dummyfunction("IFERROR(GOOGLEFINANCE(""TSE:XIC"",""price""),53.25)"),53.02)</f>
        <v/>
      </c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5" customHeight="1" s="1666">
      <c r="A31" s="3064" t="inlineStr">
        <is>
          <t>Expo IA estimée (%)</t>
        </is>
      </c>
      <c r="B31" s="3065" t="n">
        <v>0.28</v>
      </c>
      <c r="C31" s="3062" t="inlineStr">
        <is>
          <t>🟡 Mettre à jour si tu achètes NVDA/SMH/QQQM/AVBO</t>
        </is>
      </c>
      <c r="D31" s="3038" t="inlineStr">
        <is>
          <t>2026-03-11</t>
        </is>
      </c>
      <c r="E31" s="1719" t="inlineStr">
        <is>
          <t>Après chaque achat tech</t>
        </is>
      </c>
      <c r="F31" s="3042" t="inlineStr">
        <is>
          <t>ZRE.TO</t>
        </is>
      </c>
      <c r="G31" s="3043">
        <f>IFERROR(__xludf.dummyfunction("IFERROR(GOOGLEFINANCE(""TSE:ZRE"",""price""),22.65)"),22.55)</f>
        <v/>
      </c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5" customHeight="1" s="1666">
      <c r="A32" s="3060" t="inlineStr">
        <is>
          <t>Expo USD réelle (%)</t>
        </is>
      </c>
      <c r="B32" s="3066">
        <f>B46</f>
        <v/>
      </c>
      <c r="C32" s="3067" t="inlineStr">
        <is>
          <t>← Calculé auto depuis ANALYSE TRIABLE (SUMIF DEV=USD)</t>
        </is>
      </c>
      <c r="D32" s="3038" t="inlineStr">
        <is>
          <t>2026-03-11</t>
        </is>
      </c>
      <c r="E32" s="1719" t="inlineStr">
        <is>
          <t>Après chaque trade USD</t>
        </is>
      </c>
      <c r="F32" s="3042" t="inlineStr">
        <is>
          <t>MFC.TO</t>
        </is>
      </c>
      <c r="G32" s="3043">
        <f>IFERROR(__xludf.dummyfunction("IFERROR(GOOGLEFINANCE(""TSE:MFC"",""price""),45.88)"),45.87)</f>
        <v/>
      </c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5" customHeight="1" s="1666">
      <c r="A33" s="3064" t="inlineStr">
        <is>
          <t>Cotisé FHSA YTD</t>
        </is>
      </c>
      <c r="B33" s="3068" t="n">
        <v>2300</v>
      </c>
      <c r="C33" s="3069" t="inlineStr">
        <is>
          <t>← FHSA cotisé 2026 YTD · VFV.TO 16u@$157.38=~$2,300 · Room restant $13,700 / $16,000 · Max vie $40K · Historique: An1=$8K An2=$0 An3=$4K An4(2026)=$16K An5=$8K An6=$4K</t>
        </is>
      </c>
      <c r="D33" s="3038" t="inlineStr">
        <is>
          <t>2026-03-11</t>
        </is>
      </c>
      <c r="E33" s="1719" t="inlineStr">
        <is>
          <t>Après chaque cotisation</t>
        </is>
      </c>
      <c r="F33" s="3042" t="inlineStr">
        <is>
          <t>VDU.TO</t>
        </is>
      </c>
      <c r="G33" s="3043">
        <f>IFERROR(__xludf.dummyfunction("IFERROR(GOOGLEFINANCE(""TSE:VDU"",""price""),56.29)"),56.19)</f>
        <v/>
      </c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5" customHeight="1" s="1666">
      <c r="A34" s="3060" t="inlineStr">
        <is>
          <t>Cotisé REER YTD</t>
        </is>
      </c>
      <c r="B34" s="3070" t="n">
        <v>2000</v>
      </c>
      <c r="C34" s="3071" t="inlineStr">
        <is>
          <t>← SCHD $2,000 exécuté 12 mars 2026 · MAJ après chaque cotisation REER</t>
        </is>
      </c>
      <c r="D34" s="3038" t="inlineStr">
        <is>
          <t>12 mars 2026</t>
        </is>
      </c>
      <c r="E34" s="1719" t="inlineStr">
        <is>
          <t>Après chaque cotisation</t>
        </is>
      </c>
      <c r="F34" s="3042" t="inlineStr">
        <is>
          <t>SCHD</t>
        </is>
      </c>
      <c r="G34" s="3043">
        <f>IFERROR(__xludf.dummyfunction("IFERROR(GOOGLEFINANCE(""SCHD"",""price""),30.9195)"),31)</f>
        <v/>
      </c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26.25" customHeight="1" s="1666">
      <c r="A35" s="3048" t="inlineStr">
        <is>
          <t>Revenu net imposable 2025 (après REER+FHSA)</t>
        </is>
      </c>
      <c r="B35" s="3072" t="n">
        <v>140000</v>
      </c>
      <c r="C35" s="3073" t="inlineStr">
        <is>
          <t>⚠️ À METTRE À JOUR · Seuil FTQ 2027 = $129,590 · Vérifier Mon Dossier ARC</t>
        </is>
      </c>
      <c r="D35" s="3063" t="inlineStr">
        <is>
          <t>⬜ À remplir</t>
        </is>
      </c>
      <c r="E35" s="1719" t="inlineStr">
        <is>
          <t>Annuellement — déclaration impôt</t>
        </is>
      </c>
      <c r="F35" s="3042" t="inlineStr">
        <is>
          <t>JEPI</t>
        </is>
      </c>
      <c r="G35" s="3043">
        <f>IFERROR(__xludf.dummyfunction("IFERROR(GOOGLEFINANCE(""JEPI"",""price""),58.27)"),57.96)</f>
        <v/>
      </c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5" customHeight="1" s="1666">
      <c r="A36" s="1689" t="inlineStr">
        <is>
          <t>CASH PAR COMPTE (Questrade)</t>
        </is>
      </c>
      <c r="F36" s="3074" t="inlineStr">
        <is>
          <t>S&amp;P500</t>
        </is>
      </c>
      <c r="G36" s="3075">
        <f>IFERROR(__xludf.dummyfunction("IFERROR(GOOGLEFINANCE(""INDEXSP:.INX"",""price""),6771.86)"),6775.8)</f>
        <v/>
      </c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5" customHeight="1" s="1666">
      <c r="A37" s="3076" t="inlineStr">
        <is>
          <t>CASH TFSA (CAD)</t>
        </is>
      </c>
      <c r="B37" s="2667" t="n">
        <v>230.66</v>
      </c>
      <c r="C37" s="3077" t="inlineStr">
        <is>
          <t>← Saisir depuis dump Questrade · se propage auto</t>
        </is>
      </c>
      <c r="D37" s="3038" t="inlineStr">
        <is>
          <t>12 mars 2026</t>
        </is>
      </c>
      <c r="E37" s="1719" t="inlineStr">
        <is>
          <t>Après chaque dump Questrade</t>
        </is>
      </c>
      <c r="F37" s="3074" t="inlineStr">
        <is>
          <t>TSX</t>
        </is>
      </c>
      <c r="G37" s="3075">
        <f>IFERROR(__xludf.dummyfunction("IFERROR(GOOGLEFINANCE(""INDEXTSI:OSPTX"",""price""),33171.49)"),33119.83)</f>
        <v/>
      </c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5" customHeight="1" s="1666">
      <c r="A38" s="3078" t="inlineStr">
        <is>
          <t>CASH FHSA (CAD)</t>
        </is>
      </c>
      <c r="B38" s="2667" t="n">
        <v>15.13</v>
      </c>
      <c r="C38" s="3079" t="inlineStr">
        <is>
          <t>← Saisir depuis dump Questrade · se propage auto</t>
        </is>
      </c>
      <c r="D38" s="3038" t="inlineStr">
        <is>
          <t>12 mars 2026</t>
        </is>
      </c>
      <c r="E38" s="1719" t="inlineStr">
        <is>
          <t>Après chaque dump Questrade</t>
        </is>
      </c>
      <c r="F38" s="3074" t="inlineStr">
        <is>
          <t>SPY</t>
        </is>
      </c>
      <c r="G38" s="3075">
        <f>IFERROR(__xludf.dummyfunction("IFERROR(GOOGLEFINANCE(""SPY"",""price""),0)"),676.33)</f>
        <v/>
      </c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5" customHeight="1" s="1666">
      <c r="A39" s="3076" t="inlineStr">
        <is>
          <t>CASH REER (CAD equiv)</t>
        </is>
      </c>
      <c r="B39" s="2667" t="n">
        <v>1.26</v>
      </c>
      <c r="C39" s="3077" t="inlineStr">
        <is>
          <t>← USD × CONFIG!B3 · Saisir USD dans dump, Claude convertit</t>
        </is>
      </c>
      <c r="D39" s="3038" t="inlineStr">
        <is>
          <t>12 mars 2026</t>
        </is>
      </c>
      <c r="E39" s="1719" t="inlineStr">
        <is>
          <t>Après chaque dump Questrade</t>
        </is>
      </c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3.75" customHeight="1" s="1666"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8" customHeight="1" s="1666">
      <c r="A41" s="1773" t="inlineStr">
        <is>
          <t>BUYING POWER REER (USD)</t>
        </is>
      </c>
      <c r="B41" s="3080">
        <f>B39/B3</f>
        <v/>
      </c>
      <c r="C41" s="3081" t="inlineStr">
        <is>
          <t>← Cash REER USD · utiliser AVANT achat USD</t>
        </is>
      </c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8" customHeight="1" s="1666">
      <c r="A42" s="1773" t="inlineStr">
        <is>
          <t>BUYING POWER TFSA (USD)</t>
        </is>
      </c>
      <c r="B42" s="3082">
        <f>B37/B3</f>
        <v/>
      </c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6.5" customHeight="1" s="1666">
      <c r="A43" s="3083" t="inlineStr">
        <is>
          <t>— 💱 EXPOSITION DEVISES (auto) —</t>
        </is>
      </c>
      <c r="C43" s="1665" t="n"/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6.5" customHeight="1" s="1666">
      <c r="A44" s="3084" t="inlineStr">
        <is>
          <t>Valeur USD en CAD (total)</t>
        </is>
      </c>
      <c r="B44" s="3085">
        <f>SUMIF('🔍 ANALYSE TRIABLE'!K8:K48,"USD",'🔍 ANALYSE TRIABLE'!L8:L48)</f>
        <v/>
      </c>
      <c r="C44" s="1665" t="n"/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6.5" customHeight="1" s="1666">
      <c r="A45" s="3084" t="inlineStr">
        <is>
          <t>Valeur CAD (total)</t>
        </is>
      </c>
      <c r="B45" s="3085">
        <f>SUMIF('🔍 ANALYSE TRIABLE'!K8:K48,"CAD",'🔍 ANALYSE TRIABLE'!L8:L48)</f>
        <v/>
      </c>
      <c r="C45" s="1665" t="n"/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6.5" customHeight="1" s="1666">
      <c r="A46" s="3086" t="inlineStr">
        <is>
          <t>% EXPOSITION USD</t>
        </is>
      </c>
      <c r="B46" s="3087">
        <f>IFERROR(B44/(B44+B45),0)</f>
        <v/>
      </c>
      <c r="C46" s="1665" t="inlineStr">
        <is>
          <t>⚠️ Seuil max = 65%</t>
        </is>
      </c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6.5" customHeight="1" s="1666">
      <c r="A47" s="3088" t="inlineStr">
        <is>
          <t>STATUT USD%</t>
        </is>
      </c>
      <c r="B47" s="3084">
        <f>IF(B46&gt;0.65,"🔴 SUREXPOSÉ USD — Rééquilibrer",IF(B46&gt;0.6,"🟡 LIMITE — Surveiller","✅ OK — Dans les cibles"))</f>
        <v/>
      </c>
      <c r="C47" s="1665" t="n"/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6.5" customHeight="1" s="1666">
      <c r="A48" s="3089" t="inlineStr">
        <is>
          <t>USD/CAD trend</t>
        </is>
      </c>
      <c r="B48" s="3090">
        <f>IFERROR((G6/164)-1,0)</f>
        <v/>
      </c>
      <c r="C48" s="3091" t="inlineStr">
        <is>
          <t>Hausse / Baisse / Stable · affecte expo USD</t>
        </is>
      </c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6.5" customHeight="1" s="1666">
      <c r="A49" s="3089" t="inlineStr">
        <is>
          <t>S&amp;P500 YTD</t>
        </is>
      </c>
      <c r="B49" s="3092">
        <f>IFERROR((G36/6927.91)-1,0)</f>
        <v/>
      </c>
      <c r="C49" s="1719" t="inlineStr">
        <is>
          <t>Source: VFV.TO close 11 mars $164.00 vs $166.62 (31 déc)</t>
        </is>
      </c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6" customHeight="1" s="1666">
      <c r="A50" s="3089" t="inlineStr">
        <is>
          <t>TSX YTD</t>
        </is>
      </c>
      <c r="B50" s="3092">
        <f>IFERROR((G37/31728.33)-1,0)</f>
        <v/>
      </c>
      <c r="C50" s="3091" t="inlineStr">
        <is>
          <t>Contexte marché canadien</t>
        </is>
      </c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3.5" customHeight="1" s="1666">
      <c r="A51" s="1721" t="inlineStr">
        <is>
          <t>BdC prochain</t>
        </is>
      </c>
      <c r="B51" s="1773" t="inlineStr">
        <is>
          <t>18 mars 2026</t>
        </is>
      </c>
      <c r="C51" s="3081" t="inlineStr">
        <is>
          <t>Statu quo attendu 94% · impact REITs+ENB · surveiller</t>
        </is>
      </c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6.5" customHeight="1" s="1666">
      <c r="A52" s="3089" t="inlineStr">
        <is>
          <t>Fed prochain</t>
        </is>
      </c>
      <c r="B52" s="3093" t="inlineStr">
        <is>
          <t>18-19 mars 2026</t>
        </is>
      </c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6.5" customHeight="1" s="1666">
      <c r="A53" s="3089" t="inlineStr">
        <is>
          <t>VIX / Humeur marché</t>
        </is>
      </c>
      <c r="B53" s="3094" t="inlineStr">
        <is>
          <t>24.60 — Volatilité élevée ⚠️</t>
        </is>
      </c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6.5" customHeight="1" s="1666">
      <c r="B54" s="1665" t="n"/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6.5" customHeight="1" s="1666">
      <c r="A55" s="3095" t="inlineStr">
        <is>
          <t>— 🎯 INTENTION DE SESSION (écraser à chaque session) —</t>
        </is>
      </c>
      <c r="B55" s="1665" t="n"/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6.5" customHeight="1" s="1666">
      <c r="A56" s="3096" t="inlineStr">
        <is>
          <t>Objectif session</t>
        </is>
      </c>
      <c r="B56" s="3097" t="inlineStr">
        <is>
          <t>⬜ ex: exécuter trades / revoir stratégie / déclaration impôt</t>
        </is>
      </c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6" customHeight="1" s="1666">
      <c r="A57" s="3096" t="inlineStr">
        <is>
          <t>Trades envisagés</t>
        </is>
      </c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3.5" customHeight="1" s="1666">
      <c r="A58" s="3096" t="inlineStr">
        <is>
          <t>Budget disponible</t>
        </is>
      </c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5.75" customHeight="1" s="1666">
      <c r="A59" s="3096" t="inlineStr">
        <is>
          <t>Temps disponible</t>
        </is>
      </c>
      <c r="B59" s="3097" t="inlineStr">
        <is>
          <t>⬜ ex: 1h / 3h / vacances / urgence</t>
        </is>
      </c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6.5" customHeight="1" s="1666">
      <c r="A60" s="3096" t="inlineStr">
        <is>
          <t>Priorité #1 session</t>
        </is>
      </c>
      <c r="B60" s="3097" t="inlineStr">
        <is>
          <t>⬜ ex: SCHD REER · ou: analyse seulement</t>
        </is>
      </c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6.5" customHeight="1" s="1666"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6.5" customHeight="1" s="1666">
      <c r="A62" s="3095" t="inlineStr">
        <is>
          <t>— 💡 TRADES ENVISAGÉS — Soumettre à Claude avant exécution —</t>
        </is>
      </c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6.5" customHeight="1" s="1666">
      <c r="A63" s="1766" t="inlineStr">
        <is>
          <t>TICKER</t>
        </is>
      </c>
      <c r="B63" s="1766" t="inlineStr">
        <is>
          <t>ACTION</t>
        </is>
      </c>
      <c r="C63" s="1766" t="inlineStr">
        <is>
          <t>MONTANT</t>
        </is>
      </c>
      <c r="D63" s="1766" t="inlineStr">
        <is>
          <t>COMPTE</t>
        </is>
      </c>
      <c r="E63" s="1766" t="inlineStr">
        <is>
          <t>RAISON</t>
        </is>
      </c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6" customHeight="1" s="1666">
      <c r="A64" s="3098" t="inlineStr">
        <is>
          <t>⬜</t>
        </is>
      </c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3.5" customHeight="1" s="1666">
      <c r="A65" s="3099" t="inlineStr">
        <is>
          <t>⬜</t>
        </is>
      </c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6.5" customHeight="1" s="1666">
      <c r="A66" s="3098" t="inlineStr">
        <is>
          <t>⬜</t>
        </is>
      </c>
      <c r="B66" s="3098" t="inlineStr">
        <is>
          <t>⬜</t>
        </is>
      </c>
      <c r="C66" s="3098" t="inlineStr">
        <is>
          <t>⬜</t>
        </is>
      </c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6.5" customHeight="1" s="1666">
      <c r="A67" s="3099" t="inlineStr">
        <is>
          <t>⬜</t>
        </is>
      </c>
      <c r="B67" s="3099" t="inlineStr">
        <is>
          <t>⬜</t>
        </is>
      </c>
      <c r="C67" s="3099" t="inlineStr">
        <is>
          <t>⬜</t>
        </is>
      </c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6.5" customHeight="1" s="1666">
      <c r="C68" s="1665" t="n"/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6.5" customHeight="1" s="1666">
      <c r="A69" s="3095" t="inlineStr">
        <is>
          <t>— 📉 CONTEXTE DRAWDOWN / RALLY (saisir si pertinent) —</t>
        </is>
      </c>
      <c r="C69" s="1665" t="n"/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6.5" customHeight="1" s="1666">
      <c r="A70" s="3100" t="inlineStr">
        <is>
          <t>S&amp;P500 depuis ATH</t>
        </is>
      </c>
      <c r="B70" s="1703" t="inlineStr">
        <is>
          <t>-3.42%</t>
        </is>
      </c>
      <c r="C70" s="3101" t="inlineStr">
        <is>
          <t>ex: -5% · déclenche analyse buy-the-dip</t>
        </is>
      </c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6" customHeight="1" s="1666">
      <c r="A71" s="3100" t="inlineStr">
        <is>
          <t>TSX depuis ATH</t>
        </is>
      </c>
      <c r="B71" s="3102" t="inlineStr">
        <is>
          <t>~-1.5% (TSX ~33,171 vs ATH ~33,700)</t>
        </is>
      </c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3.5" customHeight="1" s="1666">
      <c r="A72" s="3100" t="inlineStr">
        <is>
          <t>Portfolio depuis ATH</t>
        </is>
      </c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5.75" customHeight="1" s="1666">
      <c r="A73" s="3100" t="inlineStr">
        <is>
          <t>Ressenti marché</t>
        </is>
      </c>
      <c r="B73" s="1703" t="inlineStr">
        <is>
          <t>PEUR — Conflit Iran/Moyen-Orient · VIX 24.6</t>
        </is>
      </c>
      <c r="C73" s="3101" t="inlineStr">
        <is>
          <t>Peur / Greed / Neutre · Fear&amp;Greed Index</t>
        </is>
      </c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8" customHeight="1" s="1666">
      <c r="A74" s="3100" t="inlineStr">
        <is>
          <t>Mode Claude recommandé</t>
        </is>
      </c>
      <c r="B74" s="3094" t="inlineStr">
        <is>
          <t>BUY THE DIP MODÉRÉ 🟡</t>
        </is>
      </c>
      <c r="C74" s="3101" t="inlineStr">
        <is>
          <t>NORMAL · DIP AGRESSIF · DEFENS · REBALANCE</t>
        </is>
      </c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8" customHeight="1" s="1666"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8" customHeight="1" s="1666">
      <c r="A76" s="3103" t="inlineStr">
        <is>
          <t>— 📊 BENCHMARK YTD — Référence jan 2026 établie —</t>
        </is>
      </c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5.75" customHeight="1" s="1666">
      <c r="A77" s="1760" t="inlineStr">
        <is>
          <t>MÉTRIQUE</t>
        </is>
      </c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6" customHeight="1" s="1666">
      <c r="A78" s="3089" t="inlineStr">
        <is>
          <t>Portfolio CAD (hors dépôts 2026)</t>
        </is>
      </c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3.5" customHeight="1" s="1666">
      <c r="A79" s="3104" t="inlineStr">
        <is>
          <t>VFV.TO CAD</t>
        </is>
      </c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6.5" customHeight="1" s="1666">
      <c r="A80" s="3089" t="inlineStr">
        <is>
          <t>Dépôts 2026 à exclure (FHSA+REER)</t>
        </is>
      </c>
      <c r="B80" s="3105" t="n">
        <v>14050</v>
      </c>
      <c r="C80" s="3106" t="n">
        <v>14050</v>
      </c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6.5" customHeight="1" s="1666">
      <c r="A81" s="3107" t="inlineStr">
        <is>
          <t>⚠️  Référence $74,290 = estimation (87,194 − dépôts mars $14,050 + gains marché $1,146)  ·  Confirmer avec dump Questrade jan 2026 si disponible</t>
        </is>
      </c>
      <c r="C81" s="1665" t="n"/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6.5" customHeight="1" s="1666">
      <c r="C82" s="1665" t="n"/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6.5" customHeight="1" s="1666">
      <c r="A83" s="3095" t="inlineStr">
        <is>
          <t>— 📅 CALENDRIER PERSONNEL 30 JOURS (MAJ chaque session) —</t>
        </is>
      </c>
      <c r="C83" s="1665" t="n"/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6.5" customHeight="1" s="1666">
      <c r="A84" s="3108" t="inlineStr">
        <is>
          <t>Prochaine paie</t>
        </is>
      </c>
      <c r="B84" s="3109" t="inlineStr">
        <is>
          <t>⬜ Saisir</t>
        </is>
      </c>
      <c r="C84" s="3091" t="inlineStr">
        <is>
          <t>ex: 18 mars · $3,700 environ</t>
        </is>
      </c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6" customHeight="1" s="1666">
      <c r="A85" s="3108" t="inlineStr">
        <is>
          <t>Disponibilité marchés</t>
        </is>
      </c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3.5" customHeight="1" s="1666">
      <c r="A86" s="3108" t="inlineStr">
        <is>
          <t>Achats prévus (non invst)</t>
        </is>
      </c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5.75" customHeight="1" s="1666">
      <c r="A87" s="3108" t="inlineStr">
        <is>
          <t>Prochaine session prévue</t>
        </is>
      </c>
      <c r="B87" s="3109" t="inlineStr">
        <is>
          <t>⬜ Saisir</t>
        </is>
      </c>
      <c r="C87" s="3091" t="inlineStr">
        <is>
          <t>ex: 18 mars post-BdC / fin mars</t>
        </is>
      </c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5.75" customHeight="1" s="1666">
      <c r="A88" s="3108" t="inlineStr">
        <is>
          <t>Événements vie importants</t>
        </is>
      </c>
      <c r="B88" s="3109" t="inlineStr">
        <is>
          <t>⬜ Saisir</t>
        </is>
      </c>
      <c r="C88" s="3091" t="inlineStr">
        <is>
          <t>ex: aucun · ou: achat voiture, mariage, etc.</t>
        </is>
      </c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5.75" customHeight="1" s="1666"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5.75" customHeight="1" s="1666">
      <c r="A90" s="3095" t="inlineStr">
        <is>
          <t>— 💰 DIVIDENDES REÇUS DEPUIS DERNIÈRE SESSION —</t>
        </is>
      </c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5.75" customHeight="1" s="1666">
      <c r="A91" s="3110" t="inlineStr">
        <is>
          <t>TICKER</t>
        </is>
      </c>
      <c r="B91" s="3110" t="inlineStr">
        <is>
          <t>COMPTE</t>
        </is>
      </c>
      <c r="C91" s="3110" t="inlineStr">
        <is>
          <t>MONTANT CAD</t>
        </is>
      </c>
      <c r="D91" s="3110" t="inlineStr">
        <is>
          <t>DATE</t>
        </is>
      </c>
      <c r="E91" s="3110" t="inlineStr">
        <is>
          <t>RÉINVESTIR?</t>
        </is>
      </c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5.75" customHeight="1" s="1666">
      <c r="A92" s="3111" t="inlineStr">
        <is>
          <t>ENB.TO</t>
        </is>
      </c>
      <c r="B92" s="3112" t="inlineStr">
        <is>
          <t>TFSA</t>
        </is>
      </c>
      <c r="C92" s="3113" t="inlineStr">
        <is>
          <t>~$16.20</t>
        </is>
      </c>
      <c r="D92" s="3112" t="inlineStr">
        <is>
          <t>Mars 2026</t>
        </is>
      </c>
      <c r="E92" s="3114" t="inlineStr">
        <is>
          <t>Accumuler → ENB si dip</t>
        </is>
      </c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5.75" customHeight="1" s="1666">
      <c r="A93" s="3115" t="inlineStr">
        <is>
          <t>XEI.TO</t>
        </is>
      </c>
      <c r="B93" s="1817" t="inlineStr">
        <is>
          <t>TFSA</t>
        </is>
      </c>
      <c r="C93" s="3116" t="inlineStr">
        <is>
          <t>~$4.60</t>
        </is>
      </c>
      <c r="D93" s="1817" t="inlineStr">
        <is>
          <t>Mars 2026</t>
        </is>
      </c>
      <c r="E93" s="3117" t="inlineStr">
        <is>
          <t>→ Cash TFSA → T1</t>
        </is>
      </c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5.75" customHeight="1" s="1666">
      <c r="A94" s="3111" t="inlineStr">
        <is>
          <t>SRU.UN</t>
        </is>
      </c>
      <c r="B94" s="3112" t="inlineStr">
        <is>
          <t>TFSA</t>
        </is>
      </c>
      <c r="C94" s="3113" t="inlineStr">
        <is>
          <t>~$8.00</t>
        </is>
      </c>
      <c r="D94" s="3112" t="inlineStr">
        <is>
          <t>Mars 2026</t>
        </is>
      </c>
      <c r="E94" s="3114" t="inlineStr">
        <is>
          <t>→ Cash TFSA → T1</t>
        </is>
      </c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5.75" customHeight="1" s="1666">
      <c r="A95" s="3115" t="inlineStr">
        <is>
          <t>SCHD</t>
        </is>
      </c>
      <c r="B95" s="1817" t="inlineStr">
        <is>
          <t>REER</t>
        </is>
      </c>
      <c r="C95" s="3116" t="inlineStr">
        <is>
          <t>~$14.80</t>
        </is>
      </c>
      <c r="D95" s="1817" t="inlineStr">
        <is>
          <t>Q1 2026</t>
        </is>
      </c>
      <c r="E95" s="3117" t="inlineStr">
        <is>
          <t>Drip → SCHD</t>
        </is>
      </c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5.75" customHeight="1" s="1666">
      <c r="A96" s="3111" t="inlineStr">
        <is>
          <t>JEPI</t>
        </is>
      </c>
      <c r="B96" s="3112" t="inlineStr">
        <is>
          <t>REER</t>
        </is>
      </c>
      <c r="C96" s="3113" t="inlineStr">
        <is>
          <t>~$0.40</t>
        </is>
      </c>
      <c r="D96" s="3112" t="inlineStr">
        <is>
          <t>Mensuel</t>
        </is>
      </c>
      <c r="E96" s="3114" t="inlineStr">
        <is>
          <t>Drip → JEPI</t>
        </is>
      </c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5.75" customHeight="1" s="1666">
      <c r="A97" s="3115" t="inlineStr">
        <is>
          <t>TD.TO</t>
        </is>
      </c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3.5" customHeight="1" s="1666">
      <c r="A98" s="3111" t="inlineStr">
        <is>
          <t>MFC.TO</t>
        </is>
      </c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6" customHeight="1" s="1666">
      <c r="A99" s="3115" t="inlineStr">
        <is>
          <t>REI.UN</t>
        </is>
      </c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3.5" customHeight="1" s="1666">
      <c r="A100" s="3118" t="inlineStr">
        <is>
          <t>⬜ Saisir</t>
        </is>
      </c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6.5" customHeight="1" s="1666">
      <c r="A101" s="3099" t="inlineStr">
        <is>
          <t>⬜ Saisir</t>
        </is>
      </c>
      <c r="B101" s="1817" t="n"/>
      <c r="C101" s="3119" t="n"/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6.5" customHeight="1" s="1666">
      <c r="A102" s="3120" t="inlineStr">
        <is>
          <t>⬜ Cocher ✅ quand reçu + MAJ REVENUS log YTD + ajouter au cash du compte concerné</t>
        </is>
      </c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6.5" customHeight="1" s="1666"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6.5" customHeight="1" s="1666">
      <c r="A104" s="3095" t="inlineStr">
        <is>
          <t>— 🔄 CHANGEMENTS DE VIE / PROFIL (rare — MAJ si situation change) —</t>
        </is>
      </c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6.5" customHeight="1" s="1666">
      <c r="A105" s="3121" t="inlineStr">
        <is>
          <t>Salaire brut</t>
        </is>
      </c>
      <c r="B105" s="3122" t="inlineStr">
        <is>
          <t>$140,000/an</t>
        </is>
      </c>
      <c r="C105" s="3123" t="inlineStr">
        <is>
          <t>Policier Nunavik · stable</t>
        </is>
      </c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6.5" customHeight="1" s="1666">
      <c r="A106" s="3121" t="inlineStr">
        <is>
          <t>Taux marginal QC</t>
        </is>
      </c>
      <c r="B106" s="3122" t="inlineStr">
        <is>
          <t>52.98%</t>
        </is>
      </c>
      <c r="C106" s="3123" t="inlineStr">
        <is>
          <t>Calculé sur revenu 2025</t>
        </is>
      </c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6.5" customHeight="1" s="1666">
      <c r="A107" s="3121" t="inlineStr">
        <is>
          <t>Régime retraite</t>
        </is>
      </c>
      <c r="B107" s="3122" t="inlineStr">
        <is>
          <t>AUCUN confirmé</t>
        </is>
      </c>
      <c r="C107" s="3123" t="inlineStr">
        <is>
          <t>⚠️ Vérifier rétroactivité employeur avant cotisation REER</t>
        </is>
      </c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6.5" customHeight="1" s="1666">
      <c r="A108" s="3121" t="inlineStr">
        <is>
          <t>Maison — statut</t>
        </is>
      </c>
      <c r="B108" s="3122" t="inlineStr">
        <is>
          <t>Solo 2030+ TFSA</t>
        </is>
      </c>
      <c r="C108" s="3123" t="inlineStr">
        <is>
          <t>RAP $60K + FHSA $40K = $100K mise de fonds</t>
        </is>
      </c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6.5" customHeight="1" s="1666">
      <c r="A109" s="3121" t="inlineStr">
        <is>
          <t>Relation — finances</t>
        </is>
      </c>
      <c r="B109" s="3122" t="inlineStr">
        <is>
          <t>Séparées 100%</t>
        </is>
      </c>
      <c r="C109" s="3123" t="inlineStr">
        <is>
          <t>Aucun impact sur stratégie</t>
        </is>
      </c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6.5" customHeight="1" s="1666">
      <c r="A110" s="3121" t="inlineStr">
        <is>
          <t>Tolérance risque</t>
        </is>
      </c>
      <c r="B110" s="3122" t="inlineStr">
        <is>
          <t>AGRESSIVE</t>
        </is>
      </c>
      <c r="C110" s="3123" t="inlineStr">
        <is>
          <t>Buy-the-dip · pas de panique confirmé COVID 2020</t>
        </is>
      </c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6.5" customHeight="1" s="1666">
      <c r="A111" s="3121" t="inlineStr">
        <is>
          <t>Objectif FI</t>
        </is>
      </c>
      <c r="B111" s="3122" t="inlineStr">
        <is>
          <t>$2.1M+ avant 50 ans</t>
        </is>
      </c>
      <c r="C111" s="3123" t="inlineStr">
        <is>
          <t>Floor not ceiling · liberté = objectif réel</t>
        </is>
      </c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5.75" customHeight="1" s="1666">
      <c r="A112" s="3121" t="inlineStr">
        <is>
          <t>Crypto hors portefeuille</t>
        </is>
      </c>
      <c r="B112" s="3122" t="inlineStr">
        <is>
          <t>$300 BTC</t>
        </is>
      </c>
      <c r="C112" s="3123" t="inlineStr">
        <is>
          <t>Hors stratégie principale · ne pas croître</t>
        </is>
      </c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5.75" customHeight="1" s="1666">
      <c r="A113" s="3124" t="inlineStr">
        <is>
          <t>FTQ 2026</t>
        </is>
      </c>
      <c r="B113" s="3125" t="inlineStr">
        <is>
          <t>🔴 Non éligible</t>
        </is>
      </c>
      <c r="C113" s="3126" t="inlineStr">
        <is>
          <t>Revenu $140K &gt; seuil $129,590 · vérifier 2027</t>
        </is>
      </c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5.75" customHeight="1" s="1666">
      <c r="A114" s="3121" t="inlineStr">
        <is>
          <t>Wealthica</t>
        </is>
      </c>
      <c r="B114" s="3122" t="inlineStr">
        <is>
          <t>NON connecté</t>
        </is>
      </c>
      <c r="C114" s="3123" t="inlineStr">
        <is>
          <t>⬜ À configurer pour sync automatique</t>
        </is>
      </c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5.75" customHeight="1" s="1666">
      <c r="A115" s="3124" t="inlineStr">
        <is>
          <t>EQ Bank HISA</t>
        </is>
      </c>
      <c r="B115" s="3125" t="inlineStr">
        <is>
          <t>⬜ PAS OUVERT</t>
        </is>
      </c>
      <c r="C115" s="3126" t="inlineStr">
        <is>
          <t>🔴 Ouvrir ASAP · $15,000 fonds urgence</t>
        </is>
      </c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5.75" customHeight="1" s="1666"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21.75" customHeight="1" s="1666">
      <c r="A117" s="2911" t="inlineStr">
        <is>
          <t>💵  REVENU NET RÉEL  ·  3 scénarios basés sur ton vrai talon · 26 paies/an aux 2 semaines</t>
        </is>
      </c>
      <c r="B117" s="2912" t="n"/>
      <c r="C117" s="2912" t="n"/>
      <c r="D117" s="2912" t="n"/>
      <c r="E117" s="2912" t="n"/>
      <c r="F117" s="2912" t="n"/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31.5" customHeight="1" s="1666">
      <c r="A118" s="3127" t="inlineStr">
        <is>
          <t>PARAMÈTRE</t>
        </is>
      </c>
      <c r="B118" s="3127" t="inlineStr">
        <is>
          <t>🔵 BASE
$2,800/paie</t>
        </is>
      </c>
      <c r="C118" s="3127" t="inlineStr">
        <is>
          <t>🟡 MOYEN
$3,300/paie</t>
        </is>
      </c>
      <c r="D118" s="3127" t="inlineStr">
        <is>
          <t>🟢 RICHE
$3,800/paie</t>
        </is>
      </c>
      <c r="E118" s="3127" t="inlineStr">
        <is>
          <t>NOTE</t>
        </is>
      </c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5.75" customHeight="1" s="1666">
      <c r="A119" s="2913" t="inlineStr">
        <is>
          <t>💵 Paie nette /2 semaines</t>
        </is>
      </c>
      <c r="B119" s="3128" t="n">
        <v>2800</v>
      </c>
      <c r="C119" s="3128" t="n">
        <v>3300</v>
      </c>
      <c r="D119" s="3128" t="n">
        <v>3800</v>
      </c>
      <c r="E119" s="3129" t="inlineStr">
        <is>
          <t>🟡 Saisir si différent · c'est ta vraie base</t>
        </is>
      </c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5.75" customHeight="1" s="1666">
      <c r="A120" s="2913" t="inlineStr">
        <is>
          <t>Nb paies /an</t>
        </is>
      </c>
      <c r="B120" s="3130" t="n">
        <v>26</v>
      </c>
      <c r="C120" s="3130" t="n">
        <v>26</v>
      </c>
      <c r="D120" s="3130" t="n">
        <v>26</v>
      </c>
      <c r="E120" s="3129" t="inlineStr">
        <is>
          <t>Police → fixe 26/an</t>
        </is>
      </c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5.75" customHeight="1" s="1666">
      <c r="A121" s="2913" t="inlineStr">
        <is>
          <t>Revenu net annuel</t>
        </is>
      </c>
      <c r="B121" s="3131">
        <f>B119*26</f>
        <v/>
      </c>
      <c r="C121" s="3131">
        <f>C119*26</f>
        <v/>
      </c>
      <c r="D121" s="3131">
        <f>D119*26</f>
        <v/>
      </c>
      <c r="E121" s="3129" t="inlineStr">
        <is>
          <t>← paie × 26</t>
        </is>
      </c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5.75" customHeight="1" s="1666">
      <c r="A122" s="2913" t="inlineStr">
        <is>
          <t>Revenu net /mois</t>
        </is>
      </c>
      <c r="B122" s="3131">
        <f>B121/12</f>
        <v/>
      </c>
      <c r="C122" s="3131">
        <f>C121/12</f>
        <v/>
      </c>
      <c r="D122" s="3131">
        <f>D121/12</f>
        <v/>
      </c>
      <c r="E122" s="3129" t="inlineStr">
        <is>
          <t>← annuel ÷ 12</t>
        </is>
      </c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5.75" customHeight="1" s="1666">
      <c r="A123" s="2913" t="inlineStr">
        <is>
          <t>Dépenses fixes /mois</t>
        </is>
      </c>
      <c r="B123" s="3132" t="n">
        <v>700</v>
      </c>
      <c r="C123" s="3132" t="n">
        <v>700</v>
      </c>
      <c r="D123" s="3132" t="n">
        <v>700</v>
      </c>
      <c r="E123" s="3129" t="inlineStr">
        <is>
          <t>Assurances + téléphone (logement+bouffe = gratuit)</t>
        </is>
      </c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5.75" customHeight="1" s="1666">
      <c r="A124" s="2913" t="inlineStr">
        <is>
          <t>Disponible pour investir /mois</t>
        </is>
      </c>
      <c r="B124" s="3131">
        <f>B122-700</f>
        <v/>
      </c>
      <c r="C124" s="3131">
        <f>C122-700</f>
        <v/>
      </c>
      <c r="D124" s="3131">
        <f>D122-700</f>
        <v/>
      </c>
      <c r="E124" s="3129" t="inlineStr">
        <is>
          <t>← net mensuel − dépenses</t>
        </is>
      </c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5.75" customHeight="1" s="1666">
      <c r="A125" s="2913" t="inlineStr">
        <is>
          <t>Investi actuellement /mois</t>
        </is>
      </c>
      <c r="B125" s="3132" t="n">
        <v>3500</v>
      </c>
      <c r="C125" s="3132" t="n">
        <v>3500</v>
      </c>
      <c r="D125" s="3132" t="n">
        <v>3500</v>
      </c>
      <c r="E125" s="3129" t="inlineStr">
        <is>
          <t>REER $2K + FHSA $1K + TFSA $500</t>
        </is>
      </c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21.75" customHeight="1" s="1666">
      <c r="A126" s="3133" t="inlineStr">
        <is>
          <t>SURPLUS NON INVESTI /mois</t>
        </is>
      </c>
      <c r="B126" s="3134">
        <f>B124-3500</f>
        <v/>
      </c>
      <c r="C126" s="3134">
        <f>C124-3500</f>
        <v/>
      </c>
      <c r="D126" s="3134">
        <f>D124-3500</f>
        <v/>
      </c>
      <c r="E126" s="3129" t="inlineStr">
        <is>
          <t>← disponible − $3,500 investi · Où va cet argent?</t>
        </is>
      </c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5.75" customHeight="1" s="1666">
      <c r="A127" s="2913" t="inlineStr">
        <is>
          <t>Taux d'épargne actuel</t>
        </is>
      </c>
      <c r="B127" s="3135">
        <f>3500/B122</f>
        <v/>
      </c>
      <c r="C127" s="3135">
        <f>3500/C122</f>
        <v/>
      </c>
      <c r="D127" s="3135">
        <f>3500/D122</f>
        <v/>
      </c>
      <c r="E127" s="3129" t="inlineStr">
        <is>
          <t>← $3,500 / net mensuel</t>
        </is>
      </c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5.75" customHeight="1" s="1666">
      <c r="A128" s="2913" t="inlineStr">
        <is>
          <t>Potentiel si surplus réinvesti</t>
        </is>
      </c>
      <c r="B128" s="3131">
        <f>B124</f>
        <v/>
      </c>
      <c r="C128" s="3131">
        <f>C124</f>
        <v/>
      </c>
      <c r="D128" s="3131">
        <f>D124</f>
        <v/>
      </c>
      <c r="E128" s="3129" t="inlineStr">
        <is>
          <t>← total disponible si surplus → investissement</t>
        </is>
      </c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5.75" customHeight="1" s="1666">
      <c r="A129" s="3136" t="n"/>
      <c r="B129" s="3137" t="n"/>
      <c r="C129" s="3138" t="n"/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54.75" customHeight="1" s="1666">
      <c r="A130" s="3139" t="inlineStr">
        <is>
          <t>💡 INSIGHT : Même à la paie BASE ($2,800), ton surplus est $2,367/mois après $3,500 investi. Au MOYEN ($3,300) → $2,950 surplus. Ce surplus accumule ~$35K/an dans un compte ordinaire = perte nette après inflation. RECOMMANDATION : Monter à $5,000/mois (REER max + FHSA + TFSA) → toujours faisable même aux paies basses.</t>
        </is>
      </c>
      <c r="B130" s="2918" t="n"/>
      <c r="C130" s="3140" t="n"/>
      <c r="D130" s="3141" t="n"/>
      <c r="E130" s="3141" t="n"/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5.75" customHeight="1" s="1666"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21.75" customHeight="1" s="1666">
      <c r="A132" s="3142" t="n"/>
      <c r="B132" s="3143" t="n"/>
      <c r="C132" s="3142" t="n"/>
      <c r="D132" s="3142" t="n"/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5.75" customHeight="1" s="1666">
      <c r="A133" s="3136" t="n"/>
      <c r="B133" s="3144" t="n"/>
      <c r="C133" s="3138" t="n"/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5.75" customHeight="1" s="1666">
      <c r="A134" s="3136" t="n"/>
      <c r="B134" s="3145" t="n"/>
      <c r="C134" s="3138" t="n"/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5.75" customHeight="1" s="1666">
      <c r="A135" s="3136" t="n"/>
      <c r="B135" s="3137" t="n"/>
      <c r="C135" s="3138" t="n"/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5.75" customHeight="1" s="1666">
      <c r="A136" s="3136" t="n"/>
      <c r="B136" s="3146" t="n"/>
      <c r="C136" s="3138" t="n"/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5.75" customHeight="1" s="1666">
      <c r="A137" s="3136" t="n"/>
      <c r="B137" s="3147" t="n"/>
      <c r="C137" s="3138" t="n"/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5.75" customHeight="1" s="1666">
      <c r="A138" s="3136" t="n"/>
      <c r="B138" s="3147" t="n"/>
      <c r="C138" s="3138" t="n"/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5.75" customHeight="1" s="1666"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21.75" customHeight="1" s="1666">
      <c r="A140" s="3142" t="n"/>
      <c r="B140" s="3143" t="n"/>
      <c r="C140" s="3142" t="n"/>
      <c r="D140" s="3142" t="n"/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5.75" customHeight="1" s="1666">
      <c r="A141" s="3136" t="n"/>
      <c r="B141" s="3148" t="n"/>
      <c r="C141" s="3138" t="n"/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5.75" customHeight="1" s="1666">
      <c r="A142" s="3136" t="n"/>
      <c r="B142" s="3148" t="n"/>
      <c r="C142" s="3138" t="n"/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5.75" customHeight="1" s="1666">
      <c r="A143" s="3136" t="n"/>
      <c r="B143" s="3148" t="n"/>
      <c r="C143" s="3138" t="n"/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5.75" customHeight="1" s="1666">
      <c r="A144" s="3136" t="n"/>
      <c r="B144" s="3149" t="n"/>
      <c r="C144" s="3138" t="n"/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21.75" customHeight="1" s="1666">
      <c r="A145" s="3150" t="inlineStr">
        <is>
          <t>⚖️  RÈGLE ALLÈGEMENT T1  ·  Déclencheurs % précis · Quand et combien vendre</t>
        </is>
      </c>
      <c r="B145" s="3151" t="n"/>
      <c r="C145" s="3152" t="n"/>
      <c r="D145" s="3153" t="n"/>
      <c r="E145" s="3153" t="n"/>
      <c r="F145" s="3153" t="n"/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5.75" customHeight="1" s="1666">
      <c r="A146" s="3154" t="inlineStr">
        <is>
          <t>TITRE</t>
        </is>
      </c>
      <c r="B146" s="3154" t="inlineStr">
        <is>
          <t>SEUIL % PORTFOLIO</t>
        </is>
      </c>
      <c r="C146" s="3154" t="inlineStr">
        <is>
          <t>ACTION</t>
        </is>
      </c>
      <c r="D146" s="3154" t="inlineStr">
        <is>
          <t>RÉINVESTIR</t>
        </is>
      </c>
      <c r="E146" s="3154" t="inlineStr">
        <is>
          <t>CONDITION REQUISE</t>
        </is>
      </c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25.5" customHeight="1" s="1666">
      <c r="A147" s="3155" t="inlineStr">
        <is>
          <t>AVGO</t>
        </is>
      </c>
      <c r="B147" s="3156" t="inlineStr">
        <is>
          <t>&gt;20% du portfolio</t>
        </is>
      </c>
      <c r="C147" s="3157" t="inlineStr">
        <is>
          <t>Vendre 20-25% de la position</t>
        </is>
      </c>
      <c r="D147" s="3158" t="inlineStr">
        <is>
          <t>SCHD REER ou SMH TFSA</t>
        </is>
      </c>
      <c r="E147" s="3159" t="inlineStr">
        <is>
          <t>ET gain &gt; +50% sur la position</t>
        </is>
      </c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25.5" customHeight="1" s="1666">
      <c r="A148" s="3155" t="inlineStr">
        <is>
          <t>GEV</t>
        </is>
      </c>
      <c r="B148" s="3156" t="inlineStr">
        <is>
          <t>&gt;10% du portfolio</t>
        </is>
      </c>
      <c r="C148" s="3157" t="inlineStr">
        <is>
          <t>Vendre 25-30% si &gt;12%</t>
        </is>
      </c>
      <c r="D148" s="3158" t="inlineStr">
        <is>
          <t>AVGO ou VFV.TO FHSA</t>
        </is>
      </c>
      <c r="E148" s="3159" t="inlineStr">
        <is>
          <t>GEV volatile · mouvement rapide possible</t>
        </is>
      </c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25.5" customHeight="1" s="1666">
      <c r="A149" s="3155" t="inlineStr">
        <is>
          <t>SMH</t>
        </is>
      </c>
      <c r="B149" s="3156" t="inlineStr">
        <is>
          <t>&gt;15% du portfolio</t>
        </is>
      </c>
      <c r="C149" s="3157" t="inlineStr">
        <is>
          <t>Vendre 20% si &gt;18%</t>
        </is>
      </c>
      <c r="D149" s="3158" t="inlineStr">
        <is>
          <t>VFV.TO TFSA ou SCHD REER</t>
        </is>
      </c>
      <c r="E149" s="3159" t="inlineStr">
        <is>
          <t>ETF semi = moins risqué mais surveiller</t>
        </is>
      </c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25.5" customHeight="1" s="1666">
      <c r="A150" s="3133" t="inlineStr">
        <is>
          <t>1 TITRE SEUL</t>
        </is>
      </c>
      <c r="B150" s="3160" t="inlineStr">
        <is>
          <t>&gt;25% du portfolio</t>
        </is>
      </c>
      <c r="C150" s="3133" t="inlineStr">
        <is>
          <t>⛔ TOUJOURS alléger → ramener à 20%</t>
        </is>
      </c>
      <c r="D150" s="3158" t="inlineStr">
        <is>
          <t>T1 le plus sous-pondéré</t>
        </is>
      </c>
      <c r="E150" s="3159" t="inlineStr">
        <is>
          <t>Règle absolue · peu importe la conviction</t>
        </is>
      </c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25.5" customHeight="1" s="1666">
      <c r="A151" s="3133" t="inlineStr">
        <is>
          <t>EXPO IA</t>
        </is>
      </c>
      <c r="B151" s="3160" t="inlineStr">
        <is>
          <t>&gt;45% total portfolio</t>
        </is>
      </c>
      <c r="C151" s="3133" t="inlineStr">
        <is>
          <t>⛔ PAUSE achats IA · pas de nouveau T1 IA</t>
        </is>
      </c>
      <c r="D151" s="3158" t="inlineStr">
        <is>
          <t>VFV.TO TFSA ou SCHD REER</t>
        </is>
      </c>
      <c r="E151" s="3159" t="inlineStr">
        <is>
          <t>Auto-calculé CONFIG!B31 · seuil dur</t>
        </is>
      </c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5.75" customHeight="1" s="1666"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45" customHeight="1" s="1666">
      <c r="A153" s="3139" t="inlineStr">
        <is>
          <t>📌 RÈGLE D'OR : Alléger par concentration ($%), JAMAIS par peur. AVGO à +200% mais 18% du portfolio → ne pas toucher. AVGO monte à 26% → vendre 20-25% même si conviction maximale. Le % protège contre toi-même.</t>
        </is>
      </c>
      <c r="B153" s="3141" t="n"/>
      <c r="C153" s="3141" t="n"/>
      <c r="D153" s="3141" t="n"/>
      <c r="E153" s="3141" t="n"/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5.75" customHeight="1" s="1666"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5.75" customHeight="1" s="1666"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5.75" customHeight="1" s="1666"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5.75" customHeight="1" s="1666"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5.75" customHeight="1" s="1666"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5.75" customHeight="1" s="1666"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5.75" customHeight="1" s="1666"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5.75" customHeight="1" s="1666"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5.75" customHeight="1" s="1666"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5.75" customHeight="1" s="1666"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5.75" customHeight="1" s="1666"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5.75" customHeight="1" s="1666"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5.75" customHeight="1" s="1666"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5.75" customHeight="1" s="1666"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5.75" customHeight="1" s="1666"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5.75" customHeight="1" s="1666"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5.75" customHeight="1" s="1666"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5.75" customHeight="1" s="1666"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5.75" customHeight="1" s="1666"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5.75" customHeight="1" s="1666"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5.75" customHeight="1" s="1666"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5.75" customHeight="1" s="1666"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5.75" customHeight="1" s="1666"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5.75" customHeight="1" s="1666"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5.75" customHeight="1" s="1666"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5.75" customHeight="1" s="1666"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5.75" customHeight="1" s="1666"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5.75" customHeight="1" s="1666"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5.75" customHeight="1" s="1666"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5.75" customHeight="1" s="1666"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5.75" customHeight="1" s="1666"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5.75" customHeight="1" s="1666"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5.75" customHeight="1" s="1666"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5.75" customHeight="1" s="1666"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5.75" customHeight="1" s="1666"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5.75" customHeight="1" s="1666"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5.75" customHeight="1" s="1666"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5.75" customHeight="1" s="1666"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5.75" customHeight="1" s="1666"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5.75" customHeight="1" s="1666"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5.75" customHeight="1" s="1666"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5.75" customHeight="1" s="1666"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5.75" customHeight="1" s="1666"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5.75" customHeight="1" s="1666"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5.75" customHeight="1" s="1666"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5.75" customHeight="1" s="1666"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5.75" customHeight="1" s="1666"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5.75" customHeight="1" s="1666"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5.75" customHeight="1" s="1666"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5.75" customHeight="1" s="1666"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5.75" customHeight="1" s="1666"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I230" s="1665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I231" s="1665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I232" s="1665" t="n"/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I233" s="1665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I234" s="1665" t="n"/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I235" s="1665" t="n"/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I236" s="1665" t="n"/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I237" s="1665" t="n"/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I238" s="1665" t="n"/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I239" s="1665" t="n"/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I240" s="1665" t="n"/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I241" s="1665" t="n"/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I242" s="1665" t="n"/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I243" s="1665" t="n"/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I244" s="1665" t="n"/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I245" s="1665" t="n"/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I246" s="1665" t="n"/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I247" s="1665" t="n"/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I248" s="1665" t="n"/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I249" s="1665" t="n"/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I250" s="1665" t="n"/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I251" s="1665" t="n"/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I252" s="1665" t="n"/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I253" s="1665" t="n"/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I254" s="1665" t="n"/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I255" s="1665" t="n"/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I256" s="1665" t="n"/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I257" s="1665" t="n"/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I258" s="1665" t="n"/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I259" s="1665" t="n"/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I260" s="1665" t="n"/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I261" s="1665" t="n"/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I262" s="1665" t="n"/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I263" s="1665" t="n"/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I264" s="1665" t="n"/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I265" s="1665" t="n"/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I266" s="1665" t="n"/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I267" s="1665" t="n"/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I268" s="1665" t="n"/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I269" s="1665" t="n"/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I270" s="1665" t="n"/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I271" s="1665" t="n"/>
      <c r="J271" s="1665" t="n"/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I272" s="1665" t="n"/>
      <c r="J272" s="1665" t="n"/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I273" s="1665" t="n"/>
      <c r="J273" s="1665" t="n"/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I274" s="1665" t="n"/>
      <c r="J274" s="1665" t="n"/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I275" s="1665" t="n"/>
      <c r="J275" s="1665" t="n"/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I276" s="1665" t="n"/>
      <c r="J276" s="1665" t="n"/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I277" s="1665" t="n"/>
      <c r="J277" s="1665" t="n"/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I278" s="1665" t="n"/>
      <c r="J278" s="1665" t="n"/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I279" s="1665" t="n"/>
      <c r="J279" s="1665" t="n"/>
      <c r="K279" s="1665" t="n"/>
      <c r="L279" s="1665" t="n"/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I280" s="1665" t="n"/>
      <c r="J280" s="1665" t="n"/>
      <c r="K280" s="1665" t="n"/>
      <c r="L280" s="1665" t="n"/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I281" s="1665" t="n"/>
      <c r="J281" s="1665" t="n"/>
      <c r="K281" s="1665" t="n"/>
      <c r="L281" s="1665" t="n"/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I282" s="1665" t="n"/>
      <c r="J282" s="1665" t="n"/>
      <c r="K282" s="1665" t="n"/>
      <c r="L282" s="1665" t="n"/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I283" s="1665" t="n"/>
      <c r="J283" s="1665" t="n"/>
      <c r="K283" s="1665" t="n"/>
      <c r="L283" s="1665" t="n"/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I284" s="1665" t="n"/>
      <c r="J284" s="1665" t="n"/>
      <c r="K284" s="1665" t="n"/>
      <c r="L284" s="1665" t="n"/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I285" s="1665" t="n"/>
      <c r="J285" s="1665" t="n"/>
      <c r="K285" s="1665" t="n"/>
      <c r="L285" s="1665" t="n"/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I286" s="1665" t="n"/>
      <c r="J286" s="1665" t="n"/>
      <c r="K286" s="1665" t="n"/>
      <c r="L286" s="1665" t="n"/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I287" s="1665" t="n"/>
      <c r="J287" s="1665" t="n"/>
      <c r="K287" s="1665" t="n"/>
      <c r="L287" s="1665" t="n"/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I288" s="1665" t="n"/>
      <c r="J288" s="1665" t="n"/>
      <c r="K288" s="1665" t="n"/>
      <c r="L288" s="1665" t="n"/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I289" s="1665" t="n"/>
      <c r="J289" s="1665" t="n"/>
      <c r="K289" s="1665" t="n"/>
      <c r="L289" s="1665" t="n"/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I290" s="1665" t="n"/>
      <c r="J290" s="1665" t="n"/>
      <c r="K290" s="1665" t="n"/>
      <c r="L290" s="1665" t="n"/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I291" s="1665" t="n"/>
      <c r="J291" s="1665" t="n"/>
      <c r="K291" s="1665" t="n"/>
      <c r="L291" s="1665" t="n"/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I292" s="1665" t="n"/>
      <c r="J292" s="1665" t="n"/>
      <c r="K292" s="1665" t="n"/>
      <c r="L292" s="1665" t="n"/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I293" s="1665" t="n"/>
      <c r="J293" s="1665" t="n"/>
      <c r="K293" s="1665" t="n"/>
      <c r="L293" s="1665" t="n"/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I294" s="1665" t="n"/>
      <c r="J294" s="1665" t="n"/>
      <c r="K294" s="1665" t="n"/>
      <c r="L294" s="1665" t="n"/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I295" s="1665" t="n"/>
      <c r="J295" s="1665" t="n"/>
      <c r="K295" s="1665" t="n"/>
      <c r="L295" s="1665" t="n"/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I296" s="1665" t="n"/>
      <c r="J296" s="1665" t="n"/>
      <c r="K296" s="1665" t="n"/>
      <c r="L296" s="1665" t="n"/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I297" s="1665" t="n"/>
      <c r="J297" s="1665" t="n"/>
      <c r="K297" s="1665" t="n"/>
      <c r="L297" s="1665" t="n"/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>
      <c r="I298" s="1665" t="n"/>
      <c r="J298" s="1665" t="n"/>
      <c r="K298" s="1665" t="n"/>
      <c r="L298" s="1665" t="n"/>
      <c r="M298" s="1665" t="n"/>
      <c r="N298" s="1665" t="n"/>
      <c r="O298" s="1665" t="n"/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5.75" customHeight="1" s="1666">
      <c r="I299" s="1665" t="n"/>
      <c r="J299" s="1665" t="n"/>
      <c r="K299" s="1665" t="n"/>
      <c r="L299" s="1665" t="n"/>
      <c r="M299" s="1665" t="n"/>
      <c r="N299" s="1665" t="n"/>
      <c r="O299" s="1665" t="n"/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5.75" customHeight="1" s="1666">
      <c r="I300" s="1665" t="n"/>
      <c r="J300" s="1665" t="n"/>
      <c r="K300" s="1665" t="n"/>
      <c r="L300" s="1665" t="n"/>
      <c r="M300" s="1665" t="n"/>
      <c r="N300" s="1665" t="n"/>
      <c r="O300" s="1665" t="n"/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5.75" customHeight="1" s="1666">
      <c r="I301" s="1665" t="n"/>
      <c r="J301" s="1665" t="n"/>
      <c r="K301" s="1665" t="n"/>
      <c r="L301" s="1665" t="n"/>
      <c r="M301" s="1665" t="n"/>
      <c r="N301" s="1665" t="n"/>
      <c r="O301" s="1665" t="n"/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5.75" customHeight="1" s="1666">
      <c r="I302" s="1665" t="n"/>
      <c r="J302" s="1665" t="n"/>
      <c r="K302" s="1665" t="n"/>
      <c r="L302" s="1665" t="n"/>
      <c r="M302" s="1665" t="n"/>
      <c r="N302" s="1665" t="n"/>
      <c r="O302" s="1665" t="n"/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5.75" customHeight="1" s="1666">
      <c r="I303" s="1665" t="n"/>
      <c r="J303" s="1665" t="n"/>
      <c r="K303" s="1665" t="n"/>
      <c r="L303" s="1665" t="n"/>
      <c r="M303" s="1665" t="n"/>
      <c r="N303" s="1665" t="n"/>
      <c r="O303" s="1665" t="n"/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5.75" customHeight="1" s="1666">
      <c r="I304" s="1665" t="n"/>
      <c r="J304" s="1665" t="n"/>
      <c r="K304" s="1665" t="n"/>
      <c r="L304" s="1665" t="n"/>
      <c r="M304" s="1665" t="n"/>
      <c r="N304" s="1665" t="n"/>
      <c r="O304" s="1665" t="n"/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I305" s="1665" t="n"/>
      <c r="J305" s="1665" t="n"/>
      <c r="K305" s="1665" t="n"/>
      <c r="L305" s="1665" t="n"/>
      <c r="M305" s="1665" t="n"/>
      <c r="N305" s="1665" t="n"/>
      <c r="O305" s="1665" t="n"/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I306" s="1665" t="n"/>
      <c r="J306" s="1665" t="n"/>
      <c r="K306" s="1665" t="n"/>
      <c r="L306" s="1665" t="n"/>
      <c r="M306" s="1665" t="n"/>
      <c r="N306" s="1665" t="n"/>
      <c r="O306" s="1665" t="n"/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I307" s="1665" t="n"/>
      <c r="J307" s="1665" t="n"/>
      <c r="K307" s="1665" t="n"/>
      <c r="L307" s="1665" t="n"/>
      <c r="M307" s="1665" t="n"/>
      <c r="N307" s="1665" t="n"/>
      <c r="O307" s="1665" t="n"/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I308" s="1665" t="n"/>
      <c r="J308" s="1665" t="n"/>
      <c r="K308" s="1665" t="n"/>
      <c r="L308" s="1665" t="n"/>
      <c r="M308" s="1665" t="n"/>
      <c r="N308" s="1665" t="n"/>
      <c r="O308" s="1665" t="n"/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I309" s="1665" t="n"/>
      <c r="J309" s="1665" t="n"/>
      <c r="K309" s="1665" t="n"/>
      <c r="L309" s="1665" t="n"/>
      <c r="M309" s="1665" t="n"/>
      <c r="N309" s="1665" t="n"/>
      <c r="O309" s="1665" t="n"/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I310" s="1665" t="n"/>
      <c r="J310" s="1665" t="n"/>
      <c r="K310" s="1665" t="n"/>
      <c r="L310" s="1665" t="n"/>
      <c r="M310" s="1665" t="n"/>
      <c r="N310" s="1665" t="n"/>
      <c r="O310" s="1665" t="n"/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I311" s="1665" t="n"/>
      <c r="J311" s="1665" t="n"/>
      <c r="K311" s="1665" t="n"/>
      <c r="L311" s="1665" t="n"/>
      <c r="M311" s="1665" t="n"/>
      <c r="N311" s="1665" t="n"/>
      <c r="O311" s="1665" t="n"/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I312" s="1665" t="n"/>
      <c r="J312" s="1665" t="n"/>
      <c r="K312" s="1665" t="n"/>
      <c r="L312" s="1665" t="n"/>
      <c r="M312" s="1665" t="n"/>
      <c r="N312" s="1665" t="n"/>
      <c r="O312" s="1665" t="n"/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5.75" customHeight="1" s="1666">
      <c r="I313" s="1665" t="n"/>
      <c r="J313" s="1665" t="n"/>
      <c r="K313" s="1665" t="n"/>
      <c r="L313" s="1665" t="n"/>
      <c r="M313" s="1665" t="n"/>
      <c r="N313" s="1665" t="n"/>
      <c r="O313" s="1665" t="n"/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5.75" customHeight="1" s="1666">
      <c r="I314" s="1665" t="n"/>
      <c r="J314" s="1665" t="n"/>
      <c r="K314" s="1665" t="n"/>
      <c r="L314" s="1665" t="n"/>
      <c r="M314" s="1665" t="n"/>
      <c r="N314" s="1665" t="n"/>
      <c r="O314" s="1665" t="n"/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5.75" customHeight="1" s="1666">
      <c r="I315" s="1665" t="n"/>
      <c r="J315" s="1665" t="n"/>
      <c r="K315" s="1665" t="n"/>
      <c r="L315" s="1665" t="n"/>
      <c r="M315" s="1665" t="n"/>
      <c r="N315" s="1665" t="n"/>
      <c r="O315" s="1665" t="n"/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5.75" customHeight="1" s="1666">
      <c r="I316" s="1665" t="n"/>
      <c r="J316" s="1665" t="n"/>
      <c r="K316" s="1665" t="n"/>
      <c r="L316" s="1665" t="n"/>
      <c r="M316" s="1665" t="n"/>
      <c r="N316" s="1665" t="n"/>
      <c r="O316" s="1665" t="n"/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5.75" customHeight="1" s="1666">
      <c r="I317" s="1665" t="n"/>
      <c r="J317" s="1665" t="n"/>
      <c r="K317" s="1665" t="n"/>
      <c r="L317" s="1665" t="n"/>
      <c r="M317" s="1665" t="n"/>
      <c r="N317" s="1665" t="n"/>
      <c r="O317" s="1665" t="n"/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5.75" customHeight="1" s="1666">
      <c r="I318" s="1665" t="n"/>
      <c r="J318" s="1665" t="n"/>
      <c r="K318" s="1665" t="n"/>
      <c r="L318" s="1665" t="n"/>
      <c r="M318" s="1665" t="n"/>
      <c r="N318" s="1665" t="n"/>
      <c r="O318" s="1665" t="n"/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5.75" customHeight="1" s="1666">
      <c r="I319" s="1665" t="n"/>
      <c r="J319" s="1665" t="n"/>
      <c r="K319" s="1665" t="n"/>
      <c r="L319" s="1665" t="n"/>
      <c r="M319" s="1665" t="n"/>
      <c r="N319" s="1665" t="n"/>
      <c r="O319" s="1665" t="n"/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5.75" customHeight="1" s="1666">
      <c r="I320" s="1665" t="n"/>
      <c r="J320" s="1665" t="n"/>
      <c r="K320" s="1665" t="n"/>
      <c r="L320" s="1665" t="n"/>
      <c r="M320" s="1665" t="n"/>
      <c r="N320" s="1665" t="n"/>
      <c r="O320" s="1665" t="n"/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5.75" customHeight="1" s="1666">
      <c r="I321" s="1665" t="n"/>
      <c r="J321" s="1665" t="n"/>
      <c r="K321" s="1665" t="n"/>
      <c r="L321" s="1665" t="n"/>
      <c r="M321" s="1665" t="n"/>
      <c r="N321" s="1665" t="n"/>
      <c r="O321" s="1665" t="n"/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5.75" customHeight="1" s="1666">
      <c r="I322" s="1665" t="n"/>
      <c r="J322" s="1665" t="n"/>
      <c r="K322" s="1665" t="n"/>
      <c r="L322" s="1665" t="n"/>
      <c r="M322" s="1665" t="n"/>
      <c r="N322" s="1665" t="n"/>
      <c r="O322" s="1665" t="n"/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5.75" customHeight="1" s="1666">
      <c r="I323" s="1665" t="n"/>
      <c r="J323" s="1665" t="n"/>
      <c r="K323" s="1665" t="n"/>
      <c r="L323" s="1665" t="n"/>
      <c r="M323" s="1665" t="n"/>
      <c r="N323" s="1665" t="n"/>
      <c r="O323" s="1665" t="n"/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5.75" customHeight="1" s="1666">
      <c r="I324" s="1665" t="n"/>
      <c r="J324" s="1665" t="n"/>
      <c r="K324" s="1665" t="n"/>
      <c r="L324" s="1665" t="n"/>
      <c r="M324" s="1665" t="n"/>
      <c r="N324" s="1665" t="n"/>
      <c r="O324" s="1665" t="n"/>
      <c r="P324" s="1665" t="n"/>
      <c r="Q324" s="1665" t="n"/>
      <c r="R324" s="1665" t="n"/>
      <c r="S324" s="1665" t="n"/>
      <c r="T324" s="1665" t="n"/>
      <c r="U324" s="1665" t="n"/>
      <c r="V324" s="1665" t="n"/>
      <c r="W324" s="1665" t="n"/>
      <c r="X324" s="1665" t="n"/>
      <c r="Y324" s="1665" t="n"/>
      <c r="Z324" s="1665" t="n"/>
    </row>
    <row r="325" ht="15.75" customHeight="1" s="1666">
      <c r="I325" s="1665" t="n"/>
      <c r="J325" s="1665" t="n"/>
      <c r="K325" s="1665" t="n"/>
      <c r="L325" s="1665" t="n"/>
      <c r="M325" s="1665" t="n"/>
      <c r="N325" s="1665" t="n"/>
      <c r="O325" s="1665" t="n"/>
      <c r="P325" s="1665" t="n"/>
      <c r="Q325" s="1665" t="n"/>
      <c r="R325" s="1665" t="n"/>
      <c r="S325" s="1665" t="n"/>
      <c r="T325" s="1665" t="n"/>
      <c r="U325" s="1665" t="n"/>
      <c r="V325" s="1665" t="n"/>
      <c r="W325" s="1665" t="n"/>
      <c r="X325" s="1665" t="n"/>
      <c r="Y325" s="1665" t="n"/>
      <c r="Z325" s="1665" t="n"/>
    </row>
    <row r="326" ht="15.75" customHeight="1" s="1666">
      <c r="I326" s="1665" t="n"/>
      <c r="J326" s="1665" t="n"/>
      <c r="K326" s="1665" t="n"/>
      <c r="L326" s="1665" t="n"/>
      <c r="M326" s="1665" t="n"/>
      <c r="N326" s="1665" t="n"/>
      <c r="O326" s="1665" t="n"/>
      <c r="P326" s="1665" t="n"/>
      <c r="Q326" s="1665" t="n"/>
      <c r="R326" s="1665" t="n"/>
      <c r="S326" s="1665" t="n"/>
      <c r="T326" s="1665" t="n"/>
      <c r="U326" s="1665" t="n"/>
      <c r="V326" s="1665" t="n"/>
      <c r="W326" s="1665" t="n"/>
      <c r="X326" s="1665" t="n"/>
      <c r="Y326" s="1665" t="n"/>
      <c r="Z326" s="1665" t="n"/>
    </row>
    <row r="327" ht="15.75" customHeight="1" s="1666">
      <c r="I327" s="1665" t="n"/>
      <c r="J327" s="1665" t="n"/>
      <c r="K327" s="1665" t="n"/>
      <c r="L327" s="1665" t="n"/>
      <c r="M327" s="1665" t="n"/>
      <c r="N327" s="1665" t="n"/>
      <c r="O327" s="1665" t="n"/>
      <c r="P327" s="1665" t="n"/>
      <c r="Q327" s="1665" t="n"/>
      <c r="R327" s="1665" t="n"/>
      <c r="S327" s="1665" t="n"/>
      <c r="T327" s="1665" t="n"/>
      <c r="U327" s="1665" t="n"/>
      <c r="V327" s="1665" t="n"/>
      <c r="W327" s="1665" t="n"/>
      <c r="X327" s="1665" t="n"/>
      <c r="Y327" s="1665" t="n"/>
      <c r="Z327" s="1665" t="n"/>
    </row>
    <row r="328" ht="15.75" customHeight="1" s="1666">
      <c r="I328" s="1665" t="n"/>
      <c r="J328" s="1665" t="n"/>
      <c r="K328" s="1665" t="n"/>
      <c r="L328" s="1665" t="n"/>
      <c r="M328" s="1665" t="n"/>
      <c r="N328" s="1665" t="n"/>
      <c r="O328" s="1665" t="n"/>
      <c r="P328" s="1665" t="n"/>
      <c r="Q328" s="1665" t="n"/>
      <c r="R328" s="1665" t="n"/>
      <c r="S328" s="1665" t="n"/>
      <c r="T328" s="1665" t="n"/>
      <c r="U328" s="1665" t="n"/>
      <c r="V328" s="1665" t="n"/>
      <c r="W328" s="1665" t="n"/>
      <c r="X328" s="1665" t="n"/>
      <c r="Y328" s="1665" t="n"/>
      <c r="Z328" s="1665" t="n"/>
    </row>
    <row r="329" ht="15.75" customHeight="1" s="1666">
      <c r="I329" s="1665" t="n"/>
      <c r="J329" s="1665" t="n"/>
      <c r="K329" s="1665" t="n"/>
      <c r="L329" s="1665" t="n"/>
      <c r="M329" s="1665" t="n"/>
      <c r="N329" s="1665" t="n"/>
      <c r="O329" s="1665" t="n"/>
      <c r="P329" s="1665" t="n"/>
      <c r="Q329" s="1665" t="n"/>
      <c r="R329" s="1665" t="n"/>
      <c r="S329" s="1665" t="n"/>
      <c r="T329" s="1665" t="n"/>
      <c r="U329" s="1665" t="n"/>
      <c r="V329" s="1665" t="n"/>
      <c r="W329" s="1665" t="n"/>
      <c r="X329" s="1665" t="n"/>
      <c r="Y329" s="1665" t="n"/>
      <c r="Z329" s="1665" t="n"/>
    </row>
    <row r="330" ht="15.75" customHeight="1" s="1666">
      <c r="I330" s="1665" t="n"/>
      <c r="J330" s="1665" t="n"/>
      <c r="K330" s="1665" t="n"/>
      <c r="L330" s="1665" t="n"/>
      <c r="M330" s="1665" t="n"/>
      <c r="N330" s="1665" t="n"/>
      <c r="O330" s="1665" t="n"/>
      <c r="P330" s="1665" t="n"/>
      <c r="Q330" s="1665" t="n"/>
      <c r="R330" s="1665" t="n"/>
      <c r="S330" s="1665" t="n"/>
      <c r="T330" s="1665" t="n"/>
      <c r="U330" s="1665" t="n"/>
      <c r="V330" s="1665" t="n"/>
      <c r="W330" s="1665" t="n"/>
      <c r="X330" s="1665" t="n"/>
      <c r="Y330" s="1665" t="n"/>
      <c r="Z330" s="1665" t="n"/>
    </row>
    <row r="331" ht="15.75" customHeight="1" s="1666">
      <c r="I331" s="1665" t="n"/>
      <c r="J331" s="1665" t="n"/>
      <c r="K331" s="1665" t="n"/>
      <c r="L331" s="1665" t="n"/>
      <c r="M331" s="1665" t="n"/>
      <c r="N331" s="1665" t="n"/>
      <c r="O331" s="1665" t="n"/>
      <c r="P331" s="1665" t="n"/>
      <c r="Q331" s="1665" t="n"/>
      <c r="R331" s="1665" t="n"/>
      <c r="S331" s="1665" t="n"/>
      <c r="T331" s="1665" t="n"/>
      <c r="U331" s="1665" t="n"/>
      <c r="V331" s="1665" t="n"/>
      <c r="W331" s="1665" t="n"/>
      <c r="X331" s="1665" t="n"/>
      <c r="Y331" s="1665" t="n"/>
      <c r="Z331" s="1665" t="n"/>
    </row>
    <row r="332" ht="15.75" customHeight="1" s="1666">
      <c r="I332" s="1665" t="n"/>
      <c r="J332" s="1665" t="n"/>
      <c r="K332" s="1665" t="n"/>
      <c r="L332" s="1665" t="n"/>
      <c r="M332" s="1665" t="n"/>
      <c r="N332" s="1665" t="n"/>
      <c r="O332" s="1665" t="n"/>
      <c r="P332" s="1665" t="n"/>
      <c r="Q332" s="1665" t="n"/>
      <c r="R332" s="1665" t="n"/>
      <c r="S332" s="1665" t="n"/>
      <c r="T332" s="1665" t="n"/>
      <c r="U332" s="1665" t="n"/>
      <c r="V332" s="1665" t="n"/>
      <c r="W332" s="1665" t="n"/>
      <c r="X332" s="1665" t="n"/>
      <c r="Y332" s="1665" t="n"/>
      <c r="Z332" s="1665" t="n"/>
    </row>
    <row r="333" ht="15.75" customHeight="1" s="1666">
      <c r="I333" s="1665" t="n"/>
      <c r="J333" s="1665" t="n"/>
      <c r="K333" s="1665" t="n"/>
      <c r="L333" s="1665" t="n"/>
      <c r="M333" s="1665" t="n"/>
      <c r="N333" s="1665" t="n"/>
      <c r="O333" s="1665" t="n"/>
      <c r="P333" s="1665" t="n"/>
      <c r="Q333" s="1665" t="n"/>
      <c r="R333" s="1665" t="n"/>
      <c r="S333" s="1665" t="n"/>
      <c r="T333" s="1665" t="n"/>
      <c r="U333" s="1665" t="n"/>
      <c r="V333" s="1665" t="n"/>
      <c r="W333" s="1665" t="n"/>
      <c r="X333" s="1665" t="n"/>
      <c r="Y333" s="1665" t="n"/>
      <c r="Z333" s="1665" t="n"/>
    </row>
    <row r="334" ht="15.75" customHeight="1" s="1666">
      <c r="I334" s="1665" t="n"/>
      <c r="J334" s="1665" t="n"/>
      <c r="K334" s="1665" t="n"/>
      <c r="L334" s="1665" t="n"/>
      <c r="M334" s="1665" t="n"/>
      <c r="N334" s="1665" t="n"/>
      <c r="O334" s="1665" t="n"/>
      <c r="P334" s="1665" t="n"/>
      <c r="Q334" s="1665" t="n"/>
      <c r="R334" s="1665" t="n"/>
      <c r="S334" s="1665" t="n"/>
      <c r="T334" s="1665" t="n"/>
      <c r="U334" s="1665" t="n"/>
      <c r="V334" s="1665" t="n"/>
      <c r="W334" s="1665" t="n"/>
      <c r="X334" s="1665" t="n"/>
      <c r="Y334" s="1665" t="n"/>
      <c r="Z334" s="1665" t="n"/>
    </row>
    <row r="335" ht="15.75" customHeight="1" s="1666">
      <c r="I335" s="1665" t="n"/>
      <c r="J335" s="1665" t="n"/>
      <c r="K335" s="1665" t="n"/>
      <c r="L335" s="1665" t="n"/>
      <c r="M335" s="1665" t="n"/>
      <c r="N335" s="1665" t="n"/>
      <c r="O335" s="1665" t="n"/>
      <c r="P335" s="1665" t="n"/>
      <c r="Q335" s="1665" t="n"/>
      <c r="R335" s="1665" t="n"/>
      <c r="S335" s="1665" t="n"/>
      <c r="T335" s="1665" t="n"/>
      <c r="U335" s="1665" t="n"/>
      <c r="V335" s="1665" t="n"/>
      <c r="W335" s="1665" t="n"/>
      <c r="X335" s="1665" t="n"/>
      <c r="Y335" s="1665" t="n"/>
      <c r="Z335" s="1665" t="n"/>
    </row>
    <row r="336" ht="15.75" customHeight="1" s="1666">
      <c r="I336" s="1665" t="n"/>
      <c r="J336" s="1665" t="n"/>
      <c r="K336" s="1665" t="n"/>
      <c r="L336" s="1665" t="n"/>
      <c r="M336" s="1665" t="n"/>
      <c r="N336" s="1665" t="n"/>
      <c r="O336" s="1665" t="n"/>
      <c r="P336" s="1665" t="n"/>
      <c r="Q336" s="1665" t="n"/>
      <c r="R336" s="1665" t="n"/>
      <c r="S336" s="1665" t="n"/>
      <c r="T336" s="1665" t="n"/>
      <c r="U336" s="1665" t="n"/>
      <c r="V336" s="1665" t="n"/>
      <c r="W336" s="1665" t="n"/>
      <c r="X336" s="1665" t="n"/>
      <c r="Y336" s="1665" t="n"/>
      <c r="Z336" s="1665" t="n"/>
    </row>
    <row r="337" ht="15.75" customHeight="1" s="1666">
      <c r="I337" s="1665" t="n"/>
      <c r="J337" s="1665" t="n"/>
      <c r="K337" s="1665" t="n"/>
      <c r="L337" s="1665" t="n"/>
      <c r="M337" s="1665" t="n"/>
      <c r="N337" s="1665" t="n"/>
      <c r="O337" s="1665" t="n"/>
      <c r="P337" s="1665" t="n"/>
      <c r="Q337" s="1665" t="n"/>
      <c r="R337" s="1665" t="n"/>
      <c r="S337" s="1665" t="n"/>
      <c r="T337" s="1665" t="n"/>
      <c r="U337" s="1665" t="n"/>
      <c r="V337" s="1665" t="n"/>
      <c r="W337" s="1665" t="n"/>
      <c r="X337" s="1665" t="n"/>
      <c r="Y337" s="1665" t="n"/>
      <c r="Z337" s="1665" t="n"/>
    </row>
    <row r="338" ht="15.75" customHeight="1" s="1666">
      <c r="I338" s="1665" t="n"/>
      <c r="J338" s="1665" t="n"/>
      <c r="K338" s="1665" t="n"/>
      <c r="L338" s="1665" t="n"/>
      <c r="M338" s="1665" t="n"/>
      <c r="N338" s="1665" t="n"/>
      <c r="O338" s="1665" t="n"/>
      <c r="P338" s="1665" t="n"/>
      <c r="Q338" s="1665" t="n"/>
      <c r="R338" s="1665" t="n"/>
      <c r="S338" s="1665" t="n"/>
      <c r="T338" s="1665" t="n"/>
      <c r="U338" s="1665" t="n"/>
      <c r="V338" s="1665" t="n"/>
      <c r="W338" s="1665" t="n"/>
      <c r="X338" s="1665" t="n"/>
      <c r="Y338" s="1665" t="n"/>
      <c r="Z338" s="1665" t="n"/>
    </row>
    <row r="339" ht="15.75" customHeight="1" s="1666">
      <c r="I339" s="1665" t="n"/>
      <c r="J339" s="1665" t="n"/>
      <c r="K339" s="1665" t="n"/>
      <c r="L339" s="1665" t="n"/>
      <c r="M339" s="1665" t="n"/>
      <c r="N339" s="1665" t="n"/>
      <c r="O339" s="1665" t="n"/>
      <c r="P339" s="1665" t="n"/>
      <c r="Q339" s="1665" t="n"/>
      <c r="R339" s="1665" t="n"/>
      <c r="S339" s="1665" t="n"/>
      <c r="T339" s="1665" t="n"/>
      <c r="U339" s="1665" t="n"/>
      <c r="V339" s="1665" t="n"/>
      <c r="W339" s="1665" t="n"/>
      <c r="X339" s="1665" t="n"/>
      <c r="Y339" s="1665" t="n"/>
      <c r="Z339" s="1665" t="n"/>
    </row>
    <row r="340" ht="15.75" customHeight="1" s="1666">
      <c r="I340" s="1665" t="n"/>
      <c r="J340" s="1665" t="n"/>
      <c r="K340" s="1665" t="n"/>
      <c r="L340" s="1665" t="n"/>
      <c r="M340" s="1665" t="n"/>
      <c r="N340" s="1665" t="n"/>
      <c r="O340" s="1665" t="n"/>
      <c r="P340" s="1665" t="n"/>
      <c r="Q340" s="1665" t="n"/>
      <c r="R340" s="1665" t="n"/>
      <c r="S340" s="1665" t="n"/>
      <c r="T340" s="1665" t="n"/>
      <c r="U340" s="1665" t="n"/>
      <c r="V340" s="1665" t="n"/>
      <c r="W340" s="1665" t="n"/>
      <c r="X340" s="1665" t="n"/>
      <c r="Y340" s="1665" t="n"/>
      <c r="Z340" s="1665" t="n"/>
    </row>
    <row r="341" ht="15.75" customHeight="1" s="1666">
      <c r="I341" s="1665" t="n"/>
      <c r="J341" s="1665" t="n"/>
      <c r="K341" s="1665" t="n"/>
      <c r="L341" s="1665" t="n"/>
      <c r="M341" s="1665" t="n"/>
      <c r="N341" s="1665" t="n"/>
      <c r="O341" s="1665" t="n"/>
      <c r="P341" s="1665" t="n"/>
      <c r="Q341" s="1665" t="n"/>
      <c r="R341" s="1665" t="n"/>
      <c r="S341" s="1665" t="n"/>
      <c r="T341" s="1665" t="n"/>
      <c r="U341" s="1665" t="n"/>
      <c r="V341" s="1665" t="n"/>
      <c r="W341" s="1665" t="n"/>
      <c r="X341" s="1665" t="n"/>
      <c r="Y341" s="1665" t="n"/>
      <c r="Z341" s="1665" t="n"/>
    </row>
    <row r="342" ht="15.75" customHeight="1" s="1666">
      <c r="I342" s="1665" t="n"/>
      <c r="J342" s="1665" t="n"/>
      <c r="K342" s="1665" t="n"/>
      <c r="L342" s="1665" t="n"/>
      <c r="M342" s="1665" t="n"/>
      <c r="N342" s="1665" t="n"/>
      <c r="O342" s="1665" t="n"/>
      <c r="P342" s="1665" t="n"/>
      <c r="Q342" s="1665" t="n"/>
      <c r="R342" s="1665" t="n"/>
      <c r="S342" s="1665" t="n"/>
      <c r="T342" s="1665" t="n"/>
      <c r="U342" s="1665" t="n"/>
      <c r="V342" s="1665" t="n"/>
      <c r="W342" s="1665" t="n"/>
      <c r="X342" s="1665" t="n"/>
      <c r="Y342" s="1665" t="n"/>
      <c r="Z342" s="1665" t="n"/>
    </row>
    <row r="343" ht="15.75" customHeight="1" s="1666">
      <c r="I343" s="1665" t="n"/>
      <c r="J343" s="1665" t="n"/>
      <c r="K343" s="1665" t="n"/>
      <c r="L343" s="1665" t="n"/>
      <c r="M343" s="1665" t="n"/>
      <c r="N343" s="1665" t="n"/>
      <c r="O343" s="1665" t="n"/>
      <c r="P343" s="1665" t="n"/>
      <c r="Q343" s="1665" t="n"/>
      <c r="R343" s="1665" t="n"/>
      <c r="S343" s="1665" t="n"/>
      <c r="T343" s="1665" t="n"/>
      <c r="U343" s="1665" t="n"/>
      <c r="V343" s="1665" t="n"/>
      <c r="W343" s="1665" t="n"/>
      <c r="X343" s="1665" t="n"/>
      <c r="Y343" s="1665" t="n"/>
      <c r="Z343" s="1665" t="n"/>
    </row>
    <row r="344" ht="15.75" customHeight="1" s="1666">
      <c r="I344" s="1665" t="n"/>
      <c r="J344" s="1665" t="n"/>
      <c r="K344" s="1665" t="n"/>
      <c r="L344" s="1665" t="n"/>
      <c r="M344" s="1665" t="n"/>
      <c r="N344" s="1665" t="n"/>
      <c r="O344" s="1665" t="n"/>
      <c r="P344" s="1665" t="n"/>
      <c r="Q344" s="1665" t="n"/>
      <c r="R344" s="1665" t="n"/>
      <c r="S344" s="1665" t="n"/>
      <c r="T344" s="1665" t="n"/>
      <c r="U344" s="1665" t="n"/>
      <c r="V344" s="1665" t="n"/>
      <c r="W344" s="1665" t="n"/>
      <c r="X344" s="1665" t="n"/>
      <c r="Y344" s="1665" t="n"/>
      <c r="Z344" s="1665" t="n"/>
    </row>
    <row r="345" ht="15.75" customHeight="1" s="1666">
      <c r="I345" s="1665" t="n"/>
      <c r="J345" s="1665" t="n"/>
      <c r="K345" s="1665" t="n"/>
      <c r="L345" s="1665" t="n"/>
      <c r="M345" s="1665" t="n"/>
      <c r="N345" s="1665" t="n"/>
      <c r="O345" s="1665" t="n"/>
      <c r="P345" s="1665" t="n"/>
      <c r="Q345" s="1665" t="n"/>
      <c r="R345" s="1665" t="n"/>
      <c r="S345" s="1665" t="n"/>
      <c r="T345" s="1665" t="n"/>
      <c r="U345" s="1665" t="n"/>
      <c r="V345" s="1665" t="n"/>
      <c r="W345" s="1665" t="n"/>
      <c r="X345" s="1665" t="n"/>
      <c r="Y345" s="1665" t="n"/>
      <c r="Z345" s="1665" t="n"/>
    </row>
    <row r="346" ht="15.75" customHeight="1" s="1666">
      <c r="I346" s="1665" t="n"/>
      <c r="J346" s="1665" t="n"/>
      <c r="K346" s="1665" t="n"/>
      <c r="L346" s="1665" t="n"/>
      <c r="M346" s="1665" t="n"/>
      <c r="N346" s="1665" t="n"/>
      <c r="O346" s="1665" t="n"/>
      <c r="P346" s="1665" t="n"/>
      <c r="Q346" s="1665" t="n"/>
      <c r="R346" s="1665" t="n"/>
      <c r="S346" s="1665" t="n"/>
      <c r="T346" s="1665" t="n"/>
      <c r="U346" s="1665" t="n"/>
      <c r="V346" s="1665" t="n"/>
      <c r="W346" s="1665" t="n"/>
      <c r="X346" s="1665" t="n"/>
      <c r="Y346" s="1665" t="n"/>
      <c r="Z346" s="1665" t="n"/>
    </row>
    <row r="347" ht="15.75" customHeight="1" s="1666">
      <c r="I347" s="1665" t="n"/>
      <c r="J347" s="1665" t="n"/>
      <c r="K347" s="1665" t="n"/>
      <c r="L347" s="1665" t="n"/>
      <c r="M347" s="1665" t="n"/>
      <c r="N347" s="1665" t="n"/>
      <c r="O347" s="1665" t="n"/>
      <c r="P347" s="1665" t="n"/>
      <c r="Q347" s="1665" t="n"/>
      <c r="R347" s="1665" t="n"/>
      <c r="S347" s="1665" t="n"/>
      <c r="T347" s="1665" t="n"/>
      <c r="U347" s="1665" t="n"/>
      <c r="V347" s="1665" t="n"/>
      <c r="W347" s="1665" t="n"/>
      <c r="X347" s="1665" t="n"/>
      <c r="Y347" s="1665" t="n"/>
      <c r="Z347" s="1665" t="n"/>
    </row>
    <row r="348" ht="15.75" customHeight="1" s="1666">
      <c r="I348" s="1665" t="n"/>
      <c r="J348" s="1665" t="n"/>
      <c r="K348" s="1665" t="n"/>
      <c r="L348" s="1665" t="n"/>
      <c r="M348" s="1665" t="n"/>
      <c r="N348" s="1665" t="n"/>
      <c r="O348" s="1665" t="n"/>
      <c r="P348" s="1665" t="n"/>
      <c r="Q348" s="1665" t="n"/>
      <c r="R348" s="1665" t="n"/>
      <c r="S348" s="1665" t="n"/>
      <c r="T348" s="1665" t="n"/>
      <c r="U348" s="1665" t="n"/>
      <c r="V348" s="1665" t="n"/>
      <c r="W348" s="1665" t="n"/>
      <c r="X348" s="1665" t="n"/>
      <c r="Y348" s="1665" t="n"/>
      <c r="Z348" s="1665" t="n"/>
    </row>
    <row r="349" ht="15.75" customHeight="1" s="1666">
      <c r="I349" s="1665" t="n"/>
      <c r="J349" s="1665" t="n"/>
      <c r="K349" s="1665" t="n"/>
      <c r="L349" s="1665" t="n"/>
      <c r="M349" s="1665" t="n"/>
      <c r="N349" s="1665" t="n"/>
      <c r="O349" s="1665" t="n"/>
      <c r="P349" s="1665" t="n"/>
      <c r="Q349" s="1665" t="n"/>
      <c r="R349" s="1665" t="n"/>
      <c r="S349" s="1665" t="n"/>
      <c r="T349" s="1665" t="n"/>
      <c r="U349" s="1665" t="n"/>
      <c r="V349" s="1665" t="n"/>
      <c r="W349" s="1665" t="n"/>
      <c r="X349" s="1665" t="n"/>
      <c r="Y349" s="1665" t="n"/>
      <c r="Z349" s="1665" t="n"/>
    </row>
    <row r="350" ht="15.75" customHeight="1" s="1666">
      <c r="I350" s="1665" t="n"/>
      <c r="J350" s="1665" t="n"/>
      <c r="K350" s="1665" t="n"/>
      <c r="L350" s="1665" t="n"/>
      <c r="M350" s="1665" t="n"/>
      <c r="N350" s="1665" t="n"/>
      <c r="O350" s="1665" t="n"/>
      <c r="P350" s="1665" t="n"/>
      <c r="Q350" s="1665" t="n"/>
      <c r="R350" s="1665" t="n"/>
      <c r="S350" s="1665" t="n"/>
      <c r="T350" s="1665" t="n"/>
      <c r="U350" s="1665" t="n"/>
      <c r="V350" s="1665" t="n"/>
      <c r="W350" s="1665" t="n"/>
      <c r="X350" s="1665" t="n"/>
      <c r="Y350" s="1665" t="n"/>
      <c r="Z350" s="1665" t="n"/>
    </row>
    <row r="351" ht="15.75" customHeight="1" s="1666">
      <c r="I351" s="1665" t="n"/>
      <c r="J351" s="1665" t="n"/>
      <c r="K351" s="1665" t="n"/>
      <c r="L351" s="1665" t="n"/>
      <c r="M351" s="1665" t="n"/>
      <c r="N351" s="1665" t="n"/>
      <c r="O351" s="1665" t="n"/>
      <c r="P351" s="1665" t="n"/>
      <c r="Q351" s="1665" t="n"/>
      <c r="R351" s="1665" t="n"/>
      <c r="S351" s="1665" t="n"/>
      <c r="T351" s="1665" t="n"/>
      <c r="U351" s="1665" t="n"/>
      <c r="V351" s="1665" t="n"/>
      <c r="W351" s="1665" t="n"/>
      <c r="X351" s="1665" t="n"/>
      <c r="Y351" s="1665" t="n"/>
      <c r="Z351" s="1665" t="n"/>
    </row>
    <row r="352" ht="15.75" customHeight="1" s="1666">
      <c r="I352" s="1665" t="n"/>
      <c r="J352" s="1665" t="n"/>
      <c r="K352" s="1665" t="n"/>
      <c r="L352" s="1665" t="n"/>
      <c r="M352" s="1665" t="n"/>
      <c r="N352" s="1665" t="n"/>
      <c r="O352" s="1665" t="n"/>
      <c r="P352" s="1665" t="n"/>
      <c r="Q352" s="1665" t="n"/>
      <c r="R352" s="1665" t="n"/>
      <c r="S352" s="1665" t="n"/>
      <c r="T352" s="1665" t="n"/>
      <c r="U352" s="1665" t="n"/>
      <c r="V352" s="1665" t="n"/>
      <c r="W352" s="1665" t="n"/>
      <c r="X352" s="1665" t="n"/>
      <c r="Y352" s="1665" t="n"/>
      <c r="Z352" s="1665" t="n"/>
    </row>
    <row r="353" ht="15.75" customHeight="1" s="1666">
      <c r="I353" s="1665" t="n"/>
      <c r="J353" s="1665" t="n"/>
      <c r="K353" s="1665" t="n"/>
      <c r="L353" s="1665" t="n"/>
      <c r="M353" s="1665" t="n"/>
      <c r="N353" s="1665" t="n"/>
      <c r="O353" s="1665" t="n"/>
      <c r="P353" s="1665" t="n"/>
      <c r="Q353" s="1665" t="n"/>
      <c r="R353" s="1665" t="n"/>
      <c r="S353" s="1665" t="n"/>
      <c r="T353" s="1665" t="n"/>
      <c r="U353" s="1665" t="n"/>
      <c r="V353" s="1665" t="n"/>
      <c r="W353" s="1665" t="n"/>
      <c r="X353" s="1665" t="n"/>
      <c r="Y353" s="1665" t="n"/>
      <c r="Z353" s="1665" t="n"/>
    </row>
    <row r="354" ht="15.75" customHeight="1" s="1666"/>
    <row r="355" ht="15.75" customHeight="1" s="1666"/>
    <row r="356" ht="15.75" customHeight="1" s="1666"/>
    <row r="357" ht="15.75" customHeight="1" s="1666"/>
    <row r="358" ht="15.75" customHeight="1" s="1666"/>
    <row r="359" ht="15.75" customHeight="1" s="1666"/>
    <row r="360" ht="15.75" customHeight="1" s="1666"/>
    <row r="361" ht="15.75" customHeight="1" s="1666"/>
    <row r="362" ht="15.75" customHeight="1" s="1666"/>
    <row r="363" ht="15.75" customHeight="1" s="1666"/>
    <row r="364" ht="15.75" customHeight="1" s="1666"/>
    <row r="365" ht="15.75" customHeight="1" s="1666"/>
    <row r="366" ht="15.75" customHeight="1" s="1666"/>
    <row r="367" ht="15.75" customHeight="1" s="1666"/>
    <row r="368" ht="15.75" customHeight="1" s="1666"/>
    <row r="369" ht="15.75" customHeight="1" s="1666"/>
    <row r="370" ht="15.75" customHeight="1" s="1666"/>
    <row r="371" ht="15.75" customHeight="1" s="1666"/>
    <row r="372" ht="15.75" customHeight="1" s="1666"/>
    <row r="373" ht="15.75" customHeight="1" s="1666"/>
    <row r="374" ht="15.75" customHeight="1" s="1666"/>
    <row r="375" ht="15.75" customHeight="1" s="1666"/>
    <row r="376" ht="15.75" customHeight="1" s="1666"/>
    <row r="377" ht="15.75" customHeight="1" s="1666"/>
    <row r="378" ht="15.75" customHeight="1" s="1666"/>
    <row r="379" ht="15.75" customHeight="1" s="1666"/>
    <row r="380" ht="15.75" customHeight="1" s="1666"/>
    <row r="381" ht="15.75" customHeight="1" s="1666"/>
    <row r="382" ht="15.75" customHeight="1" s="1666"/>
    <row r="383" ht="15.75" customHeight="1" s="1666"/>
    <row r="384" ht="15.75" customHeight="1" s="1666"/>
    <row r="385" ht="15.75" customHeight="1" s="1666"/>
    <row r="386" ht="15.75" customHeight="1" s="1666"/>
    <row r="387" ht="15.75" customHeight="1" s="1666"/>
    <row r="388" ht="15.75" customHeight="1" s="1666"/>
    <row r="389" ht="15.75" customHeight="1" s="1666"/>
    <row r="390" ht="15.75" customHeight="1" s="1666"/>
    <row r="391" ht="15.75" customHeight="1" s="1666"/>
    <row r="392" ht="15.75" customHeight="1" s="1666"/>
    <row r="393" ht="15.75" customHeight="1" s="1666"/>
    <row r="394" ht="15.75" customHeight="1" s="1666"/>
    <row r="395" ht="15.75" customHeight="1" s="1666"/>
    <row r="396" ht="15.75" customHeight="1" s="1666"/>
    <row r="397" ht="15.75" customHeight="1" s="1666"/>
    <row r="398" ht="15.75" customHeight="1" s="1666"/>
    <row r="399" ht="15.75" customHeight="1" s="1666"/>
    <row r="400" ht="15.75" customHeight="1" s="1666"/>
    <row r="401" ht="15.75" customHeight="1" s="1666"/>
    <row r="402" ht="15.75" customHeight="1" s="1666"/>
    <row r="403" ht="15.75" customHeight="1" s="1666"/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mergeCells count="44">
    <mergeCell ref="A77:E77"/>
    <mergeCell ref="C44:E44"/>
    <mergeCell ref="C24:D24"/>
    <mergeCell ref="C80:E80"/>
    <mergeCell ref="C84:E84"/>
    <mergeCell ref="A98:E98"/>
    <mergeCell ref="B55:E55"/>
    <mergeCell ref="C43:E43"/>
    <mergeCell ref="C26:D26"/>
    <mergeCell ref="A79:E79"/>
    <mergeCell ref="C46:E46"/>
    <mergeCell ref="C20:D20"/>
    <mergeCell ref="C29:D29"/>
    <mergeCell ref="A65:E65"/>
    <mergeCell ref="C25:D25"/>
    <mergeCell ref="B54:E54"/>
    <mergeCell ref="C70:E70"/>
    <mergeCell ref="C48:E48"/>
    <mergeCell ref="C22:D22"/>
    <mergeCell ref="C82:E82"/>
    <mergeCell ref="C67:E67"/>
    <mergeCell ref="C81:E81"/>
    <mergeCell ref="B56:E56"/>
    <mergeCell ref="C66:E66"/>
    <mergeCell ref="C21:D21"/>
    <mergeCell ref="A86:E86"/>
    <mergeCell ref="C27:D27"/>
    <mergeCell ref="B52:E52"/>
    <mergeCell ref="C69:E69"/>
    <mergeCell ref="C49:E49"/>
    <mergeCell ref="C68:E68"/>
    <mergeCell ref="C83:E83"/>
    <mergeCell ref="C23:D23"/>
    <mergeCell ref="A18:D18"/>
    <mergeCell ref="A36:C36"/>
    <mergeCell ref="A100:E100"/>
    <mergeCell ref="B53:E53"/>
    <mergeCell ref="A1:C1"/>
    <mergeCell ref="A72:E72"/>
    <mergeCell ref="C45:E45"/>
    <mergeCell ref="C19:D19"/>
    <mergeCell ref="C28:D28"/>
    <mergeCell ref="A58:E58"/>
    <mergeCell ref="C47:E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FFD700"/>
    <outlinePr summaryBelow="1" summaryRight="1"/>
    <pageSetUpPr fitToPage="0"/>
  </sheetPr>
  <dimension ref="B1:Z4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" customWidth="1" style="1665" min="1" max="1"/>
    <col width="130" customWidth="1" style="1665" min="2" max="2"/>
    <col width="8.710000000000001" customWidth="1" style="1665" min="3" max="6"/>
  </cols>
  <sheetData>
    <row r="1" ht="25.5" customHeight="1" s="1666">
      <c r="B1" s="3161" t="inlineStr">
        <is>
          <t>⚡  SCRIPT APPS SCRIPT FINAL v3  ·  COPIER TOUTE LA COLONNE B LIGNES 4 À FIN  ·  Ctrl+A → Delete → Coller → Ctrl+S → onOpen → Run → F5</t>
        </is>
      </c>
      <c r="G1" s="1665" t="n"/>
      <c r="H1" s="1665" t="n"/>
      <c r="I1" s="1665" t="n"/>
      <c r="J1" s="1665" t="n"/>
      <c r="K1" s="1665" t="n"/>
      <c r="L1" s="1665" t="n"/>
      <c r="M1" s="1665" t="n"/>
      <c r="N1" s="1665" t="n"/>
      <c r="O1" s="1665" t="n"/>
      <c r="P1" s="1665" t="n"/>
      <c r="Q1" s="1665" t="n"/>
      <c r="R1" s="1665" t="n"/>
      <c r="S1" s="1665" t="n"/>
      <c r="T1" s="1665" t="n"/>
      <c r="U1" s="1665" t="n"/>
      <c r="V1" s="1665" t="n"/>
      <c r="W1" s="1665" t="n"/>
      <c r="X1" s="1665" t="n"/>
      <c r="Y1" s="1665" t="n"/>
      <c r="Z1" s="1665" t="n"/>
    </row>
    <row r="2" ht="21.75" customHeight="1" s="1666">
      <c r="B2" s="3162" t="inlineStr">
        <is>
          <t>📋  ÉTAPES: 1) Extensions → Apps Script  2) Ctrl+A → Delete  3) Coller ce script  4) Ctrl+S  5) Dropdown = onOpen → ▶ Run  6) F5 sur le Sheet</t>
        </is>
      </c>
      <c r="G2" s="1665" t="n"/>
      <c r="H2" s="1665" t="n"/>
      <c r="I2" s="1665" t="n"/>
      <c r="J2" s="1665" t="n"/>
      <c r="K2" s="1665" t="n"/>
      <c r="L2" s="1665" t="n"/>
      <c r="M2" s="1665" t="n"/>
      <c r="N2" s="1665" t="n"/>
      <c r="O2" s="1665" t="n"/>
      <c r="P2" s="1665" t="n"/>
      <c r="Q2" s="1665" t="n"/>
      <c r="R2" s="1665" t="n"/>
      <c r="S2" s="1665" t="n"/>
      <c r="T2" s="1665" t="n"/>
      <c r="U2" s="1665" t="n"/>
      <c r="V2" s="1665" t="n"/>
      <c r="W2" s="1665" t="n"/>
      <c r="X2" s="1665" t="n"/>
      <c r="Y2" s="1665" t="n"/>
      <c r="Z2" s="1665" t="n"/>
    </row>
    <row r="3" ht="18" customHeight="1" s="1666">
      <c r="B3" s="3163" t="inlineStr">
        <is>
          <t>🗂️  INDEX COLONNES: ANALYSE TRIABLE → VALEUR CAD=[10] GAIN%=[12] DIV=[15] TIER=[3] CTE=[4] | PORTEFEUILLE → VALEUR CAD=[10] GAIN%=[13] TIER=[3]</t>
        </is>
      </c>
      <c r="G3" s="1665" t="n"/>
      <c r="H3" s="1665" t="n"/>
      <c r="I3" s="1665" t="n"/>
      <c r="J3" s="1665" t="n"/>
      <c r="K3" s="1665" t="n"/>
      <c r="L3" s="1665" t="n"/>
      <c r="M3" s="1665" t="n"/>
      <c r="N3" s="1665" t="n"/>
      <c r="O3" s="1665" t="n"/>
      <c r="P3" s="1665" t="n"/>
      <c r="Q3" s="1665" t="n"/>
      <c r="R3" s="1665" t="n"/>
      <c r="S3" s="1665" t="n"/>
      <c r="T3" s="1665" t="n"/>
      <c r="U3" s="1665" t="n"/>
      <c r="V3" s="1665" t="n"/>
      <c r="W3" s="1665" t="n"/>
      <c r="X3" s="1665" t="n"/>
      <c r="Y3" s="1665" t="n"/>
      <c r="Z3" s="1665" t="n"/>
    </row>
    <row r="4" ht="12.75" customHeight="1" s="1666">
      <c r="B4" s="3164" t="inlineStr">
        <is>
          <t>// ============================================================</t>
        </is>
      </c>
      <c r="G4" s="1665" t="n"/>
      <c r="H4" s="1665" t="n"/>
      <c r="I4" s="1665" t="n"/>
      <c r="J4" s="1665" t="n"/>
      <c r="K4" s="1665" t="n"/>
      <c r="L4" s="1665" t="n"/>
      <c r="M4" s="1665" t="n"/>
      <c r="N4" s="1665" t="n"/>
      <c r="O4" s="1665" t="n"/>
      <c r="P4" s="1665" t="n"/>
      <c r="Q4" s="1665" t="n"/>
      <c r="R4" s="1665" t="n"/>
      <c r="S4" s="1665" t="n"/>
      <c r="T4" s="1665" t="n"/>
      <c r="U4" s="1665" t="n"/>
      <c r="V4" s="1665" t="n"/>
      <c r="W4" s="1665" t="n"/>
      <c r="X4" s="1665" t="n"/>
      <c r="Y4" s="1665" t="n"/>
      <c r="Z4" s="1665" t="n"/>
    </row>
    <row r="5" ht="12.75" customHeight="1" s="1666">
      <c r="B5" s="3164" t="inlineStr">
        <is>
          <t>// 📊 PORTEFEUILLE HEY — Apps Script v3 FINAL</t>
        </is>
      </c>
      <c r="G5" s="1665" t="n"/>
      <c r="H5" s="1665" t="n"/>
      <c r="I5" s="1665" t="n"/>
      <c r="J5" s="1665" t="n"/>
      <c r="K5" s="1665" t="n"/>
      <c r="L5" s="1665" t="n"/>
      <c r="M5" s="1665" t="n"/>
      <c r="N5" s="1665" t="n"/>
      <c r="O5" s="1665" t="n"/>
      <c r="P5" s="1665" t="n"/>
      <c r="Q5" s="1665" t="n"/>
      <c r="R5" s="1665" t="n"/>
      <c r="S5" s="1665" t="n"/>
      <c r="T5" s="1665" t="n"/>
      <c r="U5" s="1665" t="n"/>
      <c r="V5" s="1665" t="n"/>
      <c r="W5" s="1665" t="n"/>
      <c r="X5" s="1665" t="n"/>
      <c r="Y5" s="1665" t="n"/>
      <c r="Z5" s="1665" t="n"/>
    </row>
    <row r="6" ht="12.75" customHeight="1" s="1666">
      <c r="B6" s="3164" t="inlineStr">
        <is>
          <t>// Colonnes ANALYSE TRIABLE: données débutent col B (=index 0)</t>
        </is>
      </c>
      <c r="G6" s="1665" t="n"/>
      <c r="H6" s="1665" t="n"/>
      <c r="I6" s="1665" t="n"/>
      <c r="J6" s="1665" t="n"/>
      <c r="K6" s="1665" t="n"/>
      <c r="L6" s="1665" t="n"/>
      <c r="M6" s="1665" t="n"/>
      <c r="N6" s="1665" t="n"/>
      <c r="O6" s="1665" t="n"/>
      <c r="P6" s="1665" t="n"/>
      <c r="Q6" s="1665" t="n"/>
      <c r="R6" s="1665" t="n"/>
      <c r="S6" s="1665" t="n"/>
      <c r="T6" s="1665" t="n"/>
      <c r="U6" s="1665" t="n"/>
      <c r="V6" s="1665" t="n"/>
      <c r="W6" s="1665" t="n"/>
      <c r="X6" s="1665" t="n"/>
      <c r="Y6" s="1665" t="n"/>
      <c r="Z6" s="1665" t="n"/>
    </row>
    <row r="7" ht="12.75" customHeight="1" s="1666">
      <c r="B7" s="3164" t="inlineStr">
        <is>
          <t>//   TICKER=0, NOM=1, TYPE=2, TIER=3, CTE=4, QTÉ=5, PRIX MOY=6</t>
        </is>
      </c>
      <c r="G7" s="1665" t="n"/>
      <c r="H7" s="1665" t="n"/>
      <c r="I7" s="1665" t="n"/>
      <c r="J7" s="1665" t="n"/>
      <c r="K7" s="1665" t="n"/>
      <c r="L7" s="1665" t="n"/>
      <c r="M7" s="1665" t="n"/>
      <c r="N7" s="1665" t="n"/>
      <c r="O7" s="1665" t="n"/>
      <c r="P7" s="1665" t="n"/>
      <c r="Q7" s="1665" t="n"/>
      <c r="R7" s="1665" t="n"/>
      <c r="S7" s="1665" t="n"/>
      <c r="T7" s="1665" t="n"/>
      <c r="U7" s="1665" t="n"/>
      <c r="V7" s="1665" t="n"/>
      <c r="W7" s="1665" t="n"/>
      <c r="X7" s="1665" t="n"/>
      <c r="Y7" s="1665" t="n"/>
      <c r="Z7" s="1665" t="n"/>
    </row>
    <row r="8" ht="12.75" customHeight="1" s="1666">
      <c r="B8" s="3164" t="inlineStr">
        <is>
          <t>//   PRIX CAD=7, PRIX USD=8, DEV=9, VALEUR CAD=10, GAIN$=11</t>
        </is>
      </c>
      <c r="G8" s="1665" t="n"/>
      <c r="H8" s="1665" t="n"/>
      <c r="I8" s="1665" t="n"/>
      <c r="J8" s="1665" t="n"/>
      <c r="K8" s="1665" t="n"/>
      <c r="L8" s="1665" t="n"/>
      <c r="M8" s="1665" t="n"/>
      <c r="N8" s="1665" t="n"/>
      <c r="O8" s="1665" t="n"/>
      <c r="P8" s="1665" t="n"/>
      <c r="Q8" s="1665" t="n"/>
      <c r="R8" s="1665" t="n"/>
      <c r="S8" s="1665" t="n"/>
      <c r="T8" s="1665" t="n"/>
      <c r="U8" s="1665" t="n"/>
      <c r="V8" s="1665" t="n"/>
      <c r="W8" s="1665" t="n"/>
      <c r="X8" s="1665" t="n"/>
      <c r="Y8" s="1665" t="n"/>
      <c r="Z8" s="1665" t="n"/>
    </row>
    <row r="9" ht="12.75" customHeight="1" s="1666">
      <c r="B9" s="3164" t="inlineStr">
        <is>
          <t>//   GAIN%=12, %PORT=13, YIELD=14, DIV=15, BETA=16, IA%=17</t>
        </is>
      </c>
      <c r="G9" s="1665" t="n"/>
      <c r="H9" s="1665" t="n"/>
      <c r="I9" s="1665" t="n"/>
      <c r="J9" s="1665" t="n"/>
      <c r="K9" s="1665" t="n"/>
      <c r="L9" s="1665" t="n"/>
      <c r="M9" s="1665" t="n"/>
      <c r="N9" s="1665" t="n"/>
      <c r="O9" s="1665" t="n"/>
      <c r="P9" s="1665" t="n"/>
      <c r="Q9" s="1665" t="n"/>
      <c r="R9" s="1665" t="n"/>
      <c r="S9" s="1665" t="n"/>
      <c r="T9" s="1665" t="n"/>
      <c r="U9" s="1665" t="n"/>
      <c r="V9" s="1665" t="n"/>
      <c r="W9" s="1665" t="n"/>
      <c r="X9" s="1665" t="n"/>
      <c r="Y9" s="1665" t="n"/>
      <c r="Z9" s="1665" t="n"/>
    </row>
    <row r="10" ht="12.75" customHeight="1" s="1666">
      <c r="B10" s="3164" t="inlineStr">
        <is>
          <t>// Colonnes PORTEFEUILLE: données débutent col B (=index 0)</t>
        </is>
      </c>
      <c r="G10" s="1665" t="n"/>
      <c r="H10" s="1665" t="n"/>
      <c r="I10" s="1665" t="n"/>
      <c r="J10" s="1665" t="n"/>
      <c r="K10" s="1665" t="n"/>
      <c r="L10" s="1665" t="n"/>
      <c r="M10" s="1665" t="n"/>
      <c r="N10" s="1665" t="n"/>
      <c r="O10" s="1665" t="n"/>
      <c r="P10" s="1665" t="n"/>
      <c r="Q10" s="1665" t="n"/>
      <c r="R10" s="1665" t="n"/>
      <c r="S10" s="1665" t="n"/>
      <c r="T10" s="1665" t="n"/>
      <c r="U10" s="1665" t="n"/>
      <c r="V10" s="1665" t="n"/>
      <c r="W10" s="1665" t="n"/>
      <c r="X10" s="1665" t="n"/>
      <c r="Y10" s="1665" t="n"/>
      <c r="Z10" s="1665" t="n"/>
    </row>
    <row r="11" ht="12.75" customHeight="1" s="1666">
      <c r="B11" s="3164" t="inlineStr">
        <is>
          <t>//   TICKER=0, NOM=1, TYPE=2, TIER=3, CTE=4, QTÉ=5, PRIX MOY=6</t>
        </is>
      </c>
      <c r="G11" s="1665" t="n"/>
      <c r="H11" s="1665" t="n"/>
      <c r="I11" s="1665" t="n"/>
      <c r="J11" s="1665" t="n"/>
      <c r="K11" s="1665" t="n"/>
      <c r="L11" s="1665" t="n"/>
      <c r="M11" s="1665" t="n"/>
      <c r="N11" s="1665" t="n"/>
      <c r="O11" s="1665" t="n"/>
      <c r="P11" s="1665" t="n"/>
      <c r="Q11" s="1665" t="n"/>
      <c r="R11" s="1665" t="n"/>
      <c r="S11" s="1665" t="n"/>
      <c r="T11" s="1665" t="n"/>
      <c r="U11" s="1665" t="n"/>
      <c r="V11" s="1665" t="n"/>
      <c r="W11" s="1665" t="n"/>
      <c r="X11" s="1665" t="n"/>
      <c r="Y11" s="1665" t="n"/>
      <c r="Z11" s="1665" t="n"/>
    </row>
    <row r="12" ht="12.75" customHeight="1" s="1666">
      <c r="B12" s="3164" t="inlineStr">
        <is>
          <t>//   PRIX CAD=7, PRIX USD=8, DEV=9, VALEUR CAD=10, VALEUR USD=11</t>
        </is>
      </c>
      <c r="G12" s="1665" t="n"/>
      <c r="H12" s="1665" t="n"/>
      <c r="I12" s="1665" t="n"/>
      <c r="J12" s="1665" t="n"/>
      <c r="K12" s="1665" t="n"/>
      <c r="L12" s="1665" t="n"/>
      <c r="M12" s="1665" t="n"/>
      <c r="N12" s="1665" t="n"/>
      <c r="O12" s="1665" t="n"/>
      <c r="P12" s="1665" t="n"/>
      <c r="Q12" s="1665" t="n"/>
      <c r="R12" s="1665" t="n"/>
      <c r="S12" s="1665" t="n"/>
      <c r="T12" s="1665" t="n"/>
      <c r="U12" s="1665" t="n"/>
      <c r="V12" s="1665" t="n"/>
      <c r="W12" s="1665" t="n"/>
      <c r="X12" s="1665" t="n"/>
      <c r="Y12" s="1665" t="n"/>
      <c r="Z12" s="1665" t="n"/>
    </row>
    <row r="13" ht="12.75" customHeight="1" s="1666">
      <c r="B13" s="3164" t="inlineStr">
        <is>
          <t>//   GAIN$=12, GAIN%=13, %PORT=14, ACTION=15</t>
        </is>
      </c>
      <c r="G13" s="1665" t="n"/>
      <c r="H13" s="1665" t="n"/>
      <c r="I13" s="1665" t="n"/>
      <c r="J13" s="1665" t="n"/>
      <c r="K13" s="1665" t="n"/>
      <c r="L13" s="1665" t="n"/>
      <c r="M13" s="1665" t="n"/>
      <c r="N13" s="1665" t="n"/>
      <c r="O13" s="1665" t="n"/>
      <c r="P13" s="1665" t="n"/>
      <c r="Q13" s="1665" t="n"/>
      <c r="R13" s="1665" t="n"/>
      <c r="S13" s="1665" t="n"/>
      <c r="T13" s="1665" t="n"/>
      <c r="U13" s="1665" t="n"/>
      <c r="V13" s="1665" t="n"/>
      <c r="W13" s="1665" t="n"/>
      <c r="X13" s="1665" t="n"/>
      <c r="Y13" s="1665" t="n"/>
      <c r="Z13" s="1665" t="n"/>
    </row>
    <row r="14" ht="12.75" customHeight="1" s="1666">
      <c r="B14" s="3164" t="inlineStr">
        <is>
          <t>// ============================================================</t>
        </is>
      </c>
      <c r="G14" s="1665" t="n"/>
      <c r="H14" s="1665" t="n"/>
      <c r="I14" s="1665" t="n"/>
      <c r="J14" s="1665" t="n"/>
      <c r="K14" s="1665" t="n"/>
      <c r="L14" s="1665" t="n"/>
      <c r="M14" s="1665" t="n"/>
      <c r="N14" s="1665" t="n"/>
      <c r="O14" s="1665" t="n"/>
      <c r="P14" s="1665" t="n"/>
      <c r="Q14" s="1665" t="n"/>
      <c r="R14" s="1665" t="n"/>
      <c r="S14" s="1665" t="n"/>
      <c r="T14" s="1665" t="n"/>
      <c r="U14" s="1665" t="n"/>
      <c r="V14" s="1665" t="n"/>
      <c r="W14" s="1665" t="n"/>
      <c r="X14" s="1665" t="n"/>
      <c r="Y14" s="1665" t="n"/>
      <c r="Z14" s="1665" t="n"/>
    </row>
    <row r="15" ht="12.75" customHeight="1" s="1666">
      <c r="B15" s="3164" t="n"/>
      <c r="G15" s="1665" t="n"/>
      <c r="H15" s="1665" t="n"/>
      <c r="I15" s="1665" t="n"/>
      <c r="J15" s="1665" t="n"/>
      <c r="K15" s="1665" t="n"/>
      <c r="L15" s="1665" t="n"/>
      <c r="M15" s="1665" t="n"/>
      <c r="N15" s="1665" t="n"/>
      <c r="O15" s="1665" t="n"/>
      <c r="P15" s="1665" t="n"/>
      <c r="Q15" s="1665" t="n"/>
      <c r="R15" s="1665" t="n"/>
      <c r="S15" s="1665" t="n"/>
      <c r="T15" s="1665" t="n"/>
      <c r="U15" s="1665" t="n"/>
      <c r="V15" s="1665" t="n"/>
      <c r="W15" s="1665" t="n"/>
      <c r="X15" s="1665" t="n"/>
      <c r="Y15" s="1665" t="n"/>
      <c r="Z15" s="1665" t="n"/>
    </row>
    <row r="16" ht="12.75" customHeight="1" s="1666">
      <c r="B16" s="3164" t="inlineStr">
        <is>
          <t>function onOpen() {</t>
        </is>
      </c>
      <c r="G16" s="1665" t="n"/>
      <c r="H16" s="1665" t="n"/>
      <c r="I16" s="1665" t="n"/>
      <c r="J16" s="1665" t="n"/>
      <c r="K16" s="1665" t="n"/>
      <c r="L16" s="1665" t="n"/>
      <c r="M16" s="1665" t="n"/>
      <c r="N16" s="1665" t="n"/>
      <c r="O16" s="1665" t="n"/>
      <c r="P16" s="1665" t="n"/>
      <c r="Q16" s="1665" t="n"/>
      <c r="R16" s="1665" t="n"/>
      <c r="S16" s="1665" t="n"/>
      <c r="T16" s="1665" t="n"/>
      <c r="U16" s="1665" t="n"/>
      <c r="V16" s="1665" t="n"/>
      <c r="W16" s="1665" t="n"/>
      <c r="X16" s="1665" t="n"/>
      <c r="Y16" s="1665" t="n"/>
      <c r="Z16" s="1665" t="n"/>
    </row>
    <row r="17" ht="12.75" customHeight="1" s="1666">
      <c r="B17" s="3164" t="inlineStr">
        <is>
          <t xml:space="preserve">  const ui = SpreadsheetApp.getUi();</t>
        </is>
      </c>
      <c r="G17" s="1665" t="n"/>
      <c r="H17" s="1665" t="n"/>
      <c r="I17" s="1665" t="n"/>
      <c r="J17" s="1665" t="n"/>
      <c r="K17" s="1665" t="n"/>
      <c r="L17" s="1665" t="n"/>
      <c r="M17" s="1665" t="n"/>
      <c r="N17" s="1665" t="n"/>
      <c r="O17" s="1665" t="n"/>
      <c r="P17" s="1665" t="n"/>
      <c r="Q17" s="1665" t="n"/>
      <c r="R17" s="1665" t="n"/>
      <c r="S17" s="1665" t="n"/>
      <c r="T17" s="1665" t="n"/>
      <c r="U17" s="1665" t="n"/>
      <c r="V17" s="1665" t="n"/>
      <c r="W17" s="1665" t="n"/>
      <c r="X17" s="1665" t="n"/>
      <c r="Y17" s="1665" t="n"/>
      <c r="Z17" s="1665" t="n"/>
    </row>
    <row r="18" ht="12.75" customHeight="1" s="1666">
      <c r="B18" s="3164" t="inlineStr">
        <is>
          <t xml:space="preserve">  ui.createMenu('📊 PORTEFEUILLE')</t>
        </is>
      </c>
      <c r="G18" s="1665" t="n"/>
      <c r="H18" s="1665" t="n"/>
      <c r="I18" s="1665" t="n"/>
      <c r="J18" s="1665" t="n"/>
      <c r="K18" s="1665" t="n"/>
      <c r="L18" s="1665" t="n"/>
      <c r="M18" s="1665" t="n"/>
      <c r="N18" s="1665" t="n"/>
      <c r="O18" s="1665" t="n"/>
      <c r="P18" s="1665" t="n"/>
      <c r="Q18" s="1665" t="n"/>
      <c r="R18" s="1665" t="n"/>
      <c r="S18" s="1665" t="n"/>
      <c r="T18" s="1665" t="n"/>
      <c r="U18" s="1665" t="n"/>
      <c r="V18" s="1665" t="n"/>
      <c r="W18" s="1665" t="n"/>
      <c r="X18" s="1665" t="n"/>
      <c r="Y18" s="1665" t="n"/>
      <c r="Z18" s="1665" t="n"/>
    </row>
    <row r="19" ht="12.75" customHeight="1" s="1666">
      <c r="B19" s="3164" t="inlineStr">
        <is>
          <t xml:space="preserve">    .addSubMenu(ui.createMenu('🔄 Trier ANALYSE TRIABLE')</t>
        </is>
      </c>
      <c r="G19" s="1665" t="n"/>
      <c r="H19" s="1665" t="n"/>
      <c r="I19" s="1665" t="n"/>
      <c r="J19" s="1665" t="n"/>
      <c r="K19" s="1665" t="n"/>
      <c r="L19" s="1665" t="n"/>
      <c r="M19" s="1665" t="n"/>
      <c r="N19" s="1665" t="n"/>
      <c r="O19" s="1665" t="n"/>
      <c r="P19" s="1665" t="n"/>
      <c r="Q19" s="1665" t="n"/>
      <c r="R19" s="1665" t="n"/>
      <c r="S19" s="1665" t="n"/>
      <c r="T19" s="1665" t="n"/>
      <c r="U19" s="1665" t="n"/>
      <c r="V19" s="1665" t="n"/>
      <c r="W19" s="1665" t="n"/>
      <c r="X19" s="1665" t="n"/>
      <c r="Y19" s="1665" t="n"/>
      <c r="Z19" s="1665" t="n"/>
    </row>
    <row r="20" ht="12.75" customHeight="1" s="1666">
      <c r="B20" s="3164" t="inlineStr">
        <is>
          <t xml:space="preserve">      .addItem('💰 Valeur CAD ↓',       'at_trierValeur')</t>
        </is>
      </c>
      <c r="G20" s="1665" t="n"/>
      <c r="H20" s="1665" t="n"/>
      <c r="I20" s="1665" t="n"/>
      <c r="J20" s="1665" t="n"/>
      <c r="K20" s="1665" t="n"/>
      <c r="L20" s="1665" t="n"/>
      <c r="M20" s="1665" t="n"/>
      <c r="N20" s="1665" t="n"/>
      <c r="O20" s="1665" t="n"/>
      <c r="P20" s="1665" t="n"/>
      <c r="Q20" s="1665" t="n"/>
      <c r="R20" s="1665" t="n"/>
      <c r="S20" s="1665" t="n"/>
      <c r="T20" s="1665" t="n"/>
      <c r="U20" s="1665" t="n"/>
      <c r="V20" s="1665" t="n"/>
      <c r="W20" s="1665" t="n"/>
      <c r="X20" s="1665" t="n"/>
      <c r="Y20" s="1665" t="n"/>
      <c r="Z20" s="1665" t="n"/>
    </row>
    <row r="21" ht="12.75" customHeight="1" s="1666">
      <c r="B21" s="3164" t="inlineStr">
        <is>
          <t xml:space="preserve">      .addItem('📈 Gain % ↓',           'at_trierGain')</t>
        </is>
      </c>
      <c r="G21" s="1665" t="n"/>
      <c r="H21" s="1665" t="n"/>
      <c r="I21" s="1665" t="n"/>
      <c r="J21" s="1665" t="n"/>
      <c r="K21" s="1665" t="n"/>
      <c r="L21" s="1665" t="n"/>
      <c r="M21" s="1665" t="n"/>
      <c r="N21" s="1665" t="n"/>
      <c r="O21" s="1665" t="n"/>
      <c r="P21" s="1665" t="n"/>
      <c r="Q21" s="1665" t="n"/>
      <c r="R21" s="1665" t="n"/>
      <c r="S21" s="1665" t="n"/>
      <c r="T21" s="1665" t="n"/>
      <c r="U21" s="1665" t="n"/>
      <c r="V21" s="1665" t="n"/>
      <c r="W21" s="1665" t="n"/>
      <c r="X21" s="1665" t="n"/>
      <c r="Y21" s="1665" t="n"/>
      <c r="Z21" s="1665" t="n"/>
    </row>
    <row r="22" ht="12.75" customHeight="1" s="1666">
      <c r="B22" s="3164" t="inlineStr">
        <is>
          <t xml:space="preserve">      .addItem('🏷️ Tier → Valeur',      'at_trierTier')</t>
        </is>
      </c>
      <c r="G22" s="1665" t="n"/>
      <c r="H22" s="1665" t="n"/>
      <c r="I22" s="1665" t="n"/>
      <c r="J22" s="1665" t="n"/>
      <c r="K22" s="1665" t="n"/>
      <c r="L22" s="1665" t="n"/>
      <c r="M22" s="1665" t="n"/>
      <c r="N22" s="1665" t="n"/>
      <c r="O22" s="1665" t="n"/>
      <c r="P22" s="1665" t="n"/>
      <c r="Q22" s="1665" t="n"/>
      <c r="R22" s="1665" t="n"/>
      <c r="S22" s="1665" t="n"/>
      <c r="T22" s="1665" t="n"/>
      <c r="U22" s="1665" t="n"/>
      <c r="V22" s="1665" t="n"/>
      <c r="W22" s="1665" t="n"/>
      <c r="X22" s="1665" t="n"/>
      <c r="Y22" s="1665" t="n"/>
      <c r="Z22" s="1665" t="n"/>
    </row>
    <row r="23" ht="12.75" customHeight="1" s="1666">
      <c r="B23" s="3164" t="inlineStr">
        <is>
          <t xml:space="preserve">      .addItem('💵 Dividende ↓',        'at_trierDiv')</t>
        </is>
      </c>
      <c r="G23" s="1665" t="n"/>
      <c r="H23" s="1665" t="n"/>
      <c r="I23" s="1665" t="n"/>
      <c r="J23" s="1665" t="n"/>
      <c r="K23" s="1665" t="n"/>
      <c r="L23" s="1665" t="n"/>
      <c r="M23" s="1665" t="n"/>
      <c r="N23" s="1665" t="n"/>
      <c r="O23" s="1665" t="n"/>
      <c r="P23" s="1665" t="n"/>
      <c r="Q23" s="1665" t="n"/>
      <c r="R23" s="1665" t="n"/>
      <c r="S23" s="1665" t="n"/>
      <c r="T23" s="1665" t="n"/>
      <c r="U23" s="1665" t="n"/>
      <c r="V23" s="1665" t="n"/>
      <c r="W23" s="1665" t="n"/>
      <c r="X23" s="1665" t="n"/>
      <c r="Y23" s="1665" t="n"/>
      <c r="Z23" s="1665" t="n"/>
    </row>
    <row r="24" ht="12.75" customHeight="1" s="1666">
      <c r="B24" s="3164" t="inlineStr">
        <is>
          <t xml:space="preserve">      .addItem('🔃 Reset (Cte→Tier→Val)','at_reset'))</t>
        </is>
      </c>
      <c r="G24" s="1665" t="n"/>
      <c r="H24" s="1665" t="n"/>
      <c r="I24" s="1665" t="n"/>
      <c r="J24" s="1665" t="n"/>
      <c r="K24" s="1665" t="n"/>
      <c r="L24" s="1665" t="n"/>
      <c r="M24" s="1665" t="n"/>
      <c r="N24" s="1665" t="n"/>
      <c r="O24" s="1665" t="n"/>
      <c r="P24" s="1665" t="n"/>
      <c r="Q24" s="1665" t="n"/>
      <c r="R24" s="1665" t="n"/>
      <c r="S24" s="1665" t="n"/>
      <c r="T24" s="1665" t="n"/>
      <c r="U24" s="1665" t="n"/>
      <c r="V24" s="1665" t="n"/>
      <c r="W24" s="1665" t="n"/>
      <c r="X24" s="1665" t="n"/>
      <c r="Y24" s="1665" t="n"/>
      <c r="Z24" s="1665" t="n"/>
    </row>
    <row r="25" ht="12.75" customHeight="1" s="1666">
      <c r="B25" s="3164" t="inlineStr">
        <is>
          <t xml:space="preserve">    .addSeparator()</t>
        </is>
      </c>
      <c r="G25" s="1665" t="n"/>
      <c r="H25" s="1665" t="n"/>
      <c r="I25" s="1665" t="n"/>
      <c r="J25" s="1665" t="n"/>
      <c r="K25" s="1665" t="n"/>
      <c r="L25" s="1665" t="n"/>
      <c r="M25" s="1665" t="n"/>
      <c r="N25" s="1665" t="n"/>
      <c r="O25" s="1665" t="n"/>
      <c r="P25" s="1665" t="n"/>
      <c r="Q25" s="1665" t="n"/>
      <c r="R25" s="1665" t="n"/>
      <c r="S25" s="1665" t="n"/>
      <c r="T25" s="1665" t="n"/>
      <c r="U25" s="1665" t="n"/>
      <c r="V25" s="1665" t="n"/>
      <c r="W25" s="1665" t="n"/>
      <c r="X25" s="1665" t="n"/>
      <c r="Y25" s="1665" t="n"/>
      <c r="Z25" s="1665" t="n"/>
    </row>
    <row r="26" ht="12.75" customHeight="1" s="1666">
      <c r="B26" s="3164" t="inlineStr">
        <is>
          <t xml:space="preserve">    .addSubMenu(ui.createMenu('🔄 Trier PORTEFEUILLE')</t>
        </is>
      </c>
      <c r="G26" s="1665" t="n"/>
      <c r="H26" s="1665" t="n"/>
      <c r="I26" s="1665" t="n"/>
      <c r="J26" s="1665" t="n"/>
      <c r="K26" s="1665" t="n"/>
      <c r="L26" s="1665" t="n"/>
      <c r="M26" s="1665" t="n"/>
      <c r="N26" s="1665" t="n"/>
      <c r="O26" s="1665" t="n"/>
      <c r="P26" s="1665" t="n"/>
      <c r="Q26" s="1665" t="n"/>
      <c r="R26" s="1665" t="n"/>
      <c r="S26" s="1665" t="n"/>
      <c r="T26" s="1665" t="n"/>
      <c r="U26" s="1665" t="n"/>
      <c r="V26" s="1665" t="n"/>
      <c r="W26" s="1665" t="n"/>
      <c r="X26" s="1665" t="n"/>
      <c r="Y26" s="1665" t="n"/>
      <c r="Z26" s="1665" t="n"/>
    </row>
    <row r="27" ht="12.75" customHeight="1" s="1666">
      <c r="B27" s="3164" t="inlineStr">
        <is>
          <t xml:space="preserve">      .addItem('💰 Valeur CAD ↓',       'port_trierValeur')</t>
        </is>
      </c>
      <c r="G27" s="1665" t="n"/>
      <c r="H27" s="1665" t="n"/>
      <c r="I27" s="1665" t="n"/>
      <c r="J27" s="1665" t="n"/>
      <c r="K27" s="1665" t="n"/>
      <c r="L27" s="1665" t="n"/>
      <c r="M27" s="1665" t="n"/>
      <c r="N27" s="1665" t="n"/>
      <c r="O27" s="1665" t="n"/>
      <c r="P27" s="1665" t="n"/>
      <c r="Q27" s="1665" t="n"/>
      <c r="R27" s="1665" t="n"/>
      <c r="S27" s="1665" t="n"/>
      <c r="T27" s="1665" t="n"/>
      <c r="U27" s="1665" t="n"/>
      <c r="V27" s="1665" t="n"/>
      <c r="W27" s="1665" t="n"/>
      <c r="X27" s="1665" t="n"/>
      <c r="Y27" s="1665" t="n"/>
      <c r="Z27" s="1665" t="n"/>
    </row>
    <row r="28" ht="12.75" customHeight="1" s="1666">
      <c r="B28" s="3164" t="inlineStr">
        <is>
          <t xml:space="preserve">      .addItem('📈 Gain % ↓',           'port_trierGain')</t>
        </is>
      </c>
      <c r="G28" s="1665" t="n"/>
      <c r="H28" s="1665" t="n"/>
      <c r="I28" s="1665" t="n"/>
      <c r="J28" s="1665" t="n"/>
      <c r="K28" s="1665" t="n"/>
      <c r="L28" s="1665" t="n"/>
      <c r="M28" s="1665" t="n"/>
      <c r="N28" s="1665" t="n"/>
      <c r="O28" s="1665" t="n"/>
      <c r="P28" s="1665" t="n"/>
      <c r="Q28" s="1665" t="n"/>
      <c r="R28" s="1665" t="n"/>
      <c r="S28" s="1665" t="n"/>
      <c r="T28" s="1665" t="n"/>
      <c r="U28" s="1665" t="n"/>
      <c r="V28" s="1665" t="n"/>
      <c r="W28" s="1665" t="n"/>
      <c r="X28" s="1665" t="n"/>
      <c r="Y28" s="1665" t="n"/>
      <c r="Z28" s="1665" t="n"/>
    </row>
    <row r="29" ht="12.75" customHeight="1" s="1666">
      <c r="B29" s="3164" t="inlineStr">
        <is>
          <t xml:space="preserve">      .addItem('🏷️ Tier → Valeur',      'port_trierTier')</t>
        </is>
      </c>
      <c r="G29" s="1665" t="n"/>
      <c r="H29" s="1665" t="n"/>
      <c r="I29" s="1665" t="n"/>
      <c r="J29" s="1665" t="n"/>
      <c r="K29" s="1665" t="n"/>
      <c r="L29" s="1665" t="n"/>
      <c r="M29" s="1665" t="n"/>
      <c r="N29" s="1665" t="n"/>
      <c r="O29" s="1665" t="n"/>
      <c r="P29" s="1665" t="n"/>
      <c r="Q29" s="1665" t="n"/>
      <c r="R29" s="1665" t="n"/>
      <c r="S29" s="1665" t="n"/>
      <c r="T29" s="1665" t="n"/>
      <c r="U29" s="1665" t="n"/>
      <c r="V29" s="1665" t="n"/>
      <c r="W29" s="1665" t="n"/>
      <c r="X29" s="1665" t="n"/>
      <c r="Y29" s="1665" t="n"/>
      <c r="Z29" s="1665" t="n"/>
    </row>
    <row r="30" ht="12.75" customHeight="1" s="1666">
      <c r="B30" s="3164" t="inlineStr">
        <is>
          <t xml:space="preserve">      .addItem('🔃 Reset (Tier→Valeur)', 'port_reset'))</t>
        </is>
      </c>
      <c r="G30" s="1665" t="n"/>
      <c r="H30" s="1665" t="n"/>
      <c r="I30" s="1665" t="n"/>
      <c r="J30" s="1665" t="n"/>
      <c r="K30" s="1665" t="n"/>
      <c r="L30" s="1665" t="n"/>
      <c r="M30" s="1665" t="n"/>
      <c r="N30" s="1665" t="n"/>
      <c r="O30" s="1665" t="n"/>
      <c r="P30" s="1665" t="n"/>
      <c r="Q30" s="1665" t="n"/>
      <c r="R30" s="1665" t="n"/>
      <c r="S30" s="1665" t="n"/>
      <c r="T30" s="1665" t="n"/>
      <c r="U30" s="1665" t="n"/>
      <c r="V30" s="1665" t="n"/>
      <c r="W30" s="1665" t="n"/>
      <c r="X30" s="1665" t="n"/>
      <c r="Y30" s="1665" t="n"/>
      <c r="Z30" s="1665" t="n"/>
    </row>
    <row r="31" ht="12.75" customHeight="1" s="1666">
      <c r="B31" s="3164" t="inlineStr">
        <is>
          <t xml:space="preserve">    .addSeparator()</t>
        </is>
      </c>
      <c r="G31" s="1665" t="n"/>
      <c r="H31" s="1665" t="n"/>
      <c r="I31" s="1665" t="n"/>
      <c r="J31" s="1665" t="n"/>
      <c r="K31" s="1665" t="n"/>
      <c r="L31" s="1665" t="n"/>
      <c r="M31" s="1665" t="n"/>
      <c r="N31" s="1665" t="n"/>
      <c r="O31" s="1665" t="n"/>
      <c r="P31" s="1665" t="n"/>
      <c r="Q31" s="1665" t="n"/>
      <c r="R31" s="1665" t="n"/>
      <c r="S31" s="1665" t="n"/>
      <c r="T31" s="1665" t="n"/>
      <c r="U31" s="1665" t="n"/>
      <c r="V31" s="1665" t="n"/>
      <c r="W31" s="1665" t="n"/>
      <c r="X31" s="1665" t="n"/>
      <c r="Y31" s="1665" t="n"/>
      <c r="Z31" s="1665" t="n"/>
    </row>
    <row r="32" ht="12.75" customHeight="1" s="1666">
      <c r="B32" s="3164" t="inlineStr">
        <is>
          <t xml:space="preserve">    .addSubMenu(ui.createMenu('🚀 Naviguer vers...')</t>
        </is>
      </c>
      <c r="G32" s="1665" t="n"/>
      <c r="H32" s="1665" t="n"/>
      <c r="I32" s="1665" t="n"/>
      <c r="J32" s="1665" t="n"/>
      <c r="K32" s="1665" t="n"/>
      <c r="L32" s="1665" t="n"/>
      <c r="M32" s="1665" t="n"/>
      <c r="N32" s="1665" t="n"/>
      <c r="O32" s="1665" t="n"/>
      <c r="P32" s="1665" t="n"/>
      <c r="Q32" s="1665" t="n"/>
      <c r="R32" s="1665" t="n"/>
      <c r="S32" s="1665" t="n"/>
      <c r="T32" s="1665" t="n"/>
      <c r="U32" s="1665" t="n"/>
      <c r="V32" s="1665" t="n"/>
      <c r="W32" s="1665" t="n"/>
      <c r="X32" s="1665" t="n"/>
      <c r="Y32" s="1665" t="n"/>
      <c r="Z32" s="1665" t="n"/>
    </row>
    <row r="33" ht="12.75" customHeight="1" s="1666">
      <c r="B33" s="3164" t="inlineStr">
        <is>
          <t xml:space="preserve">      .addItem('🚀 DÉMARRAGE',           'nav_demarrage')</t>
        </is>
      </c>
      <c r="G33" s="1665" t="n"/>
      <c r="H33" s="1665" t="n"/>
      <c r="I33" s="1665" t="n"/>
      <c r="J33" s="1665" t="n"/>
      <c r="K33" s="1665" t="n"/>
      <c r="L33" s="1665" t="n"/>
      <c r="M33" s="1665" t="n"/>
      <c r="N33" s="1665" t="n"/>
      <c r="O33" s="1665" t="n"/>
      <c r="P33" s="1665" t="n"/>
      <c r="Q33" s="1665" t="n"/>
      <c r="R33" s="1665" t="n"/>
      <c r="S33" s="1665" t="n"/>
      <c r="T33" s="1665" t="n"/>
      <c r="U33" s="1665" t="n"/>
      <c r="V33" s="1665" t="n"/>
      <c r="W33" s="1665" t="n"/>
      <c r="X33" s="1665" t="n"/>
      <c r="Y33" s="1665" t="n"/>
      <c r="Z33" s="1665" t="n"/>
    </row>
    <row r="34" ht="12.75" customHeight="1" s="1666">
      <c r="B34" s="3164" t="inlineStr">
        <is>
          <t xml:space="preserve">      .addItem('🏠 DASHBOARD',           'nav_dashboard')</t>
        </is>
      </c>
      <c r="G34" s="1665" t="n"/>
      <c r="H34" s="1665" t="n"/>
      <c r="I34" s="1665" t="n"/>
      <c r="J34" s="1665" t="n"/>
      <c r="K34" s="1665" t="n"/>
      <c r="L34" s="1665" t="n"/>
      <c r="M34" s="1665" t="n"/>
      <c r="N34" s="1665" t="n"/>
      <c r="O34" s="1665" t="n"/>
      <c r="P34" s="1665" t="n"/>
      <c r="Q34" s="1665" t="n"/>
      <c r="R34" s="1665" t="n"/>
      <c r="S34" s="1665" t="n"/>
      <c r="T34" s="1665" t="n"/>
      <c r="U34" s="1665" t="n"/>
      <c r="V34" s="1665" t="n"/>
      <c r="W34" s="1665" t="n"/>
      <c r="X34" s="1665" t="n"/>
      <c r="Y34" s="1665" t="n"/>
      <c r="Z34" s="1665" t="n"/>
    </row>
    <row r="35" ht="12.75" customHeight="1" s="1666">
      <c r="B35" s="3164" t="inlineStr">
        <is>
          <t xml:space="preserve">      .addItem('📈 PORTEFEUILLE',        'nav_portefeuille')</t>
        </is>
      </c>
      <c r="G35" s="1665" t="n"/>
      <c r="H35" s="1665" t="n"/>
      <c r="I35" s="1665" t="n"/>
      <c r="J35" s="1665" t="n"/>
      <c r="K35" s="1665" t="n"/>
      <c r="L35" s="1665" t="n"/>
      <c r="M35" s="1665" t="n"/>
      <c r="N35" s="1665" t="n"/>
      <c r="O35" s="1665" t="n"/>
      <c r="P35" s="1665" t="n"/>
      <c r="Q35" s="1665" t="n"/>
      <c r="R35" s="1665" t="n"/>
      <c r="S35" s="1665" t="n"/>
      <c r="T35" s="1665" t="n"/>
      <c r="U35" s="1665" t="n"/>
      <c r="V35" s="1665" t="n"/>
      <c r="W35" s="1665" t="n"/>
      <c r="X35" s="1665" t="n"/>
      <c r="Y35" s="1665" t="n"/>
      <c r="Z35" s="1665" t="n"/>
    </row>
    <row r="36" ht="12.75" customHeight="1" s="1666">
      <c r="B36" s="3164" t="inlineStr">
        <is>
          <t xml:space="preserve">      .addItem('🔍 ANALYSE TRIABLE',     'nav_analyse')</t>
        </is>
      </c>
      <c r="G36" s="1665" t="n"/>
      <c r="H36" s="1665" t="n"/>
      <c r="I36" s="1665" t="n"/>
      <c r="J36" s="1665" t="n"/>
      <c r="K36" s="1665" t="n"/>
      <c r="L36" s="1665" t="n"/>
      <c r="M36" s="1665" t="n"/>
      <c r="N36" s="1665" t="n"/>
      <c r="O36" s="1665" t="n"/>
      <c r="P36" s="1665" t="n"/>
      <c r="Q36" s="1665" t="n"/>
      <c r="R36" s="1665" t="n"/>
      <c r="S36" s="1665" t="n"/>
      <c r="T36" s="1665" t="n"/>
      <c r="U36" s="1665" t="n"/>
      <c r="V36" s="1665" t="n"/>
      <c r="W36" s="1665" t="n"/>
      <c r="X36" s="1665" t="n"/>
      <c r="Y36" s="1665" t="n"/>
      <c r="Z36" s="1665" t="n"/>
    </row>
    <row r="37" ht="12.75" customHeight="1" s="1666">
      <c r="B37" s="3164" t="inlineStr">
        <is>
          <t xml:space="preserve">      .addItem('📊 ANALYSE PRO',         'nav_analysepro')</t>
        </is>
      </c>
      <c r="G37" s="1665" t="n"/>
      <c r="H37" s="1665" t="n"/>
      <c r="I37" s="1665" t="n"/>
      <c r="J37" s="1665" t="n"/>
      <c r="K37" s="1665" t="n"/>
      <c r="L37" s="1665" t="n"/>
      <c r="M37" s="1665" t="n"/>
      <c r="N37" s="1665" t="n"/>
      <c r="O37" s="1665" t="n"/>
      <c r="P37" s="1665" t="n"/>
      <c r="Q37" s="1665" t="n"/>
      <c r="R37" s="1665" t="n"/>
      <c r="S37" s="1665" t="n"/>
      <c r="T37" s="1665" t="n"/>
      <c r="U37" s="1665" t="n"/>
      <c r="V37" s="1665" t="n"/>
      <c r="W37" s="1665" t="n"/>
      <c r="X37" s="1665" t="n"/>
      <c r="Y37" s="1665" t="n"/>
      <c r="Z37" s="1665" t="n"/>
    </row>
    <row r="38" ht="12.75" customHeight="1" s="1666">
      <c r="B38" s="3164" t="inlineStr">
        <is>
          <t xml:space="preserve">      .addItem('❄️ FISCAL',             'nav_fiscal')</t>
        </is>
      </c>
      <c r="G38" s="1665" t="n"/>
      <c r="H38" s="1665" t="n"/>
      <c r="I38" s="1665" t="n"/>
      <c r="J38" s="1665" t="n"/>
      <c r="K38" s="1665" t="n"/>
      <c r="L38" s="1665" t="n"/>
      <c r="M38" s="1665" t="n"/>
      <c r="N38" s="1665" t="n"/>
      <c r="O38" s="1665" t="n"/>
      <c r="P38" s="1665" t="n"/>
      <c r="Q38" s="1665" t="n"/>
      <c r="R38" s="1665" t="n"/>
      <c r="S38" s="1665" t="n"/>
      <c r="T38" s="1665" t="n"/>
      <c r="U38" s="1665" t="n"/>
      <c r="V38" s="1665" t="n"/>
      <c r="W38" s="1665" t="n"/>
      <c r="X38" s="1665" t="n"/>
      <c r="Y38" s="1665" t="n"/>
      <c r="Z38" s="1665" t="n"/>
    </row>
    <row r="39" ht="12.75" customHeight="1" s="1666">
      <c r="B39" s="3164" t="inlineStr">
        <is>
          <t xml:space="preserve">      .addItem('💰 REVENUS',             'nav_revenus')</t>
        </is>
      </c>
      <c r="G39" s="1665" t="n"/>
      <c r="H39" s="1665" t="n"/>
      <c r="I39" s="1665" t="n"/>
      <c r="J39" s="1665" t="n"/>
      <c r="K39" s="1665" t="n"/>
      <c r="L39" s="1665" t="n"/>
      <c r="M39" s="1665" t="n"/>
      <c r="N39" s="1665" t="n"/>
      <c r="O39" s="1665" t="n"/>
      <c r="P39" s="1665" t="n"/>
      <c r="Q39" s="1665" t="n"/>
      <c r="R39" s="1665" t="n"/>
      <c r="S39" s="1665" t="n"/>
      <c r="T39" s="1665" t="n"/>
      <c r="U39" s="1665" t="n"/>
      <c r="V39" s="1665" t="n"/>
      <c r="W39" s="1665" t="n"/>
      <c r="X39" s="1665" t="n"/>
      <c r="Y39" s="1665" t="n"/>
      <c r="Z39" s="1665" t="n"/>
    </row>
    <row r="40" ht="12.75" customHeight="1" s="1666">
      <c r="B40" s="3164" t="inlineStr">
        <is>
          <t xml:space="preserve">      .addItem('🏠 MAISON 2030+',        'nav_maison')</t>
        </is>
      </c>
      <c r="G40" s="1665" t="n"/>
      <c r="H40" s="1665" t="n"/>
      <c r="I40" s="1665" t="n"/>
      <c r="J40" s="1665" t="n"/>
      <c r="K40" s="1665" t="n"/>
      <c r="L40" s="1665" t="n"/>
      <c r="M40" s="1665" t="n"/>
      <c r="N40" s="1665" t="n"/>
      <c r="O40" s="1665" t="n"/>
      <c r="P40" s="1665" t="n"/>
      <c r="Q40" s="1665" t="n"/>
      <c r="R40" s="1665" t="n"/>
      <c r="S40" s="1665" t="n"/>
      <c r="T40" s="1665" t="n"/>
      <c r="U40" s="1665" t="n"/>
      <c r="V40" s="1665" t="n"/>
      <c r="W40" s="1665" t="n"/>
      <c r="X40" s="1665" t="n"/>
      <c r="Y40" s="1665" t="n"/>
      <c r="Z40" s="1665" t="n"/>
    </row>
    <row r="41" ht="12.75" customHeight="1" s="1666">
      <c r="B41" s="3164" t="inlineStr">
        <is>
          <t xml:space="preserve">      .addItem('📈 PROJECTION FI',       'nav_projection')</t>
        </is>
      </c>
      <c r="G41" s="1665" t="n"/>
      <c r="H41" s="1665" t="n"/>
      <c r="I41" s="1665" t="n"/>
      <c r="J41" s="1665" t="n"/>
      <c r="K41" s="1665" t="n"/>
      <c r="L41" s="1665" t="n"/>
      <c r="M41" s="1665" t="n"/>
      <c r="N41" s="1665" t="n"/>
      <c r="O41" s="1665" t="n"/>
      <c r="P41" s="1665" t="n"/>
      <c r="Q41" s="1665" t="n"/>
      <c r="R41" s="1665" t="n"/>
      <c r="S41" s="1665" t="n"/>
      <c r="T41" s="1665" t="n"/>
      <c r="U41" s="1665" t="n"/>
      <c r="V41" s="1665" t="n"/>
      <c r="W41" s="1665" t="n"/>
      <c r="X41" s="1665" t="n"/>
      <c r="Y41" s="1665" t="n"/>
      <c r="Z41" s="1665" t="n"/>
    </row>
    <row r="42" ht="12.75" customHeight="1" s="1666">
      <c r="B42" s="3164" t="inlineStr">
        <is>
          <t xml:space="preserve">      .addItem('📓 HISTORIQUE',          'nav_historique')</t>
        </is>
      </c>
      <c r="G42" s="1665" t="n"/>
      <c r="H42" s="1665" t="n"/>
      <c r="I42" s="1665" t="n"/>
      <c r="J42" s="1665" t="n"/>
      <c r="K42" s="1665" t="n"/>
      <c r="L42" s="1665" t="n"/>
      <c r="M42" s="1665" t="n"/>
      <c r="N42" s="1665" t="n"/>
      <c r="O42" s="1665" t="n"/>
      <c r="P42" s="1665" t="n"/>
      <c r="Q42" s="1665" t="n"/>
      <c r="R42" s="1665" t="n"/>
      <c r="S42" s="1665" t="n"/>
      <c r="T42" s="1665" t="n"/>
      <c r="U42" s="1665" t="n"/>
      <c r="V42" s="1665" t="n"/>
      <c r="W42" s="1665" t="n"/>
      <c r="X42" s="1665" t="n"/>
      <c r="Y42" s="1665" t="n"/>
      <c r="Z42" s="1665" t="n"/>
    </row>
    <row r="43" ht="12.75" customHeight="1" s="1666">
      <c r="B43" s="3164" t="inlineStr">
        <is>
          <t xml:space="preserve">      .addItem('📓 JOURNAL DÉCISIONS',   'nav_journal'))</t>
        </is>
      </c>
      <c r="G43" s="1665" t="n"/>
      <c r="H43" s="1665" t="n"/>
      <c r="I43" s="1665" t="n"/>
      <c r="J43" s="1665" t="n"/>
      <c r="K43" s="1665" t="n"/>
      <c r="L43" s="1665" t="n"/>
      <c r="M43" s="1665" t="n"/>
      <c r="N43" s="1665" t="n"/>
      <c r="O43" s="1665" t="n"/>
      <c r="P43" s="1665" t="n"/>
      <c r="Q43" s="1665" t="n"/>
      <c r="R43" s="1665" t="n"/>
      <c r="S43" s="1665" t="n"/>
      <c r="T43" s="1665" t="n"/>
      <c r="U43" s="1665" t="n"/>
      <c r="V43" s="1665" t="n"/>
      <c r="W43" s="1665" t="n"/>
      <c r="X43" s="1665" t="n"/>
      <c r="Y43" s="1665" t="n"/>
      <c r="Z43" s="1665" t="n"/>
    </row>
    <row r="44" ht="12.75" customHeight="1" s="1666">
      <c r="B44" s="3164" t="inlineStr">
        <is>
          <t xml:space="preserve">    .addSeparator()</t>
        </is>
      </c>
      <c r="G44" s="1665" t="n"/>
      <c r="H44" s="1665" t="n"/>
      <c r="I44" s="1665" t="n"/>
      <c r="J44" s="1665" t="n"/>
      <c r="K44" s="1665" t="n"/>
      <c r="L44" s="1665" t="n"/>
      <c r="M44" s="1665" t="n"/>
      <c r="N44" s="1665" t="n"/>
      <c r="O44" s="1665" t="n"/>
      <c r="P44" s="1665" t="n"/>
      <c r="Q44" s="1665" t="n"/>
      <c r="R44" s="1665" t="n"/>
      <c r="S44" s="1665" t="n"/>
      <c r="T44" s="1665" t="n"/>
      <c r="U44" s="1665" t="n"/>
      <c r="V44" s="1665" t="n"/>
      <c r="W44" s="1665" t="n"/>
      <c r="X44" s="1665" t="n"/>
      <c r="Y44" s="1665" t="n"/>
      <c r="Z44" s="1665" t="n"/>
    </row>
    <row r="45" ht="12.75" customHeight="1" s="1666">
      <c r="B45" s="3164" t="inlineStr">
        <is>
          <t xml:space="preserve">    .addItem('📋 Snapshot → HISTORIQUE', 'snapshot')</t>
        </is>
      </c>
      <c r="G45" s="1665" t="n"/>
      <c r="H45" s="1665" t="n"/>
      <c r="I45" s="1665" t="n"/>
      <c r="J45" s="1665" t="n"/>
      <c r="K45" s="1665" t="n"/>
      <c r="L45" s="1665" t="n"/>
      <c r="M45" s="1665" t="n"/>
      <c r="N45" s="1665" t="n"/>
      <c r="O45" s="1665" t="n"/>
      <c r="P45" s="1665" t="n"/>
      <c r="Q45" s="1665" t="n"/>
      <c r="R45" s="1665" t="n"/>
      <c r="S45" s="1665" t="n"/>
      <c r="T45" s="1665" t="n"/>
      <c r="U45" s="1665" t="n"/>
      <c r="V45" s="1665" t="n"/>
      <c r="W45" s="1665" t="n"/>
      <c r="X45" s="1665" t="n"/>
      <c r="Y45" s="1665" t="n"/>
      <c r="Z45" s="1665" t="n"/>
    </row>
    <row r="46" ht="12.75" customHeight="1" s="1666">
      <c r="B46" s="3164" t="inlineStr">
        <is>
          <t xml:space="preserve">    .addItem('📝 Note de session',       'noteSession')</t>
        </is>
      </c>
      <c r="G46" s="1665" t="n"/>
      <c r="H46" s="1665" t="n"/>
      <c r="I46" s="1665" t="n"/>
      <c r="J46" s="1665" t="n"/>
      <c r="K46" s="1665" t="n"/>
      <c r="L46" s="1665" t="n"/>
      <c r="M46" s="1665" t="n"/>
      <c r="N46" s="1665" t="n"/>
      <c r="O46" s="1665" t="n"/>
      <c r="P46" s="1665" t="n"/>
      <c r="Q46" s="1665" t="n"/>
      <c r="R46" s="1665" t="n"/>
      <c r="S46" s="1665" t="n"/>
      <c r="T46" s="1665" t="n"/>
      <c r="U46" s="1665" t="n"/>
      <c r="V46" s="1665" t="n"/>
      <c r="W46" s="1665" t="n"/>
      <c r="X46" s="1665" t="n"/>
      <c r="Y46" s="1665" t="n"/>
      <c r="Z46" s="1665" t="n"/>
    </row>
    <row r="47" ht="12.75" customHeight="1" s="1666">
      <c r="B47" s="3164" t="inlineStr">
        <is>
          <t xml:space="preserve">    .addToUi();</t>
        </is>
      </c>
      <c r="G47" s="1665" t="n"/>
      <c r="H47" s="1665" t="n"/>
      <c r="I47" s="1665" t="n"/>
      <c r="J47" s="1665" t="n"/>
      <c r="K47" s="1665" t="n"/>
      <c r="L47" s="1665" t="n"/>
      <c r="M47" s="1665" t="n"/>
      <c r="N47" s="1665" t="n"/>
      <c r="O47" s="1665" t="n"/>
      <c r="P47" s="1665" t="n"/>
      <c r="Q47" s="1665" t="n"/>
      <c r="R47" s="1665" t="n"/>
      <c r="S47" s="1665" t="n"/>
      <c r="T47" s="1665" t="n"/>
      <c r="U47" s="1665" t="n"/>
      <c r="V47" s="1665" t="n"/>
      <c r="W47" s="1665" t="n"/>
      <c r="X47" s="1665" t="n"/>
      <c r="Y47" s="1665" t="n"/>
      <c r="Z47" s="1665" t="n"/>
    </row>
    <row r="48" ht="12.75" customHeight="1" s="1666">
      <c r="B48" s="3164" t="inlineStr">
        <is>
          <t>}</t>
        </is>
      </c>
      <c r="G48" s="1665" t="n"/>
      <c r="H48" s="1665" t="n"/>
      <c r="I48" s="1665" t="n"/>
      <c r="J48" s="1665" t="n"/>
      <c r="K48" s="1665" t="n"/>
      <c r="L48" s="1665" t="n"/>
      <c r="M48" s="1665" t="n"/>
      <c r="N48" s="1665" t="n"/>
      <c r="O48" s="1665" t="n"/>
      <c r="P48" s="1665" t="n"/>
      <c r="Q48" s="1665" t="n"/>
      <c r="R48" s="1665" t="n"/>
      <c r="S48" s="1665" t="n"/>
      <c r="T48" s="1665" t="n"/>
      <c r="U48" s="1665" t="n"/>
      <c r="V48" s="1665" t="n"/>
      <c r="W48" s="1665" t="n"/>
      <c r="X48" s="1665" t="n"/>
      <c r="Y48" s="1665" t="n"/>
      <c r="Z48" s="1665" t="n"/>
    </row>
    <row r="49" ht="12.75" customHeight="1" s="1666">
      <c r="B49" s="3164" t="n"/>
      <c r="G49" s="1665" t="n"/>
      <c r="H49" s="1665" t="n"/>
      <c r="I49" s="1665" t="n"/>
      <c r="J49" s="1665" t="n"/>
      <c r="K49" s="1665" t="n"/>
      <c r="L49" s="1665" t="n"/>
      <c r="M49" s="1665" t="n"/>
      <c r="N49" s="1665" t="n"/>
      <c r="O49" s="1665" t="n"/>
      <c r="P49" s="1665" t="n"/>
      <c r="Q49" s="1665" t="n"/>
      <c r="R49" s="1665" t="n"/>
      <c r="S49" s="1665" t="n"/>
      <c r="T49" s="1665" t="n"/>
      <c r="U49" s="1665" t="n"/>
      <c r="V49" s="1665" t="n"/>
      <c r="W49" s="1665" t="n"/>
      <c r="X49" s="1665" t="n"/>
      <c r="Y49" s="1665" t="n"/>
      <c r="Z49" s="1665" t="n"/>
    </row>
    <row r="50" ht="12.75" customHeight="1" s="1666">
      <c r="B50" s="3164" t="inlineStr">
        <is>
          <t>// ============================================================</t>
        </is>
      </c>
      <c r="G50" s="1665" t="n"/>
      <c r="H50" s="1665" t="n"/>
      <c r="I50" s="1665" t="n"/>
      <c r="J50" s="1665" t="n"/>
      <c r="K50" s="1665" t="n"/>
      <c r="L50" s="1665" t="n"/>
      <c r="M50" s="1665" t="n"/>
      <c r="N50" s="1665" t="n"/>
      <c r="O50" s="1665" t="n"/>
      <c r="P50" s="1665" t="n"/>
      <c r="Q50" s="1665" t="n"/>
      <c r="R50" s="1665" t="n"/>
      <c r="S50" s="1665" t="n"/>
      <c r="T50" s="1665" t="n"/>
      <c r="U50" s="1665" t="n"/>
      <c r="V50" s="1665" t="n"/>
      <c r="W50" s="1665" t="n"/>
      <c r="X50" s="1665" t="n"/>
      <c r="Y50" s="1665" t="n"/>
      <c r="Z50" s="1665" t="n"/>
    </row>
    <row r="51" ht="12.75" customHeight="1" s="1666">
      <c r="B51" s="3164" t="inlineStr">
        <is>
          <t>// HELPERS</t>
        </is>
      </c>
      <c r="G51" s="1665" t="n"/>
      <c r="H51" s="1665" t="n"/>
      <c r="I51" s="1665" t="n"/>
      <c r="J51" s="1665" t="n"/>
      <c r="K51" s="1665" t="n"/>
      <c r="L51" s="1665" t="n"/>
      <c r="M51" s="1665" t="n"/>
      <c r="N51" s="1665" t="n"/>
      <c r="O51" s="1665" t="n"/>
      <c r="P51" s="1665" t="n"/>
      <c r="Q51" s="1665" t="n"/>
      <c r="R51" s="1665" t="n"/>
      <c r="S51" s="1665" t="n"/>
      <c r="T51" s="1665" t="n"/>
      <c r="U51" s="1665" t="n"/>
      <c r="V51" s="1665" t="n"/>
      <c r="W51" s="1665" t="n"/>
      <c r="X51" s="1665" t="n"/>
      <c r="Y51" s="1665" t="n"/>
      <c r="Z51" s="1665" t="n"/>
    </row>
    <row r="52" ht="12.75" customHeight="1" s="1666">
      <c r="B52" s="3164" t="inlineStr">
        <is>
          <t>// ============================================================</t>
        </is>
      </c>
      <c r="G52" s="1665" t="n"/>
      <c r="H52" s="1665" t="n"/>
      <c r="I52" s="1665" t="n"/>
      <c r="J52" s="1665" t="n"/>
      <c r="K52" s="1665" t="n"/>
      <c r="L52" s="1665" t="n"/>
      <c r="M52" s="1665" t="n"/>
      <c r="N52" s="1665" t="n"/>
      <c r="O52" s="1665" t="n"/>
      <c r="P52" s="1665" t="n"/>
      <c r="Q52" s="1665" t="n"/>
      <c r="R52" s="1665" t="n"/>
      <c r="S52" s="1665" t="n"/>
      <c r="T52" s="1665" t="n"/>
      <c r="U52" s="1665" t="n"/>
      <c r="V52" s="1665" t="n"/>
      <c r="W52" s="1665" t="n"/>
      <c r="X52" s="1665" t="n"/>
      <c r="Y52" s="1665" t="n"/>
      <c r="Z52" s="1665" t="n"/>
    </row>
    <row r="53" ht="12.75" customHeight="1" s="1666">
      <c r="B53" s="3164" t="inlineStr">
        <is>
          <t>function getSheet(name) {</t>
        </is>
      </c>
      <c r="G53" s="1665" t="n"/>
      <c r="H53" s="1665" t="n"/>
      <c r="I53" s="1665" t="n"/>
      <c r="J53" s="1665" t="n"/>
      <c r="K53" s="1665" t="n"/>
      <c r="L53" s="1665" t="n"/>
      <c r="M53" s="1665" t="n"/>
      <c r="N53" s="1665" t="n"/>
      <c r="O53" s="1665" t="n"/>
      <c r="P53" s="1665" t="n"/>
      <c r="Q53" s="1665" t="n"/>
      <c r="R53" s="1665" t="n"/>
      <c r="S53" s="1665" t="n"/>
      <c r="T53" s="1665" t="n"/>
      <c r="U53" s="1665" t="n"/>
      <c r="V53" s="1665" t="n"/>
      <c r="W53" s="1665" t="n"/>
      <c r="X53" s="1665" t="n"/>
      <c r="Y53" s="1665" t="n"/>
      <c r="Z53" s="1665" t="n"/>
    </row>
    <row r="54" ht="12.75" customHeight="1" s="1666">
      <c r="B54" s="3164" t="inlineStr">
        <is>
          <t xml:space="preserve">  const s = SpreadsheetApp.getActiveSpreadsheet().getSheetByName(name);</t>
        </is>
      </c>
      <c r="G54" s="1665" t="n"/>
      <c r="H54" s="1665" t="n"/>
      <c r="I54" s="1665" t="n"/>
      <c r="J54" s="1665" t="n"/>
      <c r="K54" s="1665" t="n"/>
      <c r="L54" s="1665" t="n"/>
      <c r="M54" s="1665" t="n"/>
      <c r="N54" s="1665" t="n"/>
      <c r="O54" s="1665" t="n"/>
      <c r="P54" s="1665" t="n"/>
      <c r="Q54" s="1665" t="n"/>
      <c r="R54" s="1665" t="n"/>
      <c r="S54" s="1665" t="n"/>
      <c r="T54" s="1665" t="n"/>
      <c r="U54" s="1665" t="n"/>
      <c r="V54" s="1665" t="n"/>
      <c r="W54" s="1665" t="n"/>
      <c r="X54" s="1665" t="n"/>
      <c r="Y54" s="1665" t="n"/>
      <c r="Z54" s="1665" t="n"/>
    </row>
    <row r="55" ht="12.75" customHeight="1" s="1666">
      <c r="B55" s="3164" t="inlineStr">
        <is>
          <t xml:space="preserve">  if (!s) SpreadsheetApp.getUi().alert('Onglet introuvable: ' + name);</t>
        </is>
      </c>
      <c r="G55" s="1665" t="n"/>
      <c r="H55" s="1665" t="n"/>
      <c r="I55" s="1665" t="n"/>
      <c r="J55" s="1665" t="n"/>
      <c r="K55" s="1665" t="n"/>
      <c r="L55" s="1665" t="n"/>
      <c r="M55" s="1665" t="n"/>
      <c r="N55" s="1665" t="n"/>
      <c r="O55" s="1665" t="n"/>
      <c r="P55" s="1665" t="n"/>
      <c r="Q55" s="1665" t="n"/>
      <c r="R55" s="1665" t="n"/>
      <c r="S55" s="1665" t="n"/>
      <c r="T55" s="1665" t="n"/>
      <c r="U55" s="1665" t="n"/>
      <c r="V55" s="1665" t="n"/>
      <c r="W55" s="1665" t="n"/>
      <c r="X55" s="1665" t="n"/>
      <c r="Y55" s="1665" t="n"/>
      <c r="Z55" s="1665" t="n"/>
    </row>
    <row r="56" ht="12.75" customHeight="1" s="1666">
      <c r="B56" s="3164" t="inlineStr">
        <is>
          <t xml:space="preserve">  return s;</t>
        </is>
      </c>
      <c r="G56" s="1665" t="n"/>
      <c r="H56" s="1665" t="n"/>
      <c r="I56" s="1665" t="n"/>
      <c r="J56" s="1665" t="n"/>
      <c r="K56" s="1665" t="n"/>
      <c r="L56" s="1665" t="n"/>
      <c r="M56" s="1665" t="n"/>
      <c r="N56" s="1665" t="n"/>
      <c r="O56" s="1665" t="n"/>
      <c r="P56" s="1665" t="n"/>
      <c r="Q56" s="1665" t="n"/>
      <c r="R56" s="1665" t="n"/>
      <c r="S56" s="1665" t="n"/>
      <c r="T56" s="1665" t="n"/>
      <c r="U56" s="1665" t="n"/>
      <c r="V56" s="1665" t="n"/>
      <c r="W56" s="1665" t="n"/>
      <c r="X56" s="1665" t="n"/>
      <c r="Y56" s="1665" t="n"/>
      <c r="Z56" s="1665" t="n"/>
    </row>
    <row r="57" ht="12.75" customHeight="1" s="1666">
      <c r="B57" s="3164" t="inlineStr">
        <is>
          <t>}</t>
        </is>
      </c>
      <c r="G57" s="1665" t="n"/>
      <c r="H57" s="1665" t="n"/>
      <c r="I57" s="1665" t="n"/>
      <c r="J57" s="1665" t="n"/>
      <c r="K57" s="1665" t="n"/>
      <c r="L57" s="1665" t="n"/>
      <c r="M57" s="1665" t="n"/>
      <c r="N57" s="1665" t="n"/>
      <c r="O57" s="1665" t="n"/>
      <c r="P57" s="1665" t="n"/>
      <c r="Q57" s="1665" t="n"/>
      <c r="R57" s="1665" t="n"/>
      <c r="S57" s="1665" t="n"/>
      <c r="T57" s="1665" t="n"/>
      <c r="U57" s="1665" t="n"/>
      <c r="V57" s="1665" t="n"/>
      <c r="W57" s="1665" t="n"/>
      <c r="X57" s="1665" t="n"/>
      <c r="Y57" s="1665" t="n"/>
      <c r="Z57" s="1665" t="n"/>
    </row>
    <row r="58" ht="12.75" customHeight="1" s="1666">
      <c r="B58" s="3164" t="n"/>
      <c r="G58" s="1665" t="n"/>
      <c r="H58" s="1665" t="n"/>
      <c r="I58" s="1665" t="n"/>
      <c r="J58" s="1665" t="n"/>
      <c r="K58" s="1665" t="n"/>
      <c r="L58" s="1665" t="n"/>
      <c r="M58" s="1665" t="n"/>
      <c r="N58" s="1665" t="n"/>
      <c r="O58" s="1665" t="n"/>
      <c r="P58" s="1665" t="n"/>
      <c r="Q58" s="1665" t="n"/>
      <c r="R58" s="1665" t="n"/>
      <c r="S58" s="1665" t="n"/>
      <c r="T58" s="1665" t="n"/>
      <c r="U58" s="1665" t="n"/>
      <c r="V58" s="1665" t="n"/>
      <c r="W58" s="1665" t="n"/>
      <c r="X58" s="1665" t="n"/>
      <c r="Y58" s="1665" t="n"/>
      <c r="Z58" s="1665" t="n"/>
    </row>
    <row r="59" ht="12.75" customHeight="1" s="1666">
      <c r="B59" s="3164" t="inlineStr">
        <is>
          <t>function toast(msg, title) {</t>
        </is>
      </c>
      <c r="G59" s="1665" t="n"/>
      <c r="H59" s="1665" t="n"/>
      <c r="I59" s="1665" t="n"/>
      <c r="J59" s="1665" t="n"/>
      <c r="K59" s="1665" t="n"/>
      <c r="L59" s="1665" t="n"/>
      <c r="M59" s="1665" t="n"/>
      <c r="N59" s="1665" t="n"/>
      <c r="O59" s="1665" t="n"/>
      <c r="P59" s="1665" t="n"/>
      <c r="Q59" s="1665" t="n"/>
      <c r="R59" s="1665" t="n"/>
      <c r="S59" s="1665" t="n"/>
      <c r="T59" s="1665" t="n"/>
      <c r="U59" s="1665" t="n"/>
      <c r="V59" s="1665" t="n"/>
      <c r="W59" s="1665" t="n"/>
      <c r="X59" s="1665" t="n"/>
      <c r="Y59" s="1665" t="n"/>
      <c r="Z59" s="1665" t="n"/>
    </row>
    <row r="60" ht="12.75" customHeight="1" s="1666">
      <c r="B60" s="3164" t="inlineStr">
        <is>
          <t xml:space="preserve">  SpreadsheetApp.getActiveSpreadsheet().toast(msg, title || '📊', 3);</t>
        </is>
      </c>
      <c r="G60" s="1665" t="n"/>
      <c r="H60" s="1665" t="n"/>
      <c r="I60" s="1665" t="n"/>
      <c r="J60" s="1665" t="n"/>
      <c r="K60" s="1665" t="n"/>
      <c r="L60" s="1665" t="n"/>
      <c r="M60" s="1665" t="n"/>
      <c r="N60" s="1665" t="n"/>
      <c r="O60" s="1665" t="n"/>
      <c r="P60" s="1665" t="n"/>
      <c r="Q60" s="1665" t="n"/>
      <c r="R60" s="1665" t="n"/>
      <c r="S60" s="1665" t="n"/>
      <c r="T60" s="1665" t="n"/>
      <c r="U60" s="1665" t="n"/>
      <c r="V60" s="1665" t="n"/>
      <c r="W60" s="1665" t="n"/>
      <c r="X60" s="1665" t="n"/>
      <c r="Y60" s="1665" t="n"/>
      <c r="Z60" s="1665" t="n"/>
    </row>
    <row r="61" ht="12.75" customHeight="1" s="1666">
      <c r="B61" s="3164" t="inlineStr">
        <is>
          <t>}</t>
        </is>
      </c>
      <c r="G61" s="1665" t="n"/>
      <c r="H61" s="1665" t="n"/>
      <c r="I61" s="1665" t="n"/>
      <c r="J61" s="1665" t="n"/>
      <c r="K61" s="1665" t="n"/>
      <c r="L61" s="1665" t="n"/>
      <c r="M61" s="1665" t="n"/>
      <c r="N61" s="1665" t="n"/>
      <c r="O61" s="1665" t="n"/>
      <c r="P61" s="1665" t="n"/>
      <c r="Q61" s="1665" t="n"/>
      <c r="R61" s="1665" t="n"/>
      <c r="S61" s="1665" t="n"/>
      <c r="T61" s="1665" t="n"/>
      <c r="U61" s="1665" t="n"/>
      <c r="V61" s="1665" t="n"/>
      <c r="W61" s="1665" t="n"/>
      <c r="X61" s="1665" t="n"/>
      <c r="Y61" s="1665" t="n"/>
      <c r="Z61" s="1665" t="n"/>
    </row>
    <row r="62" ht="12.75" customHeight="1" s="1666">
      <c r="B62" s="3164" t="n"/>
      <c r="G62" s="1665" t="n"/>
      <c r="H62" s="1665" t="n"/>
      <c r="I62" s="1665" t="n"/>
      <c r="J62" s="1665" t="n"/>
      <c r="K62" s="1665" t="n"/>
      <c r="L62" s="1665" t="n"/>
      <c r="M62" s="1665" t="n"/>
      <c r="N62" s="1665" t="n"/>
      <c r="O62" s="1665" t="n"/>
      <c r="P62" s="1665" t="n"/>
      <c r="Q62" s="1665" t="n"/>
      <c r="R62" s="1665" t="n"/>
      <c r="S62" s="1665" t="n"/>
      <c r="T62" s="1665" t="n"/>
      <c r="U62" s="1665" t="n"/>
      <c r="V62" s="1665" t="n"/>
      <c r="W62" s="1665" t="n"/>
      <c r="X62" s="1665" t="n"/>
      <c r="Y62" s="1665" t="n"/>
      <c r="Z62" s="1665" t="n"/>
    </row>
    <row r="63" ht="12.75" customHeight="1" s="1666">
      <c r="B63" s="3164" t="inlineStr">
        <is>
          <t>function sortSheet(sheetName, startRow, endRow, startCol, numCols, compareFn) {</t>
        </is>
      </c>
      <c r="G63" s="1665" t="n"/>
      <c r="H63" s="1665" t="n"/>
      <c r="I63" s="1665" t="n"/>
      <c r="J63" s="1665" t="n"/>
      <c r="K63" s="1665" t="n"/>
      <c r="L63" s="1665" t="n"/>
      <c r="M63" s="1665" t="n"/>
      <c r="N63" s="1665" t="n"/>
      <c r="O63" s="1665" t="n"/>
      <c r="P63" s="1665" t="n"/>
      <c r="Q63" s="1665" t="n"/>
      <c r="R63" s="1665" t="n"/>
      <c r="S63" s="1665" t="n"/>
      <c r="T63" s="1665" t="n"/>
      <c r="U63" s="1665" t="n"/>
      <c r="V63" s="1665" t="n"/>
      <c r="W63" s="1665" t="n"/>
      <c r="X63" s="1665" t="n"/>
      <c r="Y63" s="1665" t="n"/>
      <c r="Z63" s="1665" t="n"/>
    </row>
    <row r="64" ht="12.75" customHeight="1" s="1666">
      <c r="B64" s="3164" t="inlineStr">
        <is>
          <t xml:space="preserve">  const sheet = getSheet(sheetName);</t>
        </is>
      </c>
      <c r="G64" s="1665" t="n"/>
      <c r="H64" s="1665" t="n"/>
      <c r="I64" s="1665" t="n"/>
      <c r="J64" s="1665" t="n"/>
      <c r="K64" s="1665" t="n"/>
      <c r="L64" s="1665" t="n"/>
      <c r="M64" s="1665" t="n"/>
      <c r="N64" s="1665" t="n"/>
      <c r="O64" s="1665" t="n"/>
      <c r="P64" s="1665" t="n"/>
      <c r="Q64" s="1665" t="n"/>
      <c r="R64" s="1665" t="n"/>
      <c r="S64" s="1665" t="n"/>
      <c r="T64" s="1665" t="n"/>
      <c r="U64" s="1665" t="n"/>
      <c r="V64" s="1665" t="n"/>
      <c r="W64" s="1665" t="n"/>
      <c r="X64" s="1665" t="n"/>
      <c r="Y64" s="1665" t="n"/>
      <c r="Z64" s="1665" t="n"/>
    </row>
    <row r="65" ht="12.75" customHeight="1" s="1666">
      <c r="B65" s="3164" t="inlineStr">
        <is>
          <t xml:space="preserve">  if (!sheet) return;</t>
        </is>
      </c>
      <c r="G65" s="1665" t="n"/>
      <c r="H65" s="1665" t="n"/>
      <c r="I65" s="1665" t="n"/>
      <c r="J65" s="1665" t="n"/>
      <c r="K65" s="1665" t="n"/>
      <c r="L65" s="1665" t="n"/>
      <c r="M65" s="1665" t="n"/>
      <c r="N65" s="1665" t="n"/>
      <c r="O65" s="1665" t="n"/>
      <c r="P65" s="1665" t="n"/>
      <c r="Q65" s="1665" t="n"/>
      <c r="R65" s="1665" t="n"/>
      <c r="S65" s="1665" t="n"/>
      <c r="T65" s="1665" t="n"/>
      <c r="U65" s="1665" t="n"/>
      <c r="V65" s="1665" t="n"/>
      <c r="W65" s="1665" t="n"/>
      <c r="X65" s="1665" t="n"/>
      <c r="Y65" s="1665" t="n"/>
      <c r="Z65" s="1665" t="n"/>
    </row>
    <row r="66" ht="12.75" customHeight="1" s="1666">
      <c r="B66" s="3164" t="inlineStr">
        <is>
          <t xml:space="preserve">  const range = sheet.getRange(startRow, startCol, endRow - startRow + 1, numCols);</t>
        </is>
      </c>
      <c r="G66" s="1665" t="n"/>
      <c r="H66" s="1665" t="n"/>
      <c r="I66" s="1665" t="n"/>
      <c r="J66" s="1665" t="n"/>
      <c r="K66" s="1665" t="n"/>
      <c r="L66" s="1665" t="n"/>
      <c r="M66" s="1665" t="n"/>
      <c r="N66" s="1665" t="n"/>
      <c r="O66" s="1665" t="n"/>
      <c r="P66" s="1665" t="n"/>
      <c r="Q66" s="1665" t="n"/>
      <c r="R66" s="1665" t="n"/>
      <c r="S66" s="1665" t="n"/>
      <c r="T66" s="1665" t="n"/>
      <c r="U66" s="1665" t="n"/>
      <c r="V66" s="1665" t="n"/>
      <c r="W66" s="1665" t="n"/>
      <c r="X66" s="1665" t="n"/>
      <c r="Y66" s="1665" t="n"/>
      <c r="Z66" s="1665" t="n"/>
    </row>
    <row r="67" ht="12.75" customHeight="1" s="1666">
      <c r="B67" s="3164" t="inlineStr">
        <is>
          <t xml:space="preserve">  const vals  = range.getValues();</t>
        </is>
      </c>
      <c r="G67" s="1665" t="n"/>
      <c r="H67" s="1665" t="n"/>
      <c r="I67" s="1665" t="n"/>
      <c r="J67" s="1665" t="n"/>
      <c r="K67" s="1665" t="n"/>
      <c r="L67" s="1665" t="n"/>
      <c r="M67" s="1665" t="n"/>
      <c r="N67" s="1665" t="n"/>
      <c r="O67" s="1665" t="n"/>
      <c r="P67" s="1665" t="n"/>
      <c r="Q67" s="1665" t="n"/>
      <c r="R67" s="1665" t="n"/>
      <c r="S67" s="1665" t="n"/>
      <c r="T67" s="1665" t="n"/>
      <c r="U67" s="1665" t="n"/>
      <c r="V67" s="1665" t="n"/>
      <c r="W67" s="1665" t="n"/>
      <c r="X67" s="1665" t="n"/>
      <c r="Y67" s="1665" t="n"/>
      <c r="Z67" s="1665" t="n"/>
    </row>
    <row r="68" ht="12.75" customHeight="1" s="1666">
      <c r="B68" s="3164" t="inlineStr">
        <is>
          <t xml:space="preserve">  const data  = vals.filter(r =&gt; r[0] !== '' &amp;&amp; r[0] !== null &amp;&amp; r[0] !== undefined);</t>
        </is>
      </c>
      <c r="G68" s="1665" t="n"/>
      <c r="H68" s="1665" t="n"/>
      <c r="I68" s="1665" t="n"/>
      <c r="J68" s="1665" t="n"/>
      <c r="K68" s="1665" t="n"/>
      <c r="L68" s="1665" t="n"/>
      <c r="M68" s="1665" t="n"/>
      <c r="N68" s="1665" t="n"/>
      <c r="O68" s="1665" t="n"/>
      <c r="P68" s="1665" t="n"/>
      <c r="Q68" s="1665" t="n"/>
      <c r="R68" s="1665" t="n"/>
      <c r="S68" s="1665" t="n"/>
      <c r="T68" s="1665" t="n"/>
      <c r="U68" s="1665" t="n"/>
      <c r="V68" s="1665" t="n"/>
      <c r="W68" s="1665" t="n"/>
      <c r="X68" s="1665" t="n"/>
      <c r="Y68" s="1665" t="n"/>
      <c r="Z68" s="1665" t="n"/>
    </row>
    <row r="69" ht="12.75" customHeight="1" s="1666">
      <c r="B69" s="3164" t="inlineStr">
        <is>
          <t xml:space="preserve">  const empty = vals.filter(r =&gt; r[0] === '' || r[0] === null || r[0] === undefined);</t>
        </is>
      </c>
      <c r="G69" s="1665" t="n"/>
      <c r="H69" s="1665" t="n"/>
      <c r="I69" s="1665" t="n"/>
      <c r="J69" s="1665" t="n"/>
      <c r="K69" s="1665" t="n"/>
      <c r="L69" s="1665" t="n"/>
      <c r="M69" s="1665" t="n"/>
      <c r="N69" s="1665" t="n"/>
      <c r="O69" s="1665" t="n"/>
      <c r="P69" s="1665" t="n"/>
      <c r="Q69" s="1665" t="n"/>
      <c r="R69" s="1665" t="n"/>
      <c r="S69" s="1665" t="n"/>
      <c r="T69" s="1665" t="n"/>
      <c r="U69" s="1665" t="n"/>
      <c r="V69" s="1665" t="n"/>
      <c r="W69" s="1665" t="n"/>
      <c r="X69" s="1665" t="n"/>
      <c r="Y69" s="1665" t="n"/>
      <c r="Z69" s="1665" t="n"/>
    </row>
    <row r="70" ht="12.75" customHeight="1" s="1666">
      <c r="B70" s="3164" t="inlineStr">
        <is>
          <t xml:space="preserve">  data.sort(compareFn);</t>
        </is>
      </c>
      <c r="G70" s="1665" t="n"/>
      <c r="H70" s="1665" t="n"/>
      <c r="I70" s="1665" t="n"/>
      <c r="J70" s="1665" t="n"/>
      <c r="K70" s="1665" t="n"/>
      <c r="L70" s="1665" t="n"/>
      <c r="M70" s="1665" t="n"/>
      <c r="N70" s="1665" t="n"/>
      <c r="O70" s="1665" t="n"/>
      <c r="P70" s="1665" t="n"/>
      <c r="Q70" s="1665" t="n"/>
      <c r="R70" s="1665" t="n"/>
      <c r="S70" s="1665" t="n"/>
      <c r="T70" s="1665" t="n"/>
      <c r="U70" s="1665" t="n"/>
      <c r="V70" s="1665" t="n"/>
      <c r="W70" s="1665" t="n"/>
      <c r="X70" s="1665" t="n"/>
      <c r="Y70" s="1665" t="n"/>
      <c r="Z70" s="1665" t="n"/>
    </row>
    <row r="71" ht="12.75" customHeight="1" s="1666">
      <c r="B71" s="3164" t="inlineStr">
        <is>
          <t xml:space="preserve">  range.setValues([...data, ...empty]);</t>
        </is>
      </c>
      <c r="G71" s="1665" t="n"/>
      <c r="H71" s="1665" t="n"/>
      <c r="I71" s="1665" t="n"/>
      <c r="J71" s="1665" t="n"/>
      <c r="K71" s="1665" t="n"/>
      <c r="L71" s="1665" t="n"/>
      <c r="M71" s="1665" t="n"/>
      <c r="N71" s="1665" t="n"/>
      <c r="O71" s="1665" t="n"/>
      <c r="P71" s="1665" t="n"/>
      <c r="Q71" s="1665" t="n"/>
      <c r="R71" s="1665" t="n"/>
      <c r="S71" s="1665" t="n"/>
      <c r="T71" s="1665" t="n"/>
      <c r="U71" s="1665" t="n"/>
      <c r="V71" s="1665" t="n"/>
      <c r="W71" s="1665" t="n"/>
      <c r="X71" s="1665" t="n"/>
      <c r="Y71" s="1665" t="n"/>
      <c r="Z71" s="1665" t="n"/>
    </row>
    <row r="72" ht="12.75" customHeight="1" s="1666">
      <c r="B72" s="3164" t="inlineStr">
        <is>
          <t>}</t>
        </is>
      </c>
      <c r="G72" s="1665" t="n"/>
      <c r="H72" s="1665" t="n"/>
      <c r="I72" s="1665" t="n"/>
      <c r="J72" s="1665" t="n"/>
      <c r="K72" s="1665" t="n"/>
      <c r="L72" s="1665" t="n"/>
      <c r="M72" s="1665" t="n"/>
      <c r="N72" s="1665" t="n"/>
      <c r="O72" s="1665" t="n"/>
      <c r="P72" s="1665" t="n"/>
      <c r="Q72" s="1665" t="n"/>
      <c r="R72" s="1665" t="n"/>
      <c r="S72" s="1665" t="n"/>
      <c r="T72" s="1665" t="n"/>
      <c r="U72" s="1665" t="n"/>
      <c r="V72" s="1665" t="n"/>
      <c r="W72" s="1665" t="n"/>
      <c r="X72" s="1665" t="n"/>
      <c r="Y72" s="1665" t="n"/>
      <c r="Z72" s="1665" t="n"/>
    </row>
    <row r="73" ht="12.75" customHeight="1" s="1666">
      <c r="B73" s="3164" t="n"/>
      <c r="G73" s="1665" t="n"/>
      <c r="H73" s="1665" t="n"/>
      <c r="I73" s="1665" t="n"/>
      <c r="J73" s="1665" t="n"/>
      <c r="K73" s="1665" t="n"/>
      <c r="L73" s="1665" t="n"/>
      <c r="M73" s="1665" t="n"/>
      <c r="N73" s="1665" t="n"/>
      <c r="O73" s="1665" t="n"/>
      <c r="P73" s="1665" t="n"/>
      <c r="Q73" s="1665" t="n"/>
      <c r="R73" s="1665" t="n"/>
      <c r="S73" s="1665" t="n"/>
      <c r="T73" s="1665" t="n"/>
      <c r="U73" s="1665" t="n"/>
      <c r="V73" s="1665" t="n"/>
      <c r="W73" s="1665" t="n"/>
      <c r="X73" s="1665" t="n"/>
      <c r="Y73" s="1665" t="n"/>
      <c r="Z73" s="1665" t="n"/>
    </row>
    <row r="74" ht="12.75" customHeight="1" s="1666">
      <c r="B74" s="3164" t="inlineStr">
        <is>
          <t>// ============================================================</t>
        </is>
      </c>
      <c r="G74" s="1665" t="n"/>
      <c r="H74" s="1665" t="n"/>
      <c r="I74" s="1665" t="n"/>
      <c r="J74" s="1665" t="n"/>
      <c r="K74" s="1665" t="n"/>
      <c r="L74" s="1665" t="n"/>
      <c r="M74" s="1665" t="n"/>
      <c r="N74" s="1665" t="n"/>
      <c r="O74" s="1665" t="n"/>
      <c r="P74" s="1665" t="n"/>
      <c r="Q74" s="1665" t="n"/>
      <c r="R74" s="1665" t="n"/>
      <c r="S74" s="1665" t="n"/>
      <c r="T74" s="1665" t="n"/>
      <c r="U74" s="1665" t="n"/>
      <c r="V74" s="1665" t="n"/>
      <c r="W74" s="1665" t="n"/>
      <c r="X74" s="1665" t="n"/>
      <c r="Y74" s="1665" t="n"/>
      <c r="Z74" s="1665" t="n"/>
    </row>
    <row r="75" ht="12.75" customHeight="1" s="1666">
      <c r="B75" s="3164" t="inlineStr">
        <is>
          <t>// TRIER ANALYSE TRIABLE  (startCol=2, 41 rows, 24 cols)</t>
        </is>
      </c>
      <c r="G75" s="1665" t="n"/>
      <c r="H75" s="1665" t="n"/>
      <c r="I75" s="1665" t="n"/>
      <c r="J75" s="1665" t="n"/>
      <c r="K75" s="1665" t="n"/>
      <c r="L75" s="1665" t="n"/>
      <c r="M75" s="1665" t="n"/>
      <c r="N75" s="1665" t="n"/>
      <c r="O75" s="1665" t="n"/>
      <c r="P75" s="1665" t="n"/>
      <c r="Q75" s="1665" t="n"/>
      <c r="R75" s="1665" t="n"/>
      <c r="S75" s="1665" t="n"/>
      <c r="T75" s="1665" t="n"/>
      <c r="U75" s="1665" t="n"/>
      <c r="V75" s="1665" t="n"/>
      <c r="W75" s="1665" t="n"/>
      <c r="X75" s="1665" t="n"/>
      <c r="Y75" s="1665" t="n"/>
      <c r="Z75" s="1665" t="n"/>
    </row>
    <row r="76" ht="12.75" customHeight="1" s="1666">
      <c r="B76" s="3164" t="inlineStr">
        <is>
          <t>// ============================================================</t>
        </is>
      </c>
      <c r="G76" s="1665" t="n"/>
      <c r="H76" s="1665" t="n"/>
      <c r="I76" s="1665" t="n"/>
      <c r="J76" s="1665" t="n"/>
      <c r="K76" s="1665" t="n"/>
      <c r="L76" s="1665" t="n"/>
      <c r="M76" s="1665" t="n"/>
      <c r="N76" s="1665" t="n"/>
      <c r="O76" s="1665" t="n"/>
      <c r="P76" s="1665" t="n"/>
      <c r="Q76" s="1665" t="n"/>
      <c r="R76" s="1665" t="n"/>
      <c r="S76" s="1665" t="n"/>
      <c r="T76" s="1665" t="n"/>
      <c r="U76" s="1665" t="n"/>
      <c r="V76" s="1665" t="n"/>
      <c r="W76" s="1665" t="n"/>
      <c r="X76" s="1665" t="n"/>
      <c r="Y76" s="1665" t="n"/>
      <c r="Z76" s="1665" t="n"/>
    </row>
    <row r="77" ht="12.75" customHeight="1" s="1666">
      <c r="B77" s="3164" t="inlineStr">
        <is>
          <t>function at_trierValeur() {</t>
        </is>
      </c>
      <c r="G77" s="1665" t="n"/>
      <c r="H77" s="1665" t="n"/>
      <c r="I77" s="1665" t="n"/>
      <c r="J77" s="1665" t="n"/>
      <c r="K77" s="1665" t="n"/>
      <c r="L77" s="1665" t="n"/>
      <c r="M77" s="1665" t="n"/>
      <c r="N77" s="1665" t="n"/>
      <c r="O77" s="1665" t="n"/>
      <c r="P77" s="1665" t="n"/>
      <c r="Q77" s="1665" t="n"/>
      <c r="R77" s="1665" t="n"/>
      <c r="S77" s="1665" t="n"/>
      <c r="T77" s="1665" t="n"/>
      <c r="U77" s="1665" t="n"/>
      <c r="V77" s="1665" t="n"/>
      <c r="W77" s="1665" t="n"/>
      <c r="X77" s="1665" t="n"/>
      <c r="Y77" s="1665" t="n"/>
      <c r="Z77" s="1665" t="n"/>
    </row>
    <row r="78" ht="12.75" customHeight="1" s="1666">
      <c r="B78" s="3164" t="inlineStr">
        <is>
          <t xml:space="preserve">  sortSheet('🔍 ANALYSE TRIABLE', 8, 48, 2, 24, (a,b) =&gt; (b[10]||0)-(a[10]||0));</t>
        </is>
      </c>
      <c r="G78" s="1665" t="n"/>
      <c r="H78" s="1665" t="n"/>
      <c r="I78" s="1665" t="n"/>
      <c r="J78" s="1665" t="n"/>
      <c r="K78" s="1665" t="n"/>
      <c r="L78" s="1665" t="n"/>
      <c r="M78" s="1665" t="n"/>
      <c r="N78" s="1665" t="n"/>
      <c r="O78" s="1665" t="n"/>
      <c r="P78" s="1665" t="n"/>
      <c r="Q78" s="1665" t="n"/>
      <c r="R78" s="1665" t="n"/>
      <c r="S78" s="1665" t="n"/>
      <c r="T78" s="1665" t="n"/>
      <c r="U78" s="1665" t="n"/>
      <c r="V78" s="1665" t="n"/>
      <c r="W78" s="1665" t="n"/>
      <c r="X78" s="1665" t="n"/>
      <c r="Y78" s="1665" t="n"/>
      <c r="Z78" s="1665" t="n"/>
    </row>
    <row r="79" ht="12.75" customHeight="1" s="1666">
      <c r="B79" s="3164" t="inlineStr">
        <is>
          <t xml:space="preserve">  toast('✅ Trié par Valeur CAD ↓', 'ANALYSE TRIABLE');</t>
        </is>
      </c>
      <c r="G79" s="1665" t="n"/>
      <c r="H79" s="1665" t="n"/>
      <c r="I79" s="1665" t="n"/>
      <c r="J79" s="1665" t="n"/>
      <c r="K79" s="1665" t="n"/>
      <c r="L79" s="1665" t="n"/>
      <c r="M79" s="1665" t="n"/>
      <c r="N79" s="1665" t="n"/>
      <c r="O79" s="1665" t="n"/>
      <c r="P79" s="1665" t="n"/>
      <c r="Q79" s="1665" t="n"/>
      <c r="R79" s="1665" t="n"/>
      <c r="S79" s="1665" t="n"/>
      <c r="T79" s="1665" t="n"/>
      <c r="U79" s="1665" t="n"/>
      <c r="V79" s="1665" t="n"/>
      <c r="W79" s="1665" t="n"/>
      <c r="X79" s="1665" t="n"/>
      <c r="Y79" s="1665" t="n"/>
      <c r="Z79" s="1665" t="n"/>
    </row>
    <row r="80" ht="12.75" customHeight="1" s="1666">
      <c r="B80" s="3164" t="inlineStr">
        <is>
          <t>}</t>
        </is>
      </c>
      <c r="G80" s="1665" t="n"/>
      <c r="H80" s="1665" t="n"/>
      <c r="I80" s="1665" t="n"/>
      <c r="J80" s="1665" t="n"/>
      <c r="K80" s="1665" t="n"/>
      <c r="L80" s="1665" t="n"/>
      <c r="M80" s="1665" t="n"/>
      <c r="N80" s="1665" t="n"/>
      <c r="O80" s="1665" t="n"/>
      <c r="P80" s="1665" t="n"/>
      <c r="Q80" s="1665" t="n"/>
      <c r="R80" s="1665" t="n"/>
      <c r="S80" s="1665" t="n"/>
      <c r="T80" s="1665" t="n"/>
      <c r="U80" s="1665" t="n"/>
      <c r="V80" s="1665" t="n"/>
      <c r="W80" s="1665" t="n"/>
      <c r="X80" s="1665" t="n"/>
      <c r="Y80" s="1665" t="n"/>
      <c r="Z80" s="1665" t="n"/>
    </row>
    <row r="81" ht="12.75" customHeight="1" s="1666">
      <c r="B81" s="3164" t="n"/>
      <c r="G81" s="1665" t="n"/>
      <c r="H81" s="1665" t="n"/>
      <c r="I81" s="1665" t="n"/>
      <c r="J81" s="1665" t="n"/>
      <c r="K81" s="1665" t="n"/>
      <c r="L81" s="1665" t="n"/>
      <c r="M81" s="1665" t="n"/>
      <c r="N81" s="1665" t="n"/>
      <c r="O81" s="1665" t="n"/>
      <c r="P81" s="1665" t="n"/>
      <c r="Q81" s="1665" t="n"/>
      <c r="R81" s="1665" t="n"/>
      <c r="S81" s="1665" t="n"/>
      <c r="T81" s="1665" t="n"/>
      <c r="U81" s="1665" t="n"/>
      <c r="V81" s="1665" t="n"/>
      <c r="W81" s="1665" t="n"/>
      <c r="X81" s="1665" t="n"/>
      <c r="Y81" s="1665" t="n"/>
      <c r="Z81" s="1665" t="n"/>
    </row>
    <row r="82" ht="12.75" customHeight="1" s="1666">
      <c r="B82" s="3164" t="inlineStr">
        <is>
          <t>function at_trierGain() {</t>
        </is>
      </c>
      <c r="G82" s="1665" t="n"/>
      <c r="H82" s="1665" t="n"/>
      <c r="I82" s="1665" t="n"/>
      <c r="J82" s="1665" t="n"/>
      <c r="K82" s="1665" t="n"/>
      <c r="L82" s="1665" t="n"/>
      <c r="M82" s="1665" t="n"/>
      <c r="N82" s="1665" t="n"/>
      <c r="O82" s="1665" t="n"/>
      <c r="P82" s="1665" t="n"/>
      <c r="Q82" s="1665" t="n"/>
      <c r="R82" s="1665" t="n"/>
      <c r="S82" s="1665" t="n"/>
      <c r="T82" s="1665" t="n"/>
      <c r="U82" s="1665" t="n"/>
      <c r="V82" s="1665" t="n"/>
      <c r="W82" s="1665" t="n"/>
      <c r="X82" s="1665" t="n"/>
      <c r="Y82" s="1665" t="n"/>
      <c r="Z82" s="1665" t="n"/>
    </row>
    <row r="83" ht="12.75" customHeight="1" s="1666">
      <c r="B83" s="3164" t="inlineStr">
        <is>
          <t xml:space="preserve">  sortSheet('🔍 ANALYSE TRIABLE', 8, 48, 2, 24, (a,b) =&gt; (b[12]||0)-(a[12]||0));</t>
        </is>
      </c>
      <c r="G83" s="1665" t="n"/>
      <c r="H83" s="1665" t="n"/>
      <c r="I83" s="1665" t="n"/>
      <c r="J83" s="1665" t="n"/>
      <c r="K83" s="1665" t="n"/>
      <c r="L83" s="1665" t="n"/>
      <c r="M83" s="1665" t="n"/>
      <c r="N83" s="1665" t="n"/>
      <c r="O83" s="1665" t="n"/>
      <c r="P83" s="1665" t="n"/>
      <c r="Q83" s="1665" t="n"/>
      <c r="R83" s="1665" t="n"/>
      <c r="S83" s="1665" t="n"/>
      <c r="T83" s="1665" t="n"/>
      <c r="U83" s="1665" t="n"/>
      <c r="V83" s="1665" t="n"/>
      <c r="W83" s="1665" t="n"/>
      <c r="X83" s="1665" t="n"/>
      <c r="Y83" s="1665" t="n"/>
      <c r="Z83" s="1665" t="n"/>
    </row>
    <row r="84" ht="12.75" customHeight="1" s="1666">
      <c r="B84" s="3164" t="inlineStr">
        <is>
          <t xml:space="preserve">  toast('✅ Trié par Gain % ↓', 'ANALYSE TRIABLE');</t>
        </is>
      </c>
      <c r="G84" s="1665" t="n"/>
      <c r="H84" s="1665" t="n"/>
      <c r="I84" s="1665" t="n"/>
      <c r="J84" s="1665" t="n"/>
      <c r="K84" s="1665" t="n"/>
      <c r="L84" s="1665" t="n"/>
      <c r="M84" s="1665" t="n"/>
      <c r="N84" s="1665" t="n"/>
      <c r="O84" s="1665" t="n"/>
      <c r="P84" s="1665" t="n"/>
      <c r="Q84" s="1665" t="n"/>
      <c r="R84" s="1665" t="n"/>
      <c r="S84" s="1665" t="n"/>
      <c r="T84" s="1665" t="n"/>
      <c r="U84" s="1665" t="n"/>
      <c r="V84" s="1665" t="n"/>
      <c r="W84" s="1665" t="n"/>
      <c r="X84" s="1665" t="n"/>
      <c r="Y84" s="1665" t="n"/>
      <c r="Z84" s="1665" t="n"/>
    </row>
    <row r="85" ht="12.75" customHeight="1" s="1666">
      <c r="B85" s="3164" t="inlineStr">
        <is>
          <t>}</t>
        </is>
      </c>
      <c r="G85" s="1665" t="n"/>
      <c r="H85" s="1665" t="n"/>
      <c r="I85" s="1665" t="n"/>
      <c r="J85" s="1665" t="n"/>
      <c r="K85" s="1665" t="n"/>
      <c r="L85" s="1665" t="n"/>
      <c r="M85" s="1665" t="n"/>
      <c r="N85" s="1665" t="n"/>
      <c r="O85" s="1665" t="n"/>
      <c r="P85" s="1665" t="n"/>
      <c r="Q85" s="1665" t="n"/>
      <c r="R85" s="1665" t="n"/>
      <c r="S85" s="1665" t="n"/>
      <c r="T85" s="1665" t="n"/>
      <c r="U85" s="1665" t="n"/>
      <c r="V85" s="1665" t="n"/>
      <c r="W85" s="1665" t="n"/>
      <c r="X85" s="1665" t="n"/>
      <c r="Y85" s="1665" t="n"/>
      <c r="Z85" s="1665" t="n"/>
    </row>
    <row r="86" ht="12.75" customHeight="1" s="1666">
      <c r="B86" s="3164" t="n"/>
      <c r="G86" s="1665" t="n"/>
      <c r="H86" s="1665" t="n"/>
      <c r="I86" s="1665" t="n"/>
      <c r="J86" s="1665" t="n"/>
      <c r="K86" s="1665" t="n"/>
      <c r="L86" s="1665" t="n"/>
      <c r="M86" s="1665" t="n"/>
      <c r="N86" s="1665" t="n"/>
      <c r="O86" s="1665" t="n"/>
      <c r="P86" s="1665" t="n"/>
      <c r="Q86" s="1665" t="n"/>
      <c r="R86" s="1665" t="n"/>
      <c r="S86" s="1665" t="n"/>
      <c r="T86" s="1665" t="n"/>
      <c r="U86" s="1665" t="n"/>
      <c r="V86" s="1665" t="n"/>
      <c r="W86" s="1665" t="n"/>
      <c r="X86" s="1665" t="n"/>
      <c r="Y86" s="1665" t="n"/>
      <c r="Z86" s="1665" t="n"/>
    </row>
    <row r="87" ht="12.75" customHeight="1" s="1666">
      <c r="B87" s="3164" t="inlineStr">
        <is>
          <t>function at_trierDiv() {</t>
        </is>
      </c>
      <c r="G87" s="1665" t="n"/>
      <c r="H87" s="1665" t="n"/>
      <c r="I87" s="1665" t="n"/>
      <c r="J87" s="1665" t="n"/>
      <c r="K87" s="1665" t="n"/>
      <c r="L87" s="1665" t="n"/>
      <c r="M87" s="1665" t="n"/>
      <c r="N87" s="1665" t="n"/>
      <c r="O87" s="1665" t="n"/>
      <c r="P87" s="1665" t="n"/>
      <c r="Q87" s="1665" t="n"/>
      <c r="R87" s="1665" t="n"/>
      <c r="S87" s="1665" t="n"/>
      <c r="T87" s="1665" t="n"/>
      <c r="U87" s="1665" t="n"/>
      <c r="V87" s="1665" t="n"/>
      <c r="W87" s="1665" t="n"/>
      <c r="X87" s="1665" t="n"/>
      <c r="Y87" s="1665" t="n"/>
      <c r="Z87" s="1665" t="n"/>
    </row>
    <row r="88" ht="12.75" customHeight="1" s="1666">
      <c r="B88" s="3164" t="inlineStr">
        <is>
          <t xml:space="preserve">  sortSheet('🔍 ANALYSE TRIABLE', 8, 48, 2, 24, (a,b) =&gt; (b[15]||0)-(a[15]||0));</t>
        </is>
      </c>
      <c r="G88" s="1665" t="n"/>
      <c r="H88" s="1665" t="n"/>
      <c r="I88" s="1665" t="n"/>
      <c r="J88" s="1665" t="n"/>
      <c r="K88" s="1665" t="n"/>
      <c r="L88" s="1665" t="n"/>
      <c r="M88" s="1665" t="n"/>
      <c r="N88" s="1665" t="n"/>
      <c r="O88" s="1665" t="n"/>
      <c r="P88" s="1665" t="n"/>
      <c r="Q88" s="1665" t="n"/>
      <c r="R88" s="1665" t="n"/>
      <c r="S88" s="1665" t="n"/>
      <c r="T88" s="1665" t="n"/>
      <c r="U88" s="1665" t="n"/>
      <c r="V88" s="1665" t="n"/>
      <c r="W88" s="1665" t="n"/>
      <c r="X88" s="1665" t="n"/>
      <c r="Y88" s="1665" t="n"/>
      <c r="Z88" s="1665" t="n"/>
    </row>
    <row r="89" ht="12.75" customHeight="1" s="1666">
      <c r="B89" s="3164" t="inlineStr">
        <is>
          <t xml:space="preserve">  toast('✅ Trié par Dividende ↓', 'ANALYSE TRIABLE');</t>
        </is>
      </c>
      <c r="G89" s="1665" t="n"/>
      <c r="H89" s="1665" t="n"/>
      <c r="I89" s="1665" t="n"/>
      <c r="J89" s="1665" t="n"/>
      <c r="K89" s="1665" t="n"/>
      <c r="L89" s="1665" t="n"/>
      <c r="M89" s="1665" t="n"/>
      <c r="N89" s="1665" t="n"/>
      <c r="O89" s="1665" t="n"/>
      <c r="P89" s="1665" t="n"/>
      <c r="Q89" s="1665" t="n"/>
      <c r="R89" s="1665" t="n"/>
      <c r="S89" s="1665" t="n"/>
      <c r="T89" s="1665" t="n"/>
      <c r="U89" s="1665" t="n"/>
      <c r="V89" s="1665" t="n"/>
      <c r="W89" s="1665" t="n"/>
      <c r="X89" s="1665" t="n"/>
      <c r="Y89" s="1665" t="n"/>
      <c r="Z89" s="1665" t="n"/>
    </row>
    <row r="90" ht="12.75" customHeight="1" s="1666">
      <c r="B90" s="3164" t="inlineStr">
        <is>
          <t>}</t>
        </is>
      </c>
      <c r="G90" s="1665" t="n"/>
      <c r="H90" s="1665" t="n"/>
      <c r="I90" s="1665" t="n"/>
      <c r="J90" s="1665" t="n"/>
      <c r="K90" s="1665" t="n"/>
      <c r="L90" s="1665" t="n"/>
      <c r="M90" s="1665" t="n"/>
      <c r="N90" s="1665" t="n"/>
      <c r="O90" s="1665" t="n"/>
      <c r="P90" s="1665" t="n"/>
      <c r="Q90" s="1665" t="n"/>
      <c r="R90" s="1665" t="n"/>
      <c r="S90" s="1665" t="n"/>
      <c r="T90" s="1665" t="n"/>
      <c r="U90" s="1665" t="n"/>
      <c r="V90" s="1665" t="n"/>
      <c r="W90" s="1665" t="n"/>
      <c r="X90" s="1665" t="n"/>
      <c r="Y90" s="1665" t="n"/>
      <c r="Z90" s="1665" t="n"/>
    </row>
    <row r="91" ht="12.75" customHeight="1" s="1666">
      <c r="B91" s="3164" t="n"/>
      <c r="G91" s="1665" t="n"/>
      <c r="H91" s="1665" t="n"/>
      <c r="I91" s="1665" t="n"/>
      <c r="J91" s="1665" t="n"/>
      <c r="K91" s="1665" t="n"/>
      <c r="L91" s="1665" t="n"/>
      <c r="M91" s="1665" t="n"/>
      <c r="N91" s="1665" t="n"/>
      <c r="O91" s="1665" t="n"/>
      <c r="P91" s="1665" t="n"/>
      <c r="Q91" s="1665" t="n"/>
      <c r="R91" s="1665" t="n"/>
      <c r="S91" s="1665" t="n"/>
      <c r="T91" s="1665" t="n"/>
      <c r="U91" s="1665" t="n"/>
      <c r="V91" s="1665" t="n"/>
      <c r="W91" s="1665" t="n"/>
      <c r="X91" s="1665" t="n"/>
      <c r="Y91" s="1665" t="n"/>
      <c r="Z91" s="1665" t="n"/>
    </row>
    <row r="92" ht="12.75" customHeight="1" s="1666">
      <c r="B92" s="3164" t="inlineStr">
        <is>
          <t>function at_trierTier() {</t>
        </is>
      </c>
      <c r="G92" s="1665" t="n"/>
      <c r="H92" s="1665" t="n"/>
      <c r="I92" s="1665" t="n"/>
      <c r="J92" s="1665" t="n"/>
      <c r="K92" s="1665" t="n"/>
      <c r="L92" s="1665" t="n"/>
      <c r="M92" s="1665" t="n"/>
      <c r="N92" s="1665" t="n"/>
      <c r="O92" s="1665" t="n"/>
      <c r="P92" s="1665" t="n"/>
      <c r="Q92" s="1665" t="n"/>
      <c r="R92" s="1665" t="n"/>
      <c r="S92" s="1665" t="n"/>
      <c r="T92" s="1665" t="n"/>
      <c r="U92" s="1665" t="n"/>
      <c r="V92" s="1665" t="n"/>
      <c r="W92" s="1665" t="n"/>
      <c r="X92" s="1665" t="n"/>
      <c r="Y92" s="1665" t="n"/>
      <c r="Z92" s="1665" t="n"/>
    </row>
    <row r="93" ht="12.75" customHeight="1" s="1666">
      <c r="B93" s="3164" t="inlineStr">
        <is>
          <t xml:space="preserve">  sortSheet('🔍 ANALYSE TRIABLE', 8, 48, 2, 24, (a,b) =&gt; {</t>
        </is>
      </c>
      <c r="G93" s="1665" t="n"/>
      <c r="H93" s="1665" t="n"/>
      <c r="I93" s="1665" t="n"/>
      <c r="J93" s="1665" t="n"/>
      <c r="K93" s="1665" t="n"/>
      <c r="L93" s="1665" t="n"/>
      <c r="M93" s="1665" t="n"/>
      <c r="N93" s="1665" t="n"/>
      <c r="O93" s="1665" t="n"/>
      <c r="P93" s="1665" t="n"/>
      <c r="Q93" s="1665" t="n"/>
      <c r="R93" s="1665" t="n"/>
      <c r="S93" s="1665" t="n"/>
      <c r="T93" s="1665" t="n"/>
      <c r="U93" s="1665" t="n"/>
      <c r="V93" s="1665" t="n"/>
      <c r="W93" s="1665" t="n"/>
      <c r="X93" s="1665" t="n"/>
      <c r="Y93" s="1665" t="n"/>
      <c r="Z93" s="1665" t="n"/>
    </row>
    <row r="94" ht="12.75" customHeight="1" s="1666">
      <c r="B94" s="3164" t="inlineStr">
        <is>
          <t xml:space="preserve">    if (a[3] !== b[3]) return (a[3]||'Z').localeCompare(b[3]||'Z');</t>
        </is>
      </c>
      <c r="G94" s="1665" t="n"/>
      <c r="H94" s="1665" t="n"/>
      <c r="I94" s="1665" t="n"/>
      <c r="J94" s="1665" t="n"/>
      <c r="K94" s="1665" t="n"/>
      <c r="L94" s="1665" t="n"/>
      <c r="M94" s="1665" t="n"/>
      <c r="N94" s="1665" t="n"/>
      <c r="O94" s="1665" t="n"/>
      <c r="P94" s="1665" t="n"/>
      <c r="Q94" s="1665" t="n"/>
      <c r="R94" s="1665" t="n"/>
      <c r="S94" s="1665" t="n"/>
      <c r="T94" s="1665" t="n"/>
      <c r="U94" s="1665" t="n"/>
      <c r="V94" s="1665" t="n"/>
      <c r="W94" s="1665" t="n"/>
      <c r="X94" s="1665" t="n"/>
      <c r="Y94" s="1665" t="n"/>
      <c r="Z94" s="1665" t="n"/>
    </row>
    <row r="95" ht="12.75" customHeight="1" s="1666">
      <c r="B95" s="3164" t="inlineStr">
        <is>
          <t xml:space="preserve">    return (b[10]||0) - (a[10]||0);</t>
        </is>
      </c>
      <c r="G95" s="1665" t="n"/>
      <c r="H95" s="1665" t="n"/>
      <c r="I95" s="1665" t="n"/>
      <c r="J95" s="1665" t="n"/>
      <c r="K95" s="1665" t="n"/>
      <c r="L95" s="1665" t="n"/>
      <c r="M95" s="1665" t="n"/>
      <c r="N95" s="1665" t="n"/>
      <c r="O95" s="1665" t="n"/>
      <c r="P95" s="1665" t="n"/>
      <c r="Q95" s="1665" t="n"/>
      <c r="R95" s="1665" t="n"/>
      <c r="S95" s="1665" t="n"/>
      <c r="T95" s="1665" t="n"/>
      <c r="U95" s="1665" t="n"/>
      <c r="V95" s="1665" t="n"/>
      <c r="W95" s="1665" t="n"/>
      <c r="X95" s="1665" t="n"/>
      <c r="Y95" s="1665" t="n"/>
      <c r="Z95" s="1665" t="n"/>
    </row>
    <row r="96" ht="12.75" customHeight="1" s="1666">
      <c r="B96" s="3164" t="inlineStr">
        <is>
          <t xml:space="preserve">  });</t>
        </is>
      </c>
      <c r="G96" s="1665" t="n"/>
      <c r="H96" s="1665" t="n"/>
      <c r="I96" s="1665" t="n"/>
      <c r="J96" s="1665" t="n"/>
      <c r="K96" s="1665" t="n"/>
      <c r="L96" s="1665" t="n"/>
      <c r="M96" s="1665" t="n"/>
      <c r="N96" s="1665" t="n"/>
      <c r="O96" s="1665" t="n"/>
      <c r="P96" s="1665" t="n"/>
      <c r="Q96" s="1665" t="n"/>
      <c r="R96" s="1665" t="n"/>
      <c r="S96" s="1665" t="n"/>
      <c r="T96" s="1665" t="n"/>
      <c r="U96" s="1665" t="n"/>
      <c r="V96" s="1665" t="n"/>
      <c r="W96" s="1665" t="n"/>
      <c r="X96" s="1665" t="n"/>
      <c r="Y96" s="1665" t="n"/>
      <c r="Z96" s="1665" t="n"/>
    </row>
    <row r="97" ht="12.75" customHeight="1" s="1666">
      <c r="B97" s="3164" t="inlineStr">
        <is>
          <t xml:space="preserve">  toast('✅ Trié Tier → Valeur', 'ANALYSE TRIABLE');</t>
        </is>
      </c>
      <c r="G97" s="1665" t="n"/>
      <c r="H97" s="1665" t="n"/>
      <c r="I97" s="1665" t="n"/>
      <c r="J97" s="1665" t="n"/>
      <c r="K97" s="1665" t="n"/>
      <c r="L97" s="1665" t="n"/>
      <c r="M97" s="1665" t="n"/>
      <c r="N97" s="1665" t="n"/>
      <c r="O97" s="1665" t="n"/>
      <c r="P97" s="1665" t="n"/>
      <c r="Q97" s="1665" t="n"/>
      <c r="R97" s="1665" t="n"/>
      <c r="S97" s="1665" t="n"/>
      <c r="T97" s="1665" t="n"/>
      <c r="U97" s="1665" t="n"/>
      <c r="V97" s="1665" t="n"/>
      <c r="W97" s="1665" t="n"/>
      <c r="X97" s="1665" t="n"/>
      <c r="Y97" s="1665" t="n"/>
      <c r="Z97" s="1665" t="n"/>
    </row>
    <row r="98" ht="12.75" customHeight="1" s="1666">
      <c r="B98" s="3164" t="inlineStr">
        <is>
          <t>}</t>
        </is>
      </c>
      <c r="G98" s="1665" t="n"/>
      <c r="H98" s="1665" t="n"/>
      <c r="I98" s="1665" t="n"/>
      <c r="J98" s="1665" t="n"/>
      <c r="K98" s="1665" t="n"/>
      <c r="L98" s="1665" t="n"/>
      <c r="M98" s="1665" t="n"/>
      <c r="N98" s="1665" t="n"/>
      <c r="O98" s="1665" t="n"/>
      <c r="P98" s="1665" t="n"/>
      <c r="Q98" s="1665" t="n"/>
      <c r="R98" s="1665" t="n"/>
      <c r="S98" s="1665" t="n"/>
      <c r="T98" s="1665" t="n"/>
      <c r="U98" s="1665" t="n"/>
      <c r="V98" s="1665" t="n"/>
      <c r="W98" s="1665" t="n"/>
      <c r="X98" s="1665" t="n"/>
      <c r="Y98" s="1665" t="n"/>
      <c r="Z98" s="1665" t="n"/>
    </row>
    <row r="99" ht="12.75" customHeight="1" s="1666">
      <c r="B99" s="3164" t="n"/>
      <c r="G99" s="1665" t="n"/>
      <c r="H99" s="1665" t="n"/>
      <c r="I99" s="1665" t="n"/>
      <c r="J99" s="1665" t="n"/>
      <c r="K99" s="1665" t="n"/>
      <c r="L99" s="1665" t="n"/>
      <c r="M99" s="1665" t="n"/>
      <c r="N99" s="1665" t="n"/>
      <c r="O99" s="1665" t="n"/>
      <c r="P99" s="1665" t="n"/>
      <c r="Q99" s="1665" t="n"/>
      <c r="R99" s="1665" t="n"/>
      <c r="S99" s="1665" t="n"/>
      <c r="T99" s="1665" t="n"/>
      <c r="U99" s="1665" t="n"/>
      <c r="V99" s="1665" t="n"/>
      <c r="W99" s="1665" t="n"/>
      <c r="X99" s="1665" t="n"/>
      <c r="Y99" s="1665" t="n"/>
      <c r="Z99" s="1665" t="n"/>
    </row>
    <row r="100" ht="12.75" customHeight="1" s="1666">
      <c r="B100" s="3164" t="inlineStr">
        <is>
          <t>function at_reset() {</t>
        </is>
      </c>
      <c r="G100" s="1665" t="n"/>
      <c r="H100" s="1665" t="n"/>
      <c r="I100" s="1665" t="n"/>
      <c r="J100" s="1665" t="n"/>
      <c r="K100" s="1665" t="n"/>
      <c r="L100" s="1665" t="n"/>
      <c r="M100" s="1665" t="n"/>
      <c r="N100" s="1665" t="n"/>
      <c r="O100" s="1665" t="n"/>
      <c r="P100" s="1665" t="n"/>
      <c r="Q100" s="1665" t="n"/>
      <c r="R100" s="1665" t="n"/>
      <c r="S100" s="1665" t="n"/>
      <c r="T100" s="1665" t="n"/>
      <c r="U100" s="1665" t="n"/>
      <c r="V100" s="1665" t="n"/>
      <c r="W100" s="1665" t="n"/>
      <c r="X100" s="1665" t="n"/>
      <c r="Y100" s="1665" t="n"/>
      <c r="Z100" s="1665" t="n"/>
    </row>
    <row r="101" ht="12.75" customHeight="1" s="1666">
      <c r="B101" s="3164" t="inlineStr">
        <is>
          <t xml:space="preserve">  const ordre = {'TFSA':1,'FHSA':2,'REER':3};</t>
        </is>
      </c>
      <c r="G101" s="1665" t="n"/>
      <c r="H101" s="1665" t="n"/>
      <c r="I101" s="1665" t="n"/>
      <c r="J101" s="1665" t="n"/>
      <c r="K101" s="1665" t="n"/>
      <c r="L101" s="1665" t="n"/>
      <c r="M101" s="1665" t="n"/>
      <c r="N101" s="1665" t="n"/>
      <c r="O101" s="1665" t="n"/>
      <c r="P101" s="1665" t="n"/>
      <c r="Q101" s="1665" t="n"/>
      <c r="R101" s="1665" t="n"/>
      <c r="S101" s="1665" t="n"/>
      <c r="T101" s="1665" t="n"/>
      <c r="U101" s="1665" t="n"/>
      <c r="V101" s="1665" t="n"/>
      <c r="W101" s="1665" t="n"/>
      <c r="X101" s="1665" t="n"/>
      <c r="Y101" s="1665" t="n"/>
      <c r="Z101" s="1665" t="n"/>
    </row>
    <row r="102" ht="12.75" customHeight="1" s="1666">
      <c r="B102" s="3164" t="inlineStr">
        <is>
          <t xml:space="preserve">  sortSheet('🔍 ANALYSE TRIABLE', 8, 48, 2, 24, (a,b) =&gt; {</t>
        </is>
      </c>
      <c r="G102" s="1665" t="n"/>
      <c r="H102" s="1665" t="n"/>
      <c r="I102" s="1665" t="n"/>
      <c r="J102" s="1665" t="n"/>
      <c r="K102" s="1665" t="n"/>
      <c r="L102" s="1665" t="n"/>
      <c r="M102" s="1665" t="n"/>
      <c r="N102" s="1665" t="n"/>
      <c r="O102" s="1665" t="n"/>
      <c r="P102" s="1665" t="n"/>
      <c r="Q102" s="1665" t="n"/>
      <c r="R102" s="1665" t="n"/>
      <c r="S102" s="1665" t="n"/>
      <c r="T102" s="1665" t="n"/>
      <c r="U102" s="1665" t="n"/>
      <c r="V102" s="1665" t="n"/>
      <c r="W102" s="1665" t="n"/>
      <c r="X102" s="1665" t="n"/>
      <c r="Y102" s="1665" t="n"/>
      <c r="Z102" s="1665" t="n"/>
    </row>
    <row r="103" ht="12.75" customHeight="1" s="1666">
      <c r="B103" s="3164" t="inlineStr">
        <is>
          <t xml:space="preserve">    const cA = ordre[a[4]]||9, cB = ordre[b[4]]||9;</t>
        </is>
      </c>
      <c r="G103" s="1665" t="n"/>
      <c r="H103" s="1665" t="n"/>
      <c r="I103" s="1665" t="n"/>
      <c r="J103" s="1665" t="n"/>
      <c r="K103" s="1665" t="n"/>
      <c r="L103" s="1665" t="n"/>
      <c r="M103" s="1665" t="n"/>
      <c r="N103" s="1665" t="n"/>
      <c r="O103" s="1665" t="n"/>
      <c r="P103" s="1665" t="n"/>
      <c r="Q103" s="1665" t="n"/>
      <c r="R103" s="1665" t="n"/>
      <c r="S103" s="1665" t="n"/>
      <c r="T103" s="1665" t="n"/>
      <c r="U103" s="1665" t="n"/>
      <c r="V103" s="1665" t="n"/>
      <c r="W103" s="1665" t="n"/>
      <c r="X103" s="1665" t="n"/>
      <c r="Y103" s="1665" t="n"/>
      <c r="Z103" s="1665" t="n"/>
    </row>
    <row r="104" ht="12.75" customHeight="1" s="1666">
      <c r="B104" s="3164" t="inlineStr">
        <is>
          <t xml:space="preserve">    if (cA !== cB) return cA - cB;</t>
        </is>
      </c>
      <c r="G104" s="1665" t="n"/>
      <c r="H104" s="1665" t="n"/>
      <c r="I104" s="1665" t="n"/>
      <c r="J104" s="1665" t="n"/>
      <c r="K104" s="1665" t="n"/>
      <c r="L104" s="1665" t="n"/>
      <c r="M104" s="1665" t="n"/>
      <c r="N104" s="1665" t="n"/>
      <c r="O104" s="1665" t="n"/>
      <c r="P104" s="1665" t="n"/>
      <c r="Q104" s="1665" t="n"/>
      <c r="R104" s="1665" t="n"/>
      <c r="S104" s="1665" t="n"/>
      <c r="T104" s="1665" t="n"/>
      <c r="U104" s="1665" t="n"/>
      <c r="V104" s="1665" t="n"/>
      <c r="W104" s="1665" t="n"/>
      <c r="X104" s="1665" t="n"/>
      <c r="Y104" s="1665" t="n"/>
      <c r="Z104" s="1665" t="n"/>
    </row>
    <row r="105" ht="12.75" customHeight="1" s="1666">
      <c r="B105" s="3164" t="inlineStr">
        <is>
          <t xml:space="preserve">    if (a[3] !== b[3]) return (a[3]||'Z').localeCompare(b[3]||'Z');</t>
        </is>
      </c>
      <c r="G105" s="1665" t="n"/>
      <c r="H105" s="1665" t="n"/>
      <c r="I105" s="1665" t="n"/>
      <c r="J105" s="1665" t="n"/>
      <c r="K105" s="1665" t="n"/>
      <c r="L105" s="1665" t="n"/>
      <c r="M105" s="1665" t="n"/>
      <c r="N105" s="1665" t="n"/>
      <c r="O105" s="1665" t="n"/>
      <c r="P105" s="1665" t="n"/>
      <c r="Q105" s="1665" t="n"/>
      <c r="R105" s="1665" t="n"/>
      <c r="S105" s="1665" t="n"/>
      <c r="T105" s="1665" t="n"/>
      <c r="U105" s="1665" t="n"/>
      <c r="V105" s="1665" t="n"/>
      <c r="W105" s="1665" t="n"/>
      <c r="X105" s="1665" t="n"/>
      <c r="Y105" s="1665" t="n"/>
      <c r="Z105" s="1665" t="n"/>
    </row>
    <row r="106" ht="12.75" customHeight="1" s="1666">
      <c r="B106" s="3164" t="inlineStr">
        <is>
          <t xml:space="preserve">    return (b[10]||0) - (a[10]||0);</t>
        </is>
      </c>
      <c r="G106" s="1665" t="n"/>
      <c r="H106" s="1665" t="n"/>
      <c r="I106" s="1665" t="n"/>
      <c r="J106" s="1665" t="n"/>
      <c r="K106" s="1665" t="n"/>
      <c r="L106" s="1665" t="n"/>
      <c r="M106" s="1665" t="n"/>
      <c r="N106" s="1665" t="n"/>
      <c r="O106" s="1665" t="n"/>
      <c r="P106" s="1665" t="n"/>
      <c r="Q106" s="1665" t="n"/>
      <c r="R106" s="1665" t="n"/>
      <c r="S106" s="1665" t="n"/>
      <c r="T106" s="1665" t="n"/>
      <c r="U106" s="1665" t="n"/>
      <c r="V106" s="1665" t="n"/>
      <c r="W106" s="1665" t="n"/>
      <c r="X106" s="1665" t="n"/>
      <c r="Y106" s="1665" t="n"/>
      <c r="Z106" s="1665" t="n"/>
    </row>
    <row r="107" ht="12.75" customHeight="1" s="1666">
      <c r="B107" s="3164" t="inlineStr">
        <is>
          <t xml:space="preserve">  });</t>
        </is>
      </c>
      <c r="G107" s="1665" t="n"/>
      <c r="H107" s="1665" t="n"/>
      <c r="I107" s="1665" t="n"/>
      <c r="J107" s="1665" t="n"/>
      <c r="K107" s="1665" t="n"/>
      <c r="L107" s="1665" t="n"/>
      <c r="M107" s="1665" t="n"/>
      <c r="N107" s="1665" t="n"/>
      <c r="O107" s="1665" t="n"/>
      <c r="P107" s="1665" t="n"/>
      <c r="Q107" s="1665" t="n"/>
      <c r="R107" s="1665" t="n"/>
      <c r="S107" s="1665" t="n"/>
      <c r="T107" s="1665" t="n"/>
      <c r="U107" s="1665" t="n"/>
      <c r="V107" s="1665" t="n"/>
      <c r="W107" s="1665" t="n"/>
      <c r="X107" s="1665" t="n"/>
      <c r="Y107" s="1665" t="n"/>
      <c r="Z107" s="1665" t="n"/>
    </row>
    <row r="108" ht="12.75" customHeight="1" s="1666">
      <c r="B108" s="3164" t="inlineStr">
        <is>
          <t xml:space="preserve">  toast('✅ Ordre reset: Compte → Tier → Valeur', 'ANALYSE TRIABLE');</t>
        </is>
      </c>
      <c r="G108" s="1665" t="n"/>
      <c r="H108" s="1665" t="n"/>
      <c r="I108" s="1665" t="n"/>
      <c r="J108" s="1665" t="n"/>
      <c r="K108" s="1665" t="n"/>
      <c r="L108" s="1665" t="n"/>
      <c r="M108" s="1665" t="n"/>
      <c r="N108" s="1665" t="n"/>
      <c r="O108" s="1665" t="n"/>
      <c r="P108" s="1665" t="n"/>
      <c r="Q108" s="1665" t="n"/>
      <c r="R108" s="1665" t="n"/>
      <c r="S108" s="1665" t="n"/>
      <c r="T108" s="1665" t="n"/>
      <c r="U108" s="1665" t="n"/>
      <c r="V108" s="1665" t="n"/>
      <c r="W108" s="1665" t="n"/>
      <c r="X108" s="1665" t="n"/>
      <c r="Y108" s="1665" t="n"/>
      <c r="Z108" s="1665" t="n"/>
    </row>
    <row r="109" ht="12.75" customHeight="1" s="1666">
      <c r="B109" s="3164" t="inlineStr">
        <is>
          <t>}</t>
        </is>
      </c>
      <c r="G109" s="1665" t="n"/>
      <c r="H109" s="1665" t="n"/>
      <c r="I109" s="1665" t="n"/>
      <c r="J109" s="1665" t="n"/>
      <c r="K109" s="1665" t="n"/>
      <c r="L109" s="1665" t="n"/>
      <c r="M109" s="1665" t="n"/>
      <c r="N109" s="1665" t="n"/>
      <c r="O109" s="1665" t="n"/>
      <c r="P109" s="1665" t="n"/>
      <c r="Q109" s="1665" t="n"/>
      <c r="R109" s="1665" t="n"/>
      <c r="S109" s="1665" t="n"/>
      <c r="T109" s="1665" t="n"/>
      <c r="U109" s="1665" t="n"/>
      <c r="V109" s="1665" t="n"/>
      <c r="W109" s="1665" t="n"/>
      <c r="X109" s="1665" t="n"/>
      <c r="Y109" s="1665" t="n"/>
      <c r="Z109" s="1665" t="n"/>
    </row>
    <row r="110" ht="12.75" customHeight="1" s="1666">
      <c r="B110" s="3164" t="n"/>
      <c r="G110" s="1665" t="n"/>
      <c r="H110" s="1665" t="n"/>
      <c r="I110" s="1665" t="n"/>
      <c r="J110" s="1665" t="n"/>
      <c r="K110" s="1665" t="n"/>
      <c r="L110" s="1665" t="n"/>
      <c r="M110" s="1665" t="n"/>
      <c r="N110" s="1665" t="n"/>
      <c r="O110" s="1665" t="n"/>
      <c r="P110" s="1665" t="n"/>
      <c r="Q110" s="1665" t="n"/>
      <c r="R110" s="1665" t="n"/>
      <c r="S110" s="1665" t="n"/>
      <c r="T110" s="1665" t="n"/>
      <c r="U110" s="1665" t="n"/>
      <c r="V110" s="1665" t="n"/>
      <c r="W110" s="1665" t="n"/>
      <c r="X110" s="1665" t="n"/>
      <c r="Y110" s="1665" t="n"/>
      <c r="Z110" s="1665" t="n"/>
    </row>
    <row r="111" ht="12.75" customHeight="1" s="1666">
      <c r="B111" s="3164" t="inlineStr">
        <is>
          <t>// ============================================================</t>
        </is>
      </c>
      <c r="G111" s="1665" t="n"/>
      <c r="H111" s="1665" t="n"/>
      <c r="I111" s="1665" t="n"/>
      <c r="J111" s="1665" t="n"/>
      <c r="K111" s="1665" t="n"/>
      <c r="L111" s="1665" t="n"/>
      <c r="M111" s="1665" t="n"/>
      <c r="N111" s="1665" t="n"/>
      <c r="O111" s="1665" t="n"/>
      <c r="P111" s="1665" t="n"/>
      <c r="Q111" s="1665" t="n"/>
      <c r="R111" s="1665" t="n"/>
      <c r="S111" s="1665" t="n"/>
      <c r="T111" s="1665" t="n"/>
      <c r="U111" s="1665" t="n"/>
      <c r="V111" s="1665" t="n"/>
      <c r="W111" s="1665" t="n"/>
      <c r="X111" s="1665" t="n"/>
      <c r="Y111" s="1665" t="n"/>
      <c r="Z111" s="1665" t="n"/>
    </row>
    <row r="112" ht="12.75" customHeight="1" s="1666">
      <c r="B112" s="3164" t="inlineStr">
        <is>
          <t>// TRIER PORTEFEUILLE — 2 sections: TFSA R15-42, FHSA R47-57</t>
        </is>
      </c>
      <c r="G112" s="1665" t="n"/>
      <c r="H112" s="1665" t="n"/>
      <c r="I112" s="1665" t="n"/>
      <c r="J112" s="1665" t="n"/>
      <c r="K112" s="1665" t="n"/>
      <c r="L112" s="1665" t="n"/>
      <c r="M112" s="1665" t="n"/>
      <c r="N112" s="1665" t="n"/>
      <c r="O112" s="1665" t="n"/>
      <c r="P112" s="1665" t="n"/>
      <c r="Q112" s="1665" t="n"/>
      <c r="R112" s="1665" t="n"/>
      <c r="S112" s="1665" t="n"/>
      <c r="T112" s="1665" t="n"/>
      <c r="U112" s="1665" t="n"/>
      <c r="V112" s="1665" t="n"/>
      <c r="W112" s="1665" t="n"/>
      <c r="X112" s="1665" t="n"/>
      <c r="Y112" s="1665" t="n"/>
      <c r="Z112" s="1665" t="n"/>
    </row>
    <row r="113" ht="12.75" customHeight="1" s="1666">
      <c r="B113" s="3164" t="inlineStr">
        <is>
          <t>// startCol=2, numCols=16</t>
        </is>
      </c>
      <c r="G113" s="1665" t="n"/>
      <c r="H113" s="1665" t="n"/>
      <c r="I113" s="1665" t="n"/>
      <c r="J113" s="1665" t="n"/>
      <c r="K113" s="1665" t="n"/>
      <c r="L113" s="1665" t="n"/>
      <c r="M113" s="1665" t="n"/>
      <c r="N113" s="1665" t="n"/>
      <c r="O113" s="1665" t="n"/>
      <c r="P113" s="1665" t="n"/>
      <c r="Q113" s="1665" t="n"/>
      <c r="R113" s="1665" t="n"/>
      <c r="S113" s="1665" t="n"/>
      <c r="T113" s="1665" t="n"/>
      <c r="U113" s="1665" t="n"/>
      <c r="V113" s="1665" t="n"/>
      <c r="W113" s="1665" t="n"/>
      <c r="X113" s="1665" t="n"/>
      <c r="Y113" s="1665" t="n"/>
      <c r="Z113" s="1665" t="n"/>
    </row>
    <row r="114" ht="12.75" customHeight="1" s="1666">
      <c r="B114" s="3164" t="inlineStr">
        <is>
          <t>// VALEUR CAD = index 10, GAIN% = index 13, TIER = index 3</t>
        </is>
      </c>
      <c r="G114" s="1665" t="n"/>
      <c r="H114" s="1665" t="n"/>
      <c r="I114" s="1665" t="n"/>
      <c r="J114" s="1665" t="n"/>
      <c r="K114" s="1665" t="n"/>
      <c r="L114" s="1665" t="n"/>
      <c r="M114" s="1665" t="n"/>
      <c r="N114" s="1665" t="n"/>
      <c r="O114" s="1665" t="n"/>
      <c r="P114" s="1665" t="n"/>
      <c r="Q114" s="1665" t="n"/>
      <c r="R114" s="1665" t="n"/>
      <c r="S114" s="1665" t="n"/>
      <c r="T114" s="1665" t="n"/>
      <c r="U114" s="1665" t="n"/>
      <c r="V114" s="1665" t="n"/>
      <c r="W114" s="1665" t="n"/>
      <c r="X114" s="1665" t="n"/>
      <c r="Y114" s="1665" t="n"/>
      <c r="Z114" s="1665" t="n"/>
    </row>
    <row r="115" ht="12.75" customHeight="1" s="1666">
      <c r="B115" s="3164" t="inlineStr">
        <is>
          <t>// ============================================================</t>
        </is>
      </c>
      <c r="G115" s="1665" t="n"/>
      <c r="H115" s="1665" t="n"/>
      <c r="I115" s="1665" t="n"/>
      <c r="J115" s="1665" t="n"/>
      <c r="K115" s="1665" t="n"/>
      <c r="L115" s="1665" t="n"/>
      <c r="M115" s="1665" t="n"/>
      <c r="N115" s="1665" t="n"/>
      <c r="O115" s="1665" t="n"/>
      <c r="P115" s="1665" t="n"/>
      <c r="Q115" s="1665" t="n"/>
      <c r="R115" s="1665" t="n"/>
      <c r="S115" s="1665" t="n"/>
      <c r="T115" s="1665" t="n"/>
      <c r="U115" s="1665" t="n"/>
      <c r="V115" s="1665" t="n"/>
      <c r="W115" s="1665" t="n"/>
      <c r="X115" s="1665" t="n"/>
      <c r="Y115" s="1665" t="n"/>
      <c r="Z115" s="1665" t="n"/>
    </row>
    <row r="116" ht="12.75" customHeight="1" s="1666">
      <c r="B116" s="3164" t="inlineStr">
        <is>
          <t>function port_sort(compareFn) {</t>
        </is>
      </c>
      <c r="G116" s="1665" t="n"/>
      <c r="H116" s="1665" t="n"/>
      <c r="I116" s="1665" t="n"/>
      <c r="J116" s="1665" t="n"/>
      <c r="K116" s="1665" t="n"/>
      <c r="L116" s="1665" t="n"/>
      <c r="M116" s="1665" t="n"/>
      <c r="N116" s="1665" t="n"/>
      <c r="O116" s="1665" t="n"/>
      <c r="P116" s="1665" t="n"/>
      <c r="Q116" s="1665" t="n"/>
      <c r="R116" s="1665" t="n"/>
      <c r="S116" s="1665" t="n"/>
      <c r="T116" s="1665" t="n"/>
      <c r="U116" s="1665" t="n"/>
      <c r="V116" s="1665" t="n"/>
      <c r="W116" s="1665" t="n"/>
      <c r="X116" s="1665" t="n"/>
      <c r="Y116" s="1665" t="n"/>
      <c r="Z116" s="1665" t="n"/>
    </row>
    <row r="117" ht="12.75" customHeight="1" s="1666">
      <c r="B117" s="3164" t="inlineStr">
        <is>
          <t xml:space="preserve">  const sections = [[15, 42], [47, 57]]; // TFSA, FHSA</t>
        </is>
      </c>
      <c r="G117" s="1665" t="n"/>
      <c r="H117" s="1665" t="n"/>
      <c r="I117" s="1665" t="n"/>
      <c r="J117" s="1665" t="n"/>
      <c r="K117" s="1665" t="n"/>
      <c r="L117" s="1665" t="n"/>
      <c r="M117" s="1665" t="n"/>
      <c r="N117" s="1665" t="n"/>
      <c r="O117" s="1665" t="n"/>
      <c r="P117" s="1665" t="n"/>
      <c r="Q117" s="1665" t="n"/>
      <c r="R117" s="1665" t="n"/>
      <c r="S117" s="1665" t="n"/>
      <c r="T117" s="1665" t="n"/>
      <c r="U117" s="1665" t="n"/>
      <c r="V117" s="1665" t="n"/>
      <c r="W117" s="1665" t="n"/>
      <c r="X117" s="1665" t="n"/>
      <c r="Y117" s="1665" t="n"/>
      <c r="Z117" s="1665" t="n"/>
    </row>
    <row r="118" ht="12.75" customHeight="1" s="1666">
      <c r="B118" s="3164" t="inlineStr">
        <is>
          <t xml:space="preserve">  sections.forEach(([s, e]) =&gt; sortSheet('📈 PORTEFEUILLE', s, e, 2, 16, compareFn));</t>
        </is>
      </c>
      <c r="G118" s="1665" t="n"/>
      <c r="H118" s="1665" t="n"/>
      <c r="I118" s="1665" t="n"/>
      <c r="J118" s="1665" t="n"/>
      <c r="K118" s="1665" t="n"/>
      <c r="L118" s="1665" t="n"/>
      <c r="M118" s="1665" t="n"/>
      <c r="N118" s="1665" t="n"/>
      <c r="O118" s="1665" t="n"/>
      <c r="P118" s="1665" t="n"/>
      <c r="Q118" s="1665" t="n"/>
      <c r="R118" s="1665" t="n"/>
      <c r="S118" s="1665" t="n"/>
      <c r="T118" s="1665" t="n"/>
      <c r="U118" s="1665" t="n"/>
      <c r="V118" s="1665" t="n"/>
      <c r="W118" s="1665" t="n"/>
      <c r="X118" s="1665" t="n"/>
      <c r="Y118" s="1665" t="n"/>
      <c r="Z118" s="1665" t="n"/>
    </row>
    <row r="119" ht="12.75" customHeight="1" s="1666">
      <c r="B119" s="3164" t="inlineStr">
        <is>
          <t>}</t>
        </is>
      </c>
      <c r="G119" s="1665" t="n"/>
      <c r="H119" s="1665" t="n"/>
      <c r="I119" s="1665" t="n"/>
      <c r="J119" s="1665" t="n"/>
      <c r="K119" s="1665" t="n"/>
      <c r="L119" s="1665" t="n"/>
      <c r="M119" s="1665" t="n"/>
      <c r="N119" s="1665" t="n"/>
      <c r="O119" s="1665" t="n"/>
      <c r="P119" s="1665" t="n"/>
      <c r="Q119" s="1665" t="n"/>
      <c r="R119" s="1665" t="n"/>
      <c r="S119" s="1665" t="n"/>
      <c r="T119" s="1665" t="n"/>
      <c r="U119" s="1665" t="n"/>
      <c r="V119" s="1665" t="n"/>
      <c r="W119" s="1665" t="n"/>
      <c r="X119" s="1665" t="n"/>
      <c r="Y119" s="1665" t="n"/>
      <c r="Z119" s="1665" t="n"/>
    </row>
    <row r="120" ht="12.75" customHeight="1" s="1666">
      <c r="B120" s="3164" t="n"/>
      <c r="G120" s="1665" t="n"/>
      <c r="H120" s="1665" t="n"/>
      <c r="I120" s="1665" t="n"/>
      <c r="J120" s="1665" t="n"/>
      <c r="K120" s="1665" t="n"/>
      <c r="L120" s="1665" t="n"/>
      <c r="M120" s="1665" t="n"/>
      <c r="N120" s="1665" t="n"/>
      <c r="O120" s="1665" t="n"/>
      <c r="P120" s="1665" t="n"/>
      <c r="Q120" s="1665" t="n"/>
      <c r="R120" s="1665" t="n"/>
      <c r="S120" s="1665" t="n"/>
      <c r="T120" s="1665" t="n"/>
      <c r="U120" s="1665" t="n"/>
      <c r="V120" s="1665" t="n"/>
      <c r="W120" s="1665" t="n"/>
      <c r="X120" s="1665" t="n"/>
      <c r="Y120" s="1665" t="n"/>
      <c r="Z120" s="1665" t="n"/>
    </row>
    <row r="121" ht="12.75" customHeight="1" s="1666">
      <c r="B121" s="3164" t="inlineStr">
        <is>
          <t>function port_trierValeur() {</t>
        </is>
      </c>
      <c r="G121" s="1665" t="n"/>
      <c r="H121" s="1665" t="n"/>
      <c r="I121" s="1665" t="n"/>
      <c r="J121" s="1665" t="n"/>
      <c r="K121" s="1665" t="n"/>
      <c r="L121" s="1665" t="n"/>
      <c r="M121" s="1665" t="n"/>
      <c r="N121" s="1665" t="n"/>
      <c r="O121" s="1665" t="n"/>
      <c r="P121" s="1665" t="n"/>
      <c r="Q121" s="1665" t="n"/>
      <c r="R121" s="1665" t="n"/>
      <c r="S121" s="1665" t="n"/>
      <c r="T121" s="1665" t="n"/>
      <c r="U121" s="1665" t="n"/>
      <c r="V121" s="1665" t="n"/>
      <c r="W121" s="1665" t="n"/>
      <c r="X121" s="1665" t="n"/>
      <c r="Y121" s="1665" t="n"/>
      <c r="Z121" s="1665" t="n"/>
    </row>
    <row r="122" ht="12.75" customHeight="1" s="1666">
      <c r="B122" s="3164" t="inlineStr">
        <is>
          <t xml:space="preserve">  port_sort((a,b) =&gt; (b[10]||0)-(a[10]||0));</t>
        </is>
      </c>
      <c r="G122" s="1665" t="n"/>
      <c r="H122" s="1665" t="n"/>
      <c r="I122" s="1665" t="n"/>
      <c r="J122" s="1665" t="n"/>
      <c r="K122" s="1665" t="n"/>
      <c r="L122" s="1665" t="n"/>
      <c r="M122" s="1665" t="n"/>
      <c r="N122" s="1665" t="n"/>
      <c r="O122" s="1665" t="n"/>
      <c r="P122" s="1665" t="n"/>
      <c r="Q122" s="1665" t="n"/>
      <c r="R122" s="1665" t="n"/>
      <c r="S122" s="1665" t="n"/>
      <c r="T122" s="1665" t="n"/>
      <c r="U122" s="1665" t="n"/>
      <c r="V122" s="1665" t="n"/>
      <c r="W122" s="1665" t="n"/>
      <c r="X122" s="1665" t="n"/>
      <c r="Y122" s="1665" t="n"/>
      <c r="Z122" s="1665" t="n"/>
    </row>
    <row r="123" ht="12.75" customHeight="1" s="1666">
      <c r="B123" s="3164" t="inlineStr">
        <is>
          <t xml:space="preserve">  toast('✅ PORTEFEUILLE trié par Valeur CAD ↓', 'PORTEFEUILLE');</t>
        </is>
      </c>
      <c r="G123" s="1665" t="n"/>
      <c r="H123" s="1665" t="n"/>
      <c r="I123" s="1665" t="n"/>
      <c r="J123" s="1665" t="n"/>
      <c r="K123" s="1665" t="n"/>
      <c r="L123" s="1665" t="n"/>
      <c r="M123" s="1665" t="n"/>
      <c r="N123" s="1665" t="n"/>
      <c r="O123" s="1665" t="n"/>
      <c r="P123" s="1665" t="n"/>
      <c r="Q123" s="1665" t="n"/>
      <c r="R123" s="1665" t="n"/>
      <c r="S123" s="1665" t="n"/>
      <c r="T123" s="1665" t="n"/>
      <c r="U123" s="1665" t="n"/>
      <c r="V123" s="1665" t="n"/>
      <c r="W123" s="1665" t="n"/>
      <c r="X123" s="1665" t="n"/>
      <c r="Y123" s="1665" t="n"/>
      <c r="Z123" s="1665" t="n"/>
    </row>
    <row r="124" ht="12.75" customHeight="1" s="1666">
      <c r="B124" s="3164" t="inlineStr">
        <is>
          <t>}</t>
        </is>
      </c>
      <c r="G124" s="1665" t="n"/>
      <c r="H124" s="1665" t="n"/>
      <c r="I124" s="1665" t="n"/>
      <c r="J124" s="1665" t="n"/>
      <c r="K124" s="1665" t="n"/>
      <c r="L124" s="1665" t="n"/>
      <c r="M124" s="1665" t="n"/>
      <c r="N124" s="1665" t="n"/>
      <c r="O124" s="1665" t="n"/>
      <c r="P124" s="1665" t="n"/>
      <c r="Q124" s="1665" t="n"/>
      <c r="R124" s="1665" t="n"/>
      <c r="S124" s="1665" t="n"/>
      <c r="T124" s="1665" t="n"/>
      <c r="U124" s="1665" t="n"/>
      <c r="V124" s="1665" t="n"/>
      <c r="W124" s="1665" t="n"/>
      <c r="X124" s="1665" t="n"/>
      <c r="Y124" s="1665" t="n"/>
      <c r="Z124" s="1665" t="n"/>
    </row>
    <row r="125" ht="12.75" customHeight="1" s="1666">
      <c r="B125" s="3164" t="n"/>
      <c r="G125" s="1665" t="n"/>
      <c r="H125" s="1665" t="n"/>
      <c r="I125" s="1665" t="n"/>
      <c r="J125" s="1665" t="n"/>
      <c r="K125" s="1665" t="n"/>
      <c r="L125" s="1665" t="n"/>
      <c r="M125" s="1665" t="n"/>
      <c r="N125" s="1665" t="n"/>
      <c r="O125" s="1665" t="n"/>
      <c r="P125" s="1665" t="n"/>
      <c r="Q125" s="1665" t="n"/>
      <c r="R125" s="1665" t="n"/>
      <c r="S125" s="1665" t="n"/>
      <c r="T125" s="1665" t="n"/>
      <c r="U125" s="1665" t="n"/>
      <c r="V125" s="1665" t="n"/>
      <c r="W125" s="1665" t="n"/>
      <c r="X125" s="1665" t="n"/>
      <c r="Y125" s="1665" t="n"/>
      <c r="Z125" s="1665" t="n"/>
    </row>
    <row r="126" ht="12.75" customHeight="1" s="1666">
      <c r="B126" s="3164" t="inlineStr">
        <is>
          <t>function port_trierGain() {</t>
        </is>
      </c>
      <c r="G126" s="1665" t="n"/>
      <c r="H126" s="1665" t="n"/>
      <c r="I126" s="1665" t="n"/>
      <c r="J126" s="1665" t="n"/>
      <c r="K126" s="1665" t="n"/>
      <c r="L126" s="1665" t="n"/>
      <c r="M126" s="1665" t="n"/>
      <c r="N126" s="1665" t="n"/>
      <c r="O126" s="1665" t="n"/>
      <c r="P126" s="1665" t="n"/>
      <c r="Q126" s="1665" t="n"/>
      <c r="R126" s="1665" t="n"/>
      <c r="S126" s="1665" t="n"/>
      <c r="T126" s="1665" t="n"/>
      <c r="U126" s="1665" t="n"/>
      <c r="V126" s="1665" t="n"/>
      <c r="W126" s="1665" t="n"/>
      <c r="X126" s="1665" t="n"/>
      <c r="Y126" s="1665" t="n"/>
      <c r="Z126" s="1665" t="n"/>
    </row>
    <row r="127" ht="12.75" customHeight="1" s="1666">
      <c r="B127" s="3164" t="inlineStr">
        <is>
          <t xml:space="preserve">  port_sort((a,b) =&gt; (b[13]||0)-(a[13]||0));</t>
        </is>
      </c>
      <c r="G127" s="1665" t="n"/>
      <c r="H127" s="1665" t="n"/>
      <c r="I127" s="1665" t="n"/>
      <c r="J127" s="1665" t="n"/>
      <c r="K127" s="1665" t="n"/>
      <c r="L127" s="1665" t="n"/>
      <c r="M127" s="1665" t="n"/>
      <c r="N127" s="1665" t="n"/>
      <c r="O127" s="1665" t="n"/>
      <c r="P127" s="1665" t="n"/>
      <c r="Q127" s="1665" t="n"/>
      <c r="R127" s="1665" t="n"/>
      <c r="S127" s="1665" t="n"/>
      <c r="T127" s="1665" t="n"/>
      <c r="U127" s="1665" t="n"/>
      <c r="V127" s="1665" t="n"/>
      <c r="W127" s="1665" t="n"/>
      <c r="X127" s="1665" t="n"/>
      <c r="Y127" s="1665" t="n"/>
      <c r="Z127" s="1665" t="n"/>
    </row>
    <row r="128" ht="12.75" customHeight="1" s="1666">
      <c r="B128" s="3164" t="inlineStr">
        <is>
          <t xml:space="preserve">  toast('✅ PORTEFEUILLE trié par Gain % ↓', 'PORTEFEUILLE');</t>
        </is>
      </c>
      <c r="G128" s="1665" t="n"/>
      <c r="H128" s="1665" t="n"/>
      <c r="I128" s="1665" t="n"/>
      <c r="J128" s="1665" t="n"/>
      <c r="K128" s="1665" t="n"/>
      <c r="L128" s="1665" t="n"/>
      <c r="M128" s="1665" t="n"/>
      <c r="N128" s="1665" t="n"/>
      <c r="O128" s="1665" t="n"/>
      <c r="P128" s="1665" t="n"/>
      <c r="Q128" s="1665" t="n"/>
      <c r="R128" s="1665" t="n"/>
      <c r="S128" s="1665" t="n"/>
      <c r="T128" s="1665" t="n"/>
      <c r="U128" s="1665" t="n"/>
      <c r="V128" s="1665" t="n"/>
      <c r="W128" s="1665" t="n"/>
      <c r="X128" s="1665" t="n"/>
      <c r="Y128" s="1665" t="n"/>
      <c r="Z128" s="1665" t="n"/>
    </row>
    <row r="129" ht="12.75" customHeight="1" s="1666">
      <c r="B129" s="3164" t="inlineStr">
        <is>
          <t>}</t>
        </is>
      </c>
      <c r="G129" s="1665" t="n"/>
      <c r="H129" s="1665" t="n"/>
      <c r="I129" s="1665" t="n"/>
      <c r="J129" s="1665" t="n"/>
      <c r="K129" s="1665" t="n"/>
      <c r="L129" s="1665" t="n"/>
      <c r="M129" s="1665" t="n"/>
      <c r="N129" s="1665" t="n"/>
      <c r="O129" s="1665" t="n"/>
      <c r="P129" s="1665" t="n"/>
      <c r="Q129" s="1665" t="n"/>
      <c r="R129" s="1665" t="n"/>
      <c r="S129" s="1665" t="n"/>
      <c r="T129" s="1665" t="n"/>
      <c r="U129" s="1665" t="n"/>
      <c r="V129" s="1665" t="n"/>
      <c r="W129" s="1665" t="n"/>
      <c r="X129" s="1665" t="n"/>
      <c r="Y129" s="1665" t="n"/>
      <c r="Z129" s="1665" t="n"/>
    </row>
    <row r="130" ht="12.75" customHeight="1" s="1666">
      <c r="B130" s="3164" t="n"/>
      <c r="G130" s="1665" t="n"/>
      <c r="H130" s="1665" t="n"/>
      <c r="I130" s="1665" t="n"/>
      <c r="J130" s="1665" t="n"/>
      <c r="K130" s="1665" t="n"/>
      <c r="L130" s="1665" t="n"/>
      <c r="M130" s="1665" t="n"/>
      <c r="N130" s="1665" t="n"/>
      <c r="O130" s="1665" t="n"/>
      <c r="P130" s="1665" t="n"/>
      <c r="Q130" s="1665" t="n"/>
      <c r="R130" s="1665" t="n"/>
      <c r="S130" s="1665" t="n"/>
      <c r="T130" s="1665" t="n"/>
      <c r="U130" s="1665" t="n"/>
      <c r="V130" s="1665" t="n"/>
      <c r="W130" s="1665" t="n"/>
      <c r="X130" s="1665" t="n"/>
      <c r="Y130" s="1665" t="n"/>
      <c r="Z130" s="1665" t="n"/>
    </row>
    <row r="131" ht="12.75" customHeight="1" s="1666">
      <c r="B131" s="3164" t="inlineStr">
        <is>
          <t>function port_trierTier() {</t>
        </is>
      </c>
      <c r="G131" s="1665" t="n"/>
      <c r="H131" s="1665" t="n"/>
      <c r="I131" s="1665" t="n"/>
      <c r="J131" s="1665" t="n"/>
      <c r="K131" s="1665" t="n"/>
      <c r="L131" s="1665" t="n"/>
      <c r="M131" s="1665" t="n"/>
      <c r="N131" s="1665" t="n"/>
      <c r="O131" s="1665" t="n"/>
      <c r="P131" s="1665" t="n"/>
      <c r="Q131" s="1665" t="n"/>
      <c r="R131" s="1665" t="n"/>
      <c r="S131" s="1665" t="n"/>
      <c r="T131" s="1665" t="n"/>
      <c r="U131" s="1665" t="n"/>
      <c r="V131" s="1665" t="n"/>
      <c r="W131" s="1665" t="n"/>
      <c r="X131" s="1665" t="n"/>
      <c r="Y131" s="1665" t="n"/>
      <c r="Z131" s="1665" t="n"/>
    </row>
    <row r="132" ht="12.75" customHeight="1" s="1666">
      <c r="B132" s="3164" t="inlineStr">
        <is>
          <t xml:space="preserve">  port_sort((a,b) =&gt; {</t>
        </is>
      </c>
      <c r="G132" s="1665" t="n"/>
      <c r="H132" s="1665" t="n"/>
      <c r="I132" s="1665" t="n"/>
      <c r="J132" s="1665" t="n"/>
      <c r="K132" s="1665" t="n"/>
      <c r="L132" s="1665" t="n"/>
      <c r="M132" s="1665" t="n"/>
      <c r="N132" s="1665" t="n"/>
      <c r="O132" s="1665" t="n"/>
      <c r="P132" s="1665" t="n"/>
      <c r="Q132" s="1665" t="n"/>
      <c r="R132" s="1665" t="n"/>
      <c r="S132" s="1665" t="n"/>
      <c r="T132" s="1665" t="n"/>
      <c r="U132" s="1665" t="n"/>
      <c r="V132" s="1665" t="n"/>
      <c r="W132" s="1665" t="n"/>
      <c r="X132" s="1665" t="n"/>
      <c r="Y132" s="1665" t="n"/>
      <c r="Z132" s="1665" t="n"/>
    </row>
    <row r="133" ht="12.75" customHeight="1" s="1666">
      <c r="B133" s="3164" t="inlineStr">
        <is>
          <t xml:space="preserve">    if (a[3] !== b[3]) return (a[3]||'Z').localeCompare(b[3]||'Z');</t>
        </is>
      </c>
      <c r="G133" s="1665" t="n"/>
      <c r="H133" s="1665" t="n"/>
      <c r="I133" s="1665" t="n"/>
      <c r="J133" s="1665" t="n"/>
      <c r="K133" s="1665" t="n"/>
      <c r="L133" s="1665" t="n"/>
      <c r="M133" s="1665" t="n"/>
      <c r="N133" s="1665" t="n"/>
      <c r="O133" s="1665" t="n"/>
      <c r="P133" s="1665" t="n"/>
      <c r="Q133" s="1665" t="n"/>
      <c r="R133" s="1665" t="n"/>
      <c r="S133" s="1665" t="n"/>
      <c r="T133" s="1665" t="n"/>
      <c r="U133" s="1665" t="n"/>
      <c r="V133" s="1665" t="n"/>
      <c r="W133" s="1665" t="n"/>
      <c r="X133" s="1665" t="n"/>
      <c r="Y133" s="1665" t="n"/>
      <c r="Z133" s="1665" t="n"/>
    </row>
    <row r="134" ht="12.75" customHeight="1" s="1666">
      <c r="B134" s="3164" t="inlineStr">
        <is>
          <t xml:space="preserve">    return (b[10]||0) - (a[10]||0);</t>
        </is>
      </c>
      <c r="G134" s="1665" t="n"/>
      <c r="H134" s="1665" t="n"/>
      <c r="I134" s="1665" t="n"/>
      <c r="J134" s="1665" t="n"/>
      <c r="K134" s="1665" t="n"/>
      <c r="L134" s="1665" t="n"/>
      <c r="M134" s="1665" t="n"/>
      <c r="N134" s="1665" t="n"/>
      <c r="O134" s="1665" t="n"/>
      <c r="P134" s="1665" t="n"/>
      <c r="Q134" s="1665" t="n"/>
      <c r="R134" s="1665" t="n"/>
      <c r="S134" s="1665" t="n"/>
      <c r="T134" s="1665" t="n"/>
      <c r="U134" s="1665" t="n"/>
      <c r="V134" s="1665" t="n"/>
      <c r="W134" s="1665" t="n"/>
      <c r="X134" s="1665" t="n"/>
      <c r="Y134" s="1665" t="n"/>
      <c r="Z134" s="1665" t="n"/>
    </row>
    <row r="135" ht="12.75" customHeight="1" s="1666">
      <c r="B135" s="3164" t="inlineStr">
        <is>
          <t xml:space="preserve">  });</t>
        </is>
      </c>
      <c r="G135" s="1665" t="n"/>
      <c r="H135" s="1665" t="n"/>
      <c r="I135" s="1665" t="n"/>
      <c r="J135" s="1665" t="n"/>
      <c r="K135" s="1665" t="n"/>
      <c r="L135" s="1665" t="n"/>
      <c r="M135" s="1665" t="n"/>
      <c r="N135" s="1665" t="n"/>
      <c r="O135" s="1665" t="n"/>
      <c r="P135" s="1665" t="n"/>
      <c r="Q135" s="1665" t="n"/>
      <c r="R135" s="1665" t="n"/>
      <c r="S135" s="1665" t="n"/>
      <c r="T135" s="1665" t="n"/>
      <c r="U135" s="1665" t="n"/>
      <c r="V135" s="1665" t="n"/>
      <c r="W135" s="1665" t="n"/>
      <c r="X135" s="1665" t="n"/>
      <c r="Y135" s="1665" t="n"/>
      <c r="Z135" s="1665" t="n"/>
    </row>
    <row r="136" ht="12.75" customHeight="1" s="1666">
      <c r="B136" s="3164" t="inlineStr">
        <is>
          <t xml:space="preserve">  toast('✅ PORTEFEUILLE trié Tier → Valeur', 'PORTEFEUILLE');</t>
        </is>
      </c>
      <c r="G136" s="1665" t="n"/>
      <c r="H136" s="1665" t="n"/>
      <c r="I136" s="1665" t="n"/>
      <c r="J136" s="1665" t="n"/>
      <c r="K136" s="1665" t="n"/>
      <c r="L136" s="1665" t="n"/>
      <c r="M136" s="1665" t="n"/>
      <c r="N136" s="1665" t="n"/>
      <c r="O136" s="1665" t="n"/>
      <c r="P136" s="1665" t="n"/>
      <c r="Q136" s="1665" t="n"/>
      <c r="R136" s="1665" t="n"/>
      <c r="S136" s="1665" t="n"/>
      <c r="T136" s="1665" t="n"/>
      <c r="U136" s="1665" t="n"/>
      <c r="V136" s="1665" t="n"/>
      <c r="W136" s="1665" t="n"/>
      <c r="X136" s="1665" t="n"/>
      <c r="Y136" s="1665" t="n"/>
      <c r="Z136" s="1665" t="n"/>
    </row>
    <row r="137" ht="12.75" customHeight="1" s="1666">
      <c r="B137" s="3164" t="inlineStr">
        <is>
          <t>}</t>
        </is>
      </c>
      <c r="G137" s="1665" t="n"/>
      <c r="H137" s="1665" t="n"/>
      <c r="I137" s="1665" t="n"/>
      <c r="J137" s="1665" t="n"/>
      <c r="K137" s="1665" t="n"/>
      <c r="L137" s="1665" t="n"/>
      <c r="M137" s="1665" t="n"/>
      <c r="N137" s="1665" t="n"/>
      <c r="O137" s="1665" t="n"/>
      <c r="P137" s="1665" t="n"/>
      <c r="Q137" s="1665" t="n"/>
      <c r="R137" s="1665" t="n"/>
      <c r="S137" s="1665" t="n"/>
      <c r="T137" s="1665" t="n"/>
      <c r="U137" s="1665" t="n"/>
      <c r="V137" s="1665" t="n"/>
      <c r="W137" s="1665" t="n"/>
      <c r="X137" s="1665" t="n"/>
      <c r="Y137" s="1665" t="n"/>
      <c r="Z137" s="1665" t="n"/>
    </row>
    <row r="138" ht="12.75" customHeight="1" s="1666">
      <c r="B138" s="3164" t="n"/>
      <c r="G138" s="1665" t="n"/>
      <c r="H138" s="1665" t="n"/>
      <c r="I138" s="1665" t="n"/>
      <c r="J138" s="1665" t="n"/>
      <c r="K138" s="1665" t="n"/>
      <c r="L138" s="1665" t="n"/>
      <c r="M138" s="1665" t="n"/>
      <c r="N138" s="1665" t="n"/>
      <c r="O138" s="1665" t="n"/>
      <c r="P138" s="1665" t="n"/>
      <c r="Q138" s="1665" t="n"/>
      <c r="R138" s="1665" t="n"/>
      <c r="S138" s="1665" t="n"/>
      <c r="T138" s="1665" t="n"/>
      <c r="U138" s="1665" t="n"/>
      <c r="V138" s="1665" t="n"/>
      <c r="W138" s="1665" t="n"/>
      <c r="X138" s="1665" t="n"/>
      <c r="Y138" s="1665" t="n"/>
      <c r="Z138" s="1665" t="n"/>
    </row>
    <row r="139" ht="12.75" customHeight="1" s="1666">
      <c r="B139" s="3164" t="inlineStr">
        <is>
          <t>function port_reset() {</t>
        </is>
      </c>
      <c r="G139" s="1665" t="n"/>
      <c r="H139" s="1665" t="n"/>
      <c r="I139" s="1665" t="n"/>
      <c r="J139" s="1665" t="n"/>
      <c r="K139" s="1665" t="n"/>
      <c r="L139" s="1665" t="n"/>
      <c r="M139" s="1665" t="n"/>
      <c r="N139" s="1665" t="n"/>
      <c r="O139" s="1665" t="n"/>
      <c r="P139" s="1665" t="n"/>
      <c r="Q139" s="1665" t="n"/>
      <c r="R139" s="1665" t="n"/>
      <c r="S139" s="1665" t="n"/>
      <c r="T139" s="1665" t="n"/>
      <c r="U139" s="1665" t="n"/>
      <c r="V139" s="1665" t="n"/>
      <c r="W139" s="1665" t="n"/>
      <c r="X139" s="1665" t="n"/>
      <c r="Y139" s="1665" t="n"/>
      <c r="Z139" s="1665" t="n"/>
    </row>
    <row r="140" ht="12.75" customHeight="1" s="1666">
      <c r="B140" s="3164" t="inlineStr">
        <is>
          <t xml:space="preserve">  port_sort((a,b) =&gt; {</t>
        </is>
      </c>
      <c r="G140" s="1665" t="n"/>
      <c r="H140" s="1665" t="n"/>
      <c r="I140" s="1665" t="n"/>
      <c r="J140" s="1665" t="n"/>
      <c r="K140" s="1665" t="n"/>
      <c r="L140" s="1665" t="n"/>
      <c r="M140" s="1665" t="n"/>
      <c r="N140" s="1665" t="n"/>
      <c r="O140" s="1665" t="n"/>
      <c r="P140" s="1665" t="n"/>
      <c r="Q140" s="1665" t="n"/>
      <c r="R140" s="1665" t="n"/>
      <c r="S140" s="1665" t="n"/>
      <c r="T140" s="1665" t="n"/>
      <c r="U140" s="1665" t="n"/>
      <c r="V140" s="1665" t="n"/>
      <c r="W140" s="1665" t="n"/>
      <c r="X140" s="1665" t="n"/>
      <c r="Y140" s="1665" t="n"/>
      <c r="Z140" s="1665" t="n"/>
    </row>
    <row r="141" ht="12.75" customHeight="1" s="1666">
      <c r="B141" s="3164" t="inlineStr">
        <is>
          <t xml:space="preserve">    if (a[3] !== b[3]) return (a[3]||'Z').localeCompare(b[3]||'Z');</t>
        </is>
      </c>
      <c r="G141" s="1665" t="n"/>
      <c r="H141" s="1665" t="n"/>
      <c r="I141" s="1665" t="n"/>
      <c r="J141" s="1665" t="n"/>
      <c r="K141" s="1665" t="n"/>
      <c r="L141" s="1665" t="n"/>
      <c r="M141" s="1665" t="n"/>
      <c r="N141" s="1665" t="n"/>
      <c r="O141" s="1665" t="n"/>
      <c r="P141" s="1665" t="n"/>
      <c r="Q141" s="1665" t="n"/>
      <c r="R141" s="1665" t="n"/>
      <c r="S141" s="1665" t="n"/>
      <c r="T141" s="1665" t="n"/>
      <c r="U141" s="1665" t="n"/>
      <c r="V141" s="1665" t="n"/>
      <c r="W141" s="1665" t="n"/>
      <c r="X141" s="1665" t="n"/>
      <c r="Y141" s="1665" t="n"/>
      <c r="Z141" s="1665" t="n"/>
    </row>
    <row r="142" ht="12.75" customHeight="1" s="1666">
      <c r="B142" s="3164" t="inlineStr">
        <is>
          <t xml:space="preserve">    return (b[10]||0) - (a[10]||0);</t>
        </is>
      </c>
      <c r="G142" s="1665" t="n"/>
      <c r="H142" s="1665" t="n"/>
      <c r="I142" s="1665" t="n"/>
      <c r="J142" s="1665" t="n"/>
      <c r="K142" s="1665" t="n"/>
      <c r="L142" s="1665" t="n"/>
      <c r="M142" s="1665" t="n"/>
      <c r="N142" s="1665" t="n"/>
      <c r="O142" s="1665" t="n"/>
      <c r="P142" s="1665" t="n"/>
      <c r="Q142" s="1665" t="n"/>
      <c r="R142" s="1665" t="n"/>
      <c r="S142" s="1665" t="n"/>
      <c r="T142" s="1665" t="n"/>
      <c r="U142" s="1665" t="n"/>
      <c r="V142" s="1665" t="n"/>
      <c r="W142" s="1665" t="n"/>
      <c r="X142" s="1665" t="n"/>
      <c r="Y142" s="1665" t="n"/>
      <c r="Z142" s="1665" t="n"/>
    </row>
    <row r="143" ht="12.75" customHeight="1" s="1666">
      <c r="B143" s="3164" t="inlineStr">
        <is>
          <t xml:space="preserve">  });</t>
        </is>
      </c>
      <c r="G143" s="1665" t="n"/>
      <c r="H143" s="1665" t="n"/>
      <c r="I143" s="1665" t="n"/>
      <c r="J143" s="1665" t="n"/>
      <c r="K143" s="1665" t="n"/>
      <c r="L143" s="1665" t="n"/>
      <c r="M143" s="1665" t="n"/>
      <c r="N143" s="1665" t="n"/>
      <c r="O143" s="1665" t="n"/>
      <c r="P143" s="1665" t="n"/>
      <c r="Q143" s="1665" t="n"/>
      <c r="R143" s="1665" t="n"/>
      <c r="S143" s="1665" t="n"/>
      <c r="T143" s="1665" t="n"/>
      <c r="U143" s="1665" t="n"/>
      <c r="V143" s="1665" t="n"/>
      <c r="W143" s="1665" t="n"/>
      <c r="X143" s="1665" t="n"/>
      <c r="Y143" s="1665" t="n"/>
      <c r="Z143" s="1665" t="n"/>
    </row>
    <row r="144" ht="12.75" customHeight="1" s="1666">
      <c r="B144" s="3164" t="inlineStr">
        <is>
          <t xml:space="preserve">  toast('✅ PORTEFEUILLE reset', 'PORTEFEUILLE');</t>
        </is>
      </c>
      <c r="G144" s="1665" t="n"/>
      <c r="H144" s="1665" t="n"/>
      <c r="I144" s="1665" t="n"/>
      <c r="J144" s="1665" t="n"/>
      <c r="K144" s="1665" t="n"/>
      <c r="L144" s="1665" t="n"/>
      <c r="M144" s="1665" t="n"/>
      <c r="N144" s="1665" t="n"/>
      <c r="O144" s="1665" t="n"/>
      <c r="P144" s="1665" t="n"/>
      <c r="Q144" s="1665" t="n"/>
      <c r="R144" s="1665" t="n"/>
      <c r="S144" s="1665" t="n"/>
      <c r="T144" s="1665" t="n"/>
      <c r="U144" s="1665" t="n"/>
      <c r="V144" s="1665" t="n"/>
      <c r="W144" s="1665" t="n"/>
      <c r="X144" s="1665" t="n"/>
      <c r="Y144" s="1665" t="n"/>
      <c r="Z144" s="1665" t="n"/>
    </row>
    <row r="145" ht="12.75" customHeight="1" s="1666">
      <c r="B145" s="3164" t="inlineStr">
        <is>
          <t>}</t>
        </is>
      </c>
      <c r="G145" s="1665" t="n"/>
      <c r="H145" s="1665" t="n"/>
      <c r="I145" s="1665" t="n"/>
      <c r="J145" s="1665" t="n"/>
      <c r="K145" s="1665" t="n"/>
      <c r="L145" s="1665" t="n"/>
      <c r="M145" s="1665" t="n"/>
      <c r="N145" s="1665" t="n"/>
      <c r="O145" s="1665" t="n"/>
      <c r="P145" s="1665" t="n"/>
      <c r="Q145" s="1665" t="n"/>
      <c r="R145" s="1665" t="n"/>
      <c r="S145" s="1665" t="n"/>
      <c r="T145" s="1665" t="n"/>
      <c r="U145" s="1665" t="n"/>
      <c r="V145" s="1665" t="n"/>
      <c r="W145" s="1665" t="n"/>
      <c r="X145" s="1665" t="n"/>
      <c r="Y145" s="1665" t="n"/>
      <c r="Z145" s="1665" t="n"/>
    </row>
    <row r="146" ht="12.75" customHeight="1" s="1666">
      <c r="B146" s="3164" t="n"/>
      <c r="G146" s="1665" t="n"/>
      <c r="H146" s="1665" t="n"/>
      <c r="I146" s="1665" t="n"/>
      <c r="J146" s="1665" t="n"/>
      <c r="K146" s="1665" t="n"/>
      <c r="L146" s="1665" t="n"/>
      <c r="M146" s="1665" t="n"/>
      <c r="N146" s="1665" t="n"/>
      <c r="O146" s="1665" t="n"/>
      <c r="P146" s="1665" t="n"/>
      <c r="Q146" s="1665" t="n"/>
      <c r="R146" s="1665" t="n"/>
      <c r="S146" s="1665" t="n"/>
      <c r="T146" s="1665" t="n"/>
      <c r="U146" s="1665" t="n"/>
      <c r="V146" s="1665" t="n"/>
      <c r="W146" s="1665" t="n"/>
      <c r="X146" s="1665" t="n"/>
      <c r="Y146" s="1665" t="n"/>
      <c r="Z146" s="1665" t="n"/>
    </row>
    <row r="147" ht="12.75" customHeight="1" s="1666">
      <c r="B147" s="3164" t="inlineStr">
        <is>
          <t>// ============================================================</t>
        </is>
      </c>
      <c r="G147" s="1665" t="n"/>
      <c r="H147" s="1665" t="n"/>
      <c r="I147" s="1665" t="n"/>
      <c r="J147" s="1665" t="n"/>
      <c r="K147" s="1665" t="n"/>
      <c r="L147" s="1665" t="n"/>
      <c r="M147" s="1665" t="n"/>
      <c r="N147" s="1665" t="n"/>
      <c r="O147" s="1665" t="n"/>
      <c r="P147" s="1665" t="n"/>
      <c r="Q147" s="1665" t="n"/>
      <c r="R147" s="1665" t="n"/>
      <c r="S147" s="1665" t="n"/>
      <c r="T147" s="1665" t="n"/>
      <c r="U147" s="1665" t="n"/>
      <c r="V147" s="1665" t="n"/>
      <c r="W147" s="1665" t="n"/>
      <c r="X147" s="1665" t="n"/>
      <c r="Y147" s="1665" t="n"/>
      <c r="Z147" s="1665" t="n"/>
    </row>
    <row r="148" ht="12.75" customHeight="1" s="1666">
      <c r="B148" s="3164" t="inlineStr">
        <is>
          <t>// NAVIGATION</t>
        </is>
      </c>
      <c r="G148" s="1665" t="n"/>
      <c r="H148" s="1665" t="n"/>
      <c r="I148" s="1665" t="n"/>
      <c r="J148" s="1665" t="n"/>
      <c r="K148" s="1665" t="n"/>
      <c r="L148" s="1665" t="n"/>
      <c r="M148" s="1665" t="n"/>
      <c r="N148" s="1665" t="n"/>
      <c r="O148" s="1665" t="n"/>
      <c r="P148" s="1665" t="n"/>
      <c r="Q148" s="1665" t="n"/>
      <c r="R148" s="1665" t="n"/>
      <c r="S148" s="1665" t="n"/>
      <c r="T148" s="1665" t="n"/>
      <c r="U148" s="1665" t="n"/>
      <c r="V148" s="1665" t="n"/>
      <c r="W148" s="1665" t="n"/>
      <c r="X148" s="1665" t="n"/>
      <c r="Y148" s="1665" t="n"/>
      <c r="Z148" s="1665" t="n"/>
    </row>
    <row r="149" ht="12.75" customHeight="1" s="1666">
      <c r="B149" s="3164" t="inlineStr">
        <is>
          <t>// ============================================================</t>
        </is>
      </c>
      <c r="G149" s="1665" t="n"/>
      <c r="H149" s="1665" t="n"/>
      <c r="I149" s="1665" t="n"/>
      <c r="J149" s="1665" t="n"/>
      <c r="K149" s="1665" t="n"/>
      <c r="L149" s="1665" t="n"/>
      <c r="M149" s="1665" t="n"/>
      <c r="N149" s="1665" t="n"/>
      <c r="O149" s="1665" t="n"/>
      <c r="P149" s="1665" t="n"/>
      <c r="Q149" s="1665" t="n"/>
      <c r="R149" s="1665" t="n"/>
      <c r="S149" s="1665" t="n"/>
      <c r="T149" s="1665" t="n"/>
      <c r="U149" s="1665" t="n"/>
      <c r="V149" s="1665" t="n"/>
      <c r="W149" s="1665" t="n"/>
      <c r="X149" s="1665" t="n"/>
      <c r="Y149" s="1665" t="n"/>
      <c r="Z149" s="1665" t="n"/>
    </row>
    <row r="150" ht="12.75" customHeight="1" s="1666">
      <c r="B150" s="3164" t="inlineStr">
        <is>
          <t>function nav(name) {</t>
        </is>
      </c>
      <c r="G150" s="1665" t="n"/>
      <c r="H150" s="1665" t="n"/>
      <c r="I150" s="1665" t="n"/>
      <c r="J150" s="1665" t="n"/>
      <c r="K150" s="1665" t="n"/>
      <c r="L150" s="1665" t="n"/>
      <c r="M150" s="1665" t="n"/>
      <c r="N150" s="1665" t="n"/>
      <c r="O150" s="1665" t="n"/>
      <c r="P150" s="1665" t="n"/>
      <c r="Q150" s="1665" t="n"/>
      <c r="R150" s="1665" t="n"/>
      <c r="S150" s="1665" t="n"/>
      <c r="T150" s="1665" t="n"/>
      <c r="U150" s="1665" t="n"/>
      <c r="V150" s="1665" t="n"/>
      <c r="W150" s="1665" t="n"/>
      <c r="X150" s="1665" t="n"/>
      <c r="Y150" s="1665" t="n"/>
      <c r="Z150" s="1665" t="n"/>
    </row>
    <row r="151" ht="12.75" customHeight="1" s="1666">
      <c r="B151" s="3164" t="inlineStr">
        <is>
          <t xml:space="preserve">  const s = SpreadsheetApp.getActiveSpreadsheet().getSheetByName(name);</t>
        </is>
      </c>
      <c r="G151" s="1665" t="n"/>
      <c r="H151" s="1665" t="n"/>
      <c r="I151" s="1665" t="n"/>
      <c r="J151" s="1665" t="n"/>
      <c r="K151" s="1665" t="n"/>
      <c r="L151" s="1665" t="n"/>
      <c r="M151" s="1665" t="n"/>
      <c r="N151" s="1665" t="n"/>
      <c r="O151" s="1665" t="n"/>
      <c r="P151" s="1665" t="n"/>
      <c r="Q151" s="1665" t="n"/>
      <c r="R151" s="1665" t="n"/>
      <c r="S151" s="1665" t="n"/>
      <c r="T151" s="1665" t="n"/>
      <c r="U151" s="1665" t="n"/>
      <c r="V151" s="1665" t="n"/>
      <c r="W151" s="1665" t="n"/>
      <c r="X151" s="1665" t="n"/>
      <c r="Y151" s="1665" t="n"/>
      <c r="Z151" s="1665" t="n"/>
    </row>
    <row r="152" ht="12.75" customHeight="1" s="1666">
      <c r="B152" s="3164" t="inlineStr">
        <is>
          <t xml:space="preserve">  if (s) { SpreadsheetApp.getActiveSpreadsheet().setActiveSheet(s); toast('📍 '+name, 'Navigation'); }</t>
        </is>
      </c>
      <c r="G152" s="1665" t="n"/>
      <c r="H152" s="1665" t="n"/>
      <c r="I152" s="1665" t="n"/>
      <c r="J152" s="1665" t="n"/>
      <c r="K152" s="1665" t="n"/>
      <c r="L152" s="1665" t="n"/>
      <c r="M152" s="1665" t="n"/>
      <c r="N152" s="1665" t="n"/>
      <c r="O152" s="1665" t="n"/>
      <c r="P152" s="1665" t="n"/>
      <c r="Q152" s="1665" t="n"/>
      <c r="R152" s="1665" t="n"/>
      <c r="S152" s="1665" t="n"/>
      <c r="T152" s="1665" t="n"/>
      <c r="U152" s="1665" t="n"/>
      <c r="V152" s="1665" t="n"/>
      <c r="W152" s="1665" t="n"/>
      <c r="X152" s="1665" t="n"/>
      <c r="Y152" s="1665" t="n"/>
      <c r="Z152" s="1665" t="n"/>
    </row>
    <row r="153" ht="12.75" customHeight="1" s="1666">
      <c r="B153" s="3164" t="inlineStr">
        <is>
          <t xml:space="preserve">  else SpreadsheetApp.getUi().alert('Onglet non trouvé: ' + name);</t>
        </is>
      </c>
      <c r="G153" s="1665" t="n"/>
      <c r="H153" s="1665" t="n"/>
      <c r="I153" s="1665" t="n"/>
      <c r="J153" s="1665" t="n"/>
      <c r="K153" s="1665" t="n"/>
      <c r="L153" s="1665" t="n"/>
      <c r="M153" s="1665" t="n"/>
      <c r="N153" s="1665" t="n"/>
      <c r="O153" s="1665" t="n"/>
      <c r="P153" s="1665" t="n"/>
      <c r="Q153" s="1665" t="n"/>
      <c r="R153" s="1665" t="n"/>
      <c r="S153" s="1665" t="n"/>
      <c r="T153" s="1665" t="n"/>
      <c r="U153" s="1665" t="n"/>
      <c r="V153" s="1665" t="n"/>
      <c r="W153" s="1665" t="n"/>
      <c r="X153" s="1665" t="n"/>
      <c r="Y153" s="1665" t="n"/>
      <c r="Z153" s="1665" t="n"/>
    </row>
    <row r="154" ht="12.75" customHeight="1" s="1666">
      <c r="B154" s="3164" t="inlineStr">
        <is>
          <t>}</t>
        </is>
      </c>
      <c r="G154" s="1665" t="n"/>
      <c r="H154" s="1665" t="n"/>
      <c r="I154" s="1665" t="n"/>
      <c r="J154" s="1665" t="n"/>
      <c r="K154" s="1665" t="n"/>
      <c r="L154" s="1665" t="n"/>
      <c r="M154" s="1665" t="n"/>
      <c r="N154" s="1665" t="n"/>
      <c r="O154" s="1665" t="n"/>
      <c r="P154" s="1665" t="n"/>
      <c r="Q154" s="1665" t="n"/>
      <c r="R154" s="1665" t="n"/>
      <c r="S154" s="1665" t="n"/>
      <c r="T154" s="1665" t="n"/>
      <c r="U154" s="1665" t="n"/>
      <c r="V154" s="1665" t="n"/>
      <c r="W154" s="1665" t="n"/>
      <c r="X154" s="1665" t="n"/>
      <c r="Y154" s="1665" t="n"/>
      <c r="Z154" s="1665" t="n"/>
    </row>
    <row r="155" ht="12.75" customHeight="1" s="1666">
      <c r="B155" s="3164" t="inlineStr">
        <is>
          <t>function nav_demarrage()    { nav('🚀 DÉMARRAGE'); }</t>
        </is>
      </c>
      <c r="G155" s="1665" t="n"/>
      <c r="H155" s="1665" t="n"/>
      <c r="I155" s="1665" t="n"/>
      <c r="J155" s="1665" t="n"/>
      <c r="K155" s="1665" t="n"/>
      <c r="L155" s="1665" t="n"/>
      <c r="M155" s="1665" t="n"/>
      <c r="N155" s="1665" t="n"/>
      <c r="O155" s="1665" t="n"/>
      <c r="P155" s="1665" t="n"/>
      <c r="Q155" s="1665" t="n"/>
      <c r="R155" s="1665" t="n"/>
      <c r="S155" s="1665" t="n"/>
      <c r="T155" s="1665" t="n"/>
      <c r="U155" s="1665" t="n"/>
      <c r="V155" s="1665" t="n"/>
      <c r="W155" s="1665" t="n"/>
      <c r="X155" s="1665" t="n"/>
      <c r="Y155" s="1665" t="n"/>
      <c r="Z155" s="1665" t="n"/>
    </row>
    <row r="156" ht="12.75" customHeight="1" s="1666">
      <c r="B156" s="3164" t="inlineStr">
        <is>
          <t>function nav_dashboard()    { nav('🏠 DASHBOARD'); }</t>
        </is>
      </c>
      <c r="G156" s="1665" t="n"/>
      <c r="H156" s="1665" t="n"/>
      <c r="I156" s="1665" t="n"/>
      <c r="J156" s="1665" t="n"/>
      <c r="K156" s="1665" t="n"/>
      <c r="L156" s="1665" t="n"/>
      <c r="M156" s="1665" t="n"/>
      <c r="N156" s="1665" t="n"/>
      <c r="O156" s="1665" t="n"/>
      <c r="P156" s="1665" t="n"/>
      <c r="Q156" s="1665" t="n"/>
      <c r="R156" s="1665" t="n"/>
      <c r="S156" s="1665" t="n"/>
      <c r="T156" s="1665" t="n"/>
      <c r="U156" s="1665" t="n"/>
      <c r="V156" s="1665" t="n"/>
      <c r="W156" s="1665" t="n"/>
      <c r="X156" s="1665" t="n"/>
      <c r="Y156" s="1665" t="n"/>
      <c r="Z156" s="1665" t="n"/>
    </row>
    <row r="157" ht="12.75" customHeight="1" s="1666">
      <c r="B157" s="3164" t="inlineStr">
        <is>
          <t>function nav_portefeuille() { nav('📈 PORTEFEUILLE'); }</t>
        </is>
      </c>
      <c r="G157" s="1665" t="n"/>
      <c r="H157" s="1665" t="n"/>
      <c r="I157" s="1665" t="n"/>
      <c r="J157" s="1665" t="n"/>
      <c r="K157" s="1665" t="n"/>
      <c r="L157" s="1665" t="n"/>
      <c r="M157" s="1665" t="n"/>
      <c r="N157" s="1665" t="n"/>
      <c r="O157" s="1665" t="n"/>
      <c r="P157" s="1665" t="n"/>
      <c r="Q157" s="1665" t="n"/>
      <c r="R157" s="1665" t="n"/>
      <c r="S157" s="1665" t="n"/>
      <c r="T157" s="1665" t="n"/>
      <c r="U157" s="1665" t="n"/>
      <c r="V157" s="1665" t="n"/>
      <c r="W157" s="1665" t="n"/>
      <c r="X157" s="1665" t="n"/>
      <c r="Y157" s="1665" t="n"/>
      <c r="Z157" s="1665" t="n"/>
    </row>
    <row r="158" ht="12.75" customHeight="1" s="1666">
      <c r="B158" s="3164" t="inlineStr">
        <is>
          <t>function nav_analyse()      { nav('🔍 ANALYSE TRIABLE'); }</t>
        </is>
      </c>
      <c r="G158" s="1665" t="n"/>
      <c r="H158" s="1665" t="n"/>
      <c r="I158" s="1665" t="n"/>
      <c r="J158" s="1665" t="n"/>
      <c r="K158" s="1665" t="n"/>
      <c r="L158" s="1665" t="n"/>
      <c r="M158" s="1665" t="n"/>
      <c r="N158" s="1665" t="n"/>
      <c r="O158" s="1665" t="n"/>
      <c r="P158" s="1665" t="n"/>
      <c r="Q158" s="1665" t="n"/>
      <c r="R158" s="1665" t="n"/>
      <c r="S158" s="1665" t="n"/>
      <c r="T158" s="1665" t="n"/>
      <c r="U158" s="1665" t="n"/>
      <c r="V158" s="1665" t="n"/>
      <c r="W158" s="1665" t="n"/>
      <c r="X158" s="1665" t="n"/>
      <c r="Y158" s="1665" t="n"/>
      <c r="Z158" s="1665" t="n"/>
    </row>
    <row r="159" ht="12.75" customHeight="1" s="1666">
      <c r="B159" s="3164" t="inlineStr">
        <is>
          <t>function nav_analysepro()   { nav('📊 ANALYSE PRO'); }</t>
        </is>
      </c>
      <c r="G159" s="1665" t="n"/>
      <c r="H159" s="1665" t="n"/>
      <c r="I159" s="1665" t="n"/>
      <c r="J159" s="1665" t="n"/>
      <c r="K159" s="1665" t="n"/>
      <c r="L159" s="1665" t="n"/>
      <c r="M159" s="1665" t="n"/>
      <c r="N159" s="1665" t="n"/>
      <c r="O159" s="1665" t="n"/>
      <c r="P159" s="1665" t="n"/>
      <c r="Q159" s="1665" t="n"/>
      <c r="R159" s="1665" t="n"/>
      <c r="S159" s="1665" t="n"/>
      <c r="T159" s="1665" t="n"/>
      <c r="U159" s="1665" t="n"/>
      <c r="V159" s="1665" t="n"/>
      <c r="W159" s="1665" t="n"/>
      <c r="X159" s="1665" t="n"/>
      <c r="Y159" s="1665" t="n"/>
      <c r="Z159" s="1665" t="n"/>
    </row>
    <row r="160" ht="12.75" customHeight="1" s="1666">
      <c r="B160" s="3164" t="inlineStr">
        <is>
          <t>function nav_fiscal()       { nav('❄️ FISCAL'); }</t>
        </is>
      </c>
      <c r="G160" s="1665" t="n"/>
      <c r="H160" s="1665" t="n"/>
      <c r="I160" s="1665" t="n"/>
      <c r="J160" s="1665" t="n"/>
      <c r="K160" s="1665" t="n"/>
      <c r="L160" s="1665" t="n"/>
      <c r="M160" s="1665" t="n"/>
      <c r="N160" s="1665" t="n"/>
      <c r="O160" s="1665" t="n"/>
      <c r="P160" s="1665" t="n"/>
      <c r="Q160" s="1665" t="n"/>
      <c r="R160" s="1665" t="n"/>
      <c r="S160" s="1665" t="n"/>
      <c r="T160" s="1665" t="n"/>
      <c r="U160" s="1665" t="n"/>
      <c r="V160" s="1665" t="n"/>
      <c r="W160" s="1665" t="n"/>
      <c r="X160" s="1665" t="n"/>
      <c r="Y160" s="1665" t="n"/>
      <c r="Z160" s="1665" t="n"/>
    </row>
    <row r="161" ht="12.75" customHeight="1" s="1666">
      <c r="B161" s="3164" t="inlineStr">
        <is>
          <t>function nav_revenus()      { nav('💰 REVENUS'); }</t>
        </is>
      </c>
      <c r="G161" s="1665" t="n"/>
      <c r="H161" s="1665" t="n"/>
      <c r="I161" s="1665" t="n"/>
      <c r="J161" s="1665" t="n"/>
      <c r="K161" s="1665" t="n"/>
      <c r="L161" s="1665" t="n"/>
      <c r="M161" s="1665" t="n"/>
      <c r="N161" s="1665" t="n"/>
      <c r="O161" s="1665" t="n"/>
      <c r="P161" s="1665" t="n"/>
      <c r="Q161" s="1665" t="n"/>
      <c r="R161" s="1665" t="n"/>
      <c r="S161" s="1665" t="n"/>
      <c r="T161" s="1665" t="n"/>
      <c r="U161" s="1665" t="n"/>
      <c r="V161" s="1665" t="n"/>
      <c r="W161" s="1665" t="n"/>
      <c r="X161" s="1665" t="n"/>
      <c r="Y161" s="1665" t="n"/>
      <c r="Z161" s="1665" t="n"/>
    </row>
    <row r="162" ht="12.75" customHeight="1" s="1666">
      <c r="B162" s="3164" t="inlineStr">
        <is>
          <t>function nav_maison()       { nav('🏠 MAISON 2030+'); }</t>
        </is>
      </c>
      <c r="G162" s="1665" t="n"/>
      <c r="H162" s="1665" t="n"/>
      <c r="I162" s="1665" t="n"/>
      <c r="J162" s="1665" t="n"/>
      <c r="K162" s="1665" t="n"/>
      <c r="L162" s="1665" t="n"/>
      <c r="M162" s="1665" t="n"/>
      <c r="N162" s="1665" t="n"/>
      <c r="O162" s="1665" t="n"/>
      <c r="P162" s="1665" t="n"/>
      <c r="Q162" s="1665" t="n"/>
      <c r="R162" s="1665" t="n"/>
      <c r="S162" s="1665" t="n"/>
      <c r="T162" s="1665" t="n"/>
      <c r="U162" s="1665" t="n"/>
      <c r="V162" s="1665" t="n"/>
      <c r="W162" s="1665" t="n"/>
      <c r="X162" s="1665" t="n"/>
      <c r="Y162" s="1665" t="n"/>
      <c r="Z162" s="1665" t="n"/>
    </row>
    <row r="163" ht="12.75" customHeight="1" s="1666">
      <c r="B163" s="3164" t="inlineStr">
        <is>
          <t>function nav_projection()   { nav('📈 PROJECTION FI'); }</t>
        </is>
      </c>
      <c r="G163" s="1665" t="n"/>
      <c r="H163" s="1665" t="n"/>
      <c r="I163" s="1665" t="n"/>
      <c r="J163" s="1665" t="n"/>
      <c r="K163" s="1665" t="n"/>
      <c r="L163" s="1665" t="n"/>
      <c r="M163" s="1665" t="n"/>
      <c r="N163" s="1665" t="n"/>
      <c r="O163" s="1665" t="n"/>
      <c r="P163" s="1665" t="n"/>
      <c r="Q163" s="1665" t="n"/>
      <c r="R163" s="1665" t="n"/>
      <c r="S163" s="1665" t="n"/>
      <c r="T163" s="1665" t="n"/>
      <c r="U163" s="1665" t="n"/>
      <c r="V163" s="1665" t="n"/>
      <c r="W163" s="1665" t="n"/>
      <c r="X163" s="1665" t="n"/>
      <c r="Y163" s="1665" t="n"/>
      <c r="Z163" s="1665" t="n"/>
    </row>
    <row r="164" ht="12.75" customHeight="1" s="1666">
      <c r="B164" s="3164" t="inlineStr">
        <is>
          <t>function nav_historique()   { nav('📓 HISTORIQUE'); }</t>
        </is>
      </c>
      <c r="G164" s="1665" t="n"/>
      <c r="H164" s="1665" t="n"/>
      <c r="I164" s="1665" t="n"/>
      <c r="J164" s="1665" t="n"/>
      <c r="K164" s="1665" t="n"/>
      <c r="L164" s="1665" t="n"/>
      <c r="M164" s="1665" t="n"/>
      <c r="N164" s="1665" t="n"/>
      <c r="O164" s="1665" t="n"/>
      <c r="P164" s="1665" t="n"/>
      <c r="Q164" s="1665" t="n"/>
      <c r="R164" s="1665" t="n"/>
      <c r="S164" s="1665" t="n"/>
      <c r="T164" s="1665" t="n"/>
      <c r="U164" s="1665" t="n"/>
      <c r="V164" s="1665" t="n"/>
      <c r="W164" s="1665" t="n"/>
      <c r="X164" s="1665" t="n"/>
      <c r="Y164" s="1665" t="n"/>
      <c r="Z164" s="1665" t="n"/>
    </row>
    <row r="165" ht="12.75" customHeight="1" s="1666">
      <c r="B165" s="3164" t="inlineStr">
        <is>
          <t>function nav_journal()      { nav('📓 JOURNAL DÉCISIONS'); }</t>
        </is>
      </c>
      <c r="G165" s="1665" t="n"/>
      <c r="H165" s="1665" t="n"/>
      <c r="I165" s="1665" t="n"/>
      <c r="J165" s="1665" t="n"/>
      <c r="K165" s="1665" t="n"/>
      <c r="L165" s="1665" t="n"/>
      <c r="M165" s="1665" t="n"/>
      <c r="N165" s="1665" t="n"/>
      <c r="O165" s="1665" t="n"/>
      <c r="P165" s="1665" t="n"/>
      <c r="Q165" s="1665" t="n"/>
      <c r="R165" s="1665" t="n"/>
      <c r="S165" s="1665" t="n"/>
      <c r="T165" s="1665" t="n"/>
      <c r="U165" s="1665" t="n"/>
      <c r="V165" s="1665" t="n"/>
      <c r="W165" s="1665" t="n"/>
      <c r="X165" s="1665" t="n"/>
      <c r="Y165" s="1665" t="n"/>
      <c r="Z165" s="1665" t="n"/>
    </row>
    <row r="166" ht="12.75" customHeight="1" s="1666">
      <c r="B166" s="3164" t="n"/>
      <c r="G166" s="1665" t="n"/>
      <c r="H166" s="1665" t="n"/>
      <c r="I166" s="1665" t="n"/>
      <c r="J166" s="1665" t="n"/>
      <c r="K166" s="1665" t="n"/>
      <c r="L166" s="1665" t="n"/>
      <c r="M166" s="1665" t="n"/>
      <c r="N166" s="1665" t="n"/>
      <c r="O166" s="1665" t="n"/>
      <c r="P166" s="1665" t="n"/>
      <c r="Q166" s="1665" t="n"/>
      <c r="R166" s="1665" t="n"/>
      <c r="S166" s="1665" t="n"/>
      <c r="T166" s="1665" t="n"/>
      <c r="U166" s="1665" t="n"/>
      <c r="V166" s="1665" t="n"/>
      <c r="W166" s="1665" t="n"/>
      <c r="X166" s="1665" t="n"/>
      <c r="Y166" s="1665" t="n"/>
      <c r="Z166" s="1665" t="n"/>
    </row>
    <row r="167" ht="12.75" customHeight="1" s="1666">
      <c r="B167" s="3164" t="inlineStr">
        <is>
          <t>// ============================================================</t>
        </is>
      </c>
      <c r="G167" s="1665" t="n"/>
      <c r="H167" s="1665" t="n"/>
      <c r="I167" s="1665" t="n"/>
      <c r="J167" s="1665" t="n"/>
      <c r="K167" s="1665" t="n"/>
      <c r="L167" s="1665" t="n"/>
      <c r="M167" s="1665" t="n"/>
      <c r="N167" s="1665" t="n"/>
      <c r="O167" s="1665" t="n"/>
      <c r="P167" s="1665" t="n"/>
      <c r="Q167" s="1665" t="n"/>
      <c r="R167" s="1665" t="n"/>
      <c r="S167" s="1665" t="n"/>
      <c r="T167" s="1665" t="n"/>
      <c r="U167" s="1665" t="n"/>
      <c r="V167" s="1665" t="n"/>
      <c r="W167" s="1665" t="n"/>
      <c r="X167" s="1665" t="n"/>
      <c r="Y167" s="1665" t="n"/>
      <c r="Z167" s="1665" t="n"/>
    </row>
    <row r="168" ht="12.75" customHeight="1" s="1666">
      <c r="B168" s="3164" t="inlineStr">
        <is>
          <t>// SNAPSHOT → HISTORIQUE</t>
        </is>
      </c>
      <c r="G168" s="1665" t="n"/>
      <c r="H168" s="1665" t="n"/>
      <c r="I168" s="1665" t="n"/>
      <c r="J168" s="1665" t="n"/>
      <c r="K168" s="1665" t="n"/>
      <c r="L168" s="1665" t="n"/>
      <c r="M168" s="1665" t="n"/>
      <c r="N168" s="1665" t="n"/>
      <c r="O168" s="1665" t="n"/>
      <c r="P168" s="1665" t="n"/>
      <c r="Q168" s="1665" t="n"/>
      <c r="R168" s="1665" t="n"/>
      <c r="S168" s="1665" t="n"/>
      <c r="T168" s="1665" t="n"/>
      <c r="U168" s="1665" t="n"/>
      <c r="V168" s="1665" t="n"/>
      <c r="W168" s="1665" t="n"/>
      <c r="X168" s="1665" t="n"/>
      <c r="Y168" s="1665" t="n"/>
      <c r="Z168" s="1665" t="n"/>
    </row>
    <row r="169" ht="12.75" customHeight="1" s="1666">
      <c r="B169" s="3164" t="inlineStr">
        <is>
          <t>// ============================================================</t>
        </is>
      </c>
      <c r="G169" s="1665" t="n"/>
      <c r="H169" s="1665" t="n"/>
      <c r="I169" s="1665" t="n"/>
      <c r="J169" s="1665" t="n"/>
      <c r="K169" s="1665" t="n"/>
      <c r="L169" s="1665" t="n"/>
      <c r="M169" s="1665" t="n"/>
      <c r="N169" s="1665" t="n"/>
      <c r="O169" s="1665" t="n"/>
      <c r="P169" s="1665" t="n"/>
      <c r="Q169" s="1665" t="n"/>
      <c r="R169" s="1665" t="n"/>
      <c r="S169" s="1665" t="n"/>
      <c r="T169" s="1665" t="n"/>
      <c r="U169" s="1665" t="n"/>
      <c r="V169" s="1665" t="n"/>
      <c r="W169" s="1665" t="n"/>
      <c r="X169" s="1665" t="n"/>
      <c r="Y169" s="1665" t="n"/>
      <c r="Z169" s="1665" t="n"/>
    </row>
    <row r="170" ht="12.75" customHeight="1" s="1666">
      <c r="B170" s="3164" t="inlineStr">
        <is>
          <t>function snapshot() {</t>
        </is>
      </c>
      <c r="G170" s="1665" t="n"/>
      <c r="H170" s="1665" t="n"/>
      <c r="I170" s="1665" t="n"/>
      <c r="J170" s="1665" t="n"/>
      <c r="K170" s="1665" t="n"/>
      <c r="L170" s="1665" t="n"/>
      <c r="M170" s="1665" t="n"/>
      <c r="N170" s="1665" t="n"/>
      <c r="O170" s="1665" t="n"/>
      <c r="P170" s="1665" t="n"/>
      <c r="Q170" s="1665" t="n"/>
      <c r="R170" s="1665" t="n"/>
      <c r="S170" s="1665" t="n"/>
      <c r="T170" s="1665" t="n"/>
      <c r="U170" s="1665" t="n"/>
      <c r="V170" s="1665" t="n"/>
      <c r="W170" s="1665" t="n"/>
      <c r="X170" s="1665" t="n"/>
      <c r="Y170" s="1665" t="n"/>
      <c r="Z170" s="1665" t="n"/>
    </row>
    <row r="171" ht="12.75" customHeight="1" s="1666">
      <c r="B171" s="3164" t="inlineStr">
        <is>
          <t xml:space="preserve">  const ss   = SpreadsheetApp.getActiveSpreadsheet();</t>
        </is>
      </c>
      <c r="G171" s="1665" t="n"/>
      <c r="H171" s="1665" t="n"/>
      <c r="I171" s="1665" t="n"/>
      <c r="J171" s="1665" t="n"/>
      <c r="K171" s="1665" t="n"/>
      <c r="L171" s="1665" t="n"/>
      <c r="M171" s="1665" t="n"/>
      <c r="N171" s="1665" t="n"/>
      <c r="O171" s="1665" t="n"/>
      <c r="P171" s="1665" t="n"/>
      <c r="Q171" s="1665" t="n"/>
      <c r="R171" s="1665" t="n"/>
      <c r="S171" s="1665" t="n"/>
      <c r="T171" s="1665" t="n"/>
      <c r="U171" s="1665" t="n"/>
      <c r="V171" s="1665" t="n"/>
      <c r="W171" s="1665" t="n"/>
      <c r="X171" s="1665" t="n"/>
      <c r="Y171" s="1665" t="n"/>
      <c r="Z171" s="1665" t="n"/>
    </row>
    <row r="172" ht="12.75" customHeight="1" s="1666">
      <c r="B172" s="3164" t="inlineStr">
        <is>
          <t xml:space="preserve">  const port = ss.getSheetByName('📈 PORTEFEUILLE');</t>
        </is>
      </c>
      <c r="G172" s="1665" t="n"/>
      <c r="H172" s="1665" t="n"/>
      <c r="I172" s="1665" t="n"/>
      <c r="J172" s="1665" t="n"/>
      <c r="K172" s="1665" t="n"/>
      <c r="L172" s="1665" t="n"/>
      <c r="M172" s="1665" t="n"/>
      <c r="N172" s="1665" t="n"/>
      <c r="O172" s="1665" t="n"/>
      <c r="P172" s="1665" t="n"/>
      <c r="Q172" s="1665" t="n"/>
      <c r="R172" s="1665" t="n"/>
      <c r="S172" s="1665" t="n"/>
      <c r="T172" s="1665" t="n"/>
      <c r="U172" s="1665" t="n"/>
      <c r="V172" s="1665" t="n"/>
      <c r="W172" s="1665" t="n"/>
      <c r="X172" s="1665" t="n"/>
      <c r="Y172" s="1665" t="n"/>
      <c r="Z172" s="1665" t="n"/>
    </row>
    <row r="173" ht="12.75" customHeight="1" s="1666">
      <c r="B173" s="3164" t="inlineStr">
        <is>
          <t xml:space="preserve">  const hist = ss.getSheetByName('📓 HISTORIQUE');</t>
        </is>
      </c>
      <c r="G173" s="1665" t="n"/>
      <c r="H173" s="1665" t="n"/>
      <c r="I173" s="1665" t="n"/>
      <c r="J173" s="1665" t="n"/>
      <c r="K173" s="1665" t="n"/>
      <c r="L173" s="1665" t="n"/>
      <c r="M173" s="1665" t="n"/>
      <c r="N173" s="1665" t="n"/>
      <c r="O173" s="1665" t="n"/>
      <c r="P173" s="1665" t="n"/>
      <c r="Q173" s="1665" t="n"/>
      <c r="R173" s="1665" t="n"/>
      <c r="S173" s="1665" t="n"/>
      <c r="T173" s="1665" t="n"/>
      <c r="U173" s="1665" t="n"/>
      <c r="V173" s="1665" t="n"/>
      <c r="W173" s="1665" t="n"/>
      <c r="X173" s="1665" t="n"/>
      <c r="Y173" s="1665" t="n"/>
      <c r="Z173" s="1665" t="n"/>
    </row>
    <row r="174" ht="12.75" customHeight="1" s="1666">
      <c r="B174" s="3164" t="inlineStr">
        <is>
          <t xml:space="preserve">  if (!port || !hist) { SpreadsheetApp.getUi().alert('Onglet manquant: PORTEFEUILLE ou HISTORIQUE'); return; }</t>
        </is>
      </c>
      <c r="G174" s="1665" t="n"/>
      <c r="H174" s="1665" t="n"/>
      <c r="I174" s="1665" t="n"/>
      <c r="J174" s="1665" t="n"/>
      <c r="K174" s="1665" t="n"/>
      <c r="L174" s="1665" t="n"/>
      <c r="M174" s="1665" t="n"/>
      <c r="N174" s="1665" t="n"/>
      <c r="O174" s="1665" t="n"/>
      <c r="P174" s="1665" t="n"/>
      <c r="Q174" s="1665" t="n"/>
      <c r="R174" s="1665" t="n"/>
      <c r="S174" s="1665" t="n"/>
      <c r="T174" s="1665" t="n"/>
      <c r="U174" s="1665" t="n"/>
      <c r="V174" s="1665" t="n"/>
      <c r="W174" s="1665" t="n"/>
      <c r="X174" s="1665" t="n"/>
      <c r="Y174" s="1665" t="n"/>
      <c r="Z174" s="1665" t="n"/>
    </row>
    <row r="175" ht="12.75" customHeight="1" s="1666">
      <c r="B175" s="3164" t="inlineStr">
        <is>
          <t xml:space="preserve">  const date  = Utilities.formatDate(new Date(), 'America/Toronto', 'yyyy-MM-dd HH:mm');</t>
        </is>
      </c>
      <c r="G175" s="1665" t="n"/>
      <c r="H175" s="1665" t="n"/>
      <c r="I175" s="1665" t="n"/>
      <c r="J175" s="1665" t="n"/>
      <c r="K175" s="1665" t="n"/>
      <c r="L175" s="1665" t="n"/>
      <c r="M175" s="1665" t="n"/>
      <c r="N175" s="1665" t="n"/>
      <c r="O175" s="1665" t="n"/>
      <c r="P175" s="1665" t="n"/>
      <c r="Q175" s="1665" t="n"/>
      <c r="R175" s="1665" t="n"/>
      <c r="S175" s="1665" t="n"/>
      <c r="T175" s="1665" t="n"/>
      <c r="U175" s="1665" t="n"/>
      <c r="V175" s="1665" t="n"/>
      <c r="W175" s="1665" t="n"/>
      <c r="X175" s="1665" t="n"/>
      <c r="Y175" s="1665" t="n"/>
      <c r="Z175" s="1665" t="n"/>
    </row>
    <row r="176" ht="12.75" customHeight="1" s="1666">
      <c r="B176" s="3164" t="inlineStr">
        <is>
          <t xml:space="preserve">  const tfsa  = port.getRange('C8').getValue();</t>
        </is>
      </c>
      <c r="G176" s="1665" t="n"/>
      <c r="H176" s="1665" t="n"/>
      <c r="I176" s="1665" t="n"/>
      <c r="J176" s="1665" t="n"/>
      <c r="K176" s="1665" t="n"/>
      <c r="L176" s="1665" t="n"/>
      <c r="M176" s="1665" t="n"/>
      <c r="N176" s="1665" t="n"/>
      <c r="O176" s="1665" t="n"/>
      <c r="P176" s="1665" t="n"/>
      <c r="Q176" s="1665" t="n"/>
      <c r="R176" s="1665" t="n"/>
      <c r="S176" s="1665" t="n"/>
      <c r="T176" s="1665" t="n"/>
      <c r="U176" s="1665" t="n"/>
      <c r="V176" s="1665" t="n"/>
      <c r="W176" s="1665" t="n"/>
      <c r="X176" s="1665" t="n"/>
      <c r="Y176" s="1665" t="n"/>
      <c r="Z176" s="1665" t="n"/>
    </row>
    <row r="177" ht="12.75" customHeight="1" s="1666">
      <c r="B177" s="3164" t="inlineStr">
        <is>
          <t xml:space="preserve">  const fhsa  = port.getRange('C9').getValue();</t>
        </is>
      </c>
      <c r="G177" s="1665" t="n"/>
      <c r="H177" s="1665" t="n"/>
      <c r="I177" s="1665" t="n"/>
      <c r="J177" s="1665" t="n"/>
      <c r="K177" s="1665" t="n"/>
      <c r="L177" s="1665" t="n"/>
      <c r="M177" s="1665" t="n"/>
      <c r="N177" s="1665" t="n"/>
      <c r="O177" s="1665" t="n"/>
      <c r="P177" s="1665" t="n"/>
      <c r="Q177" s="1665" t="n"/>
      <c r="R177" s="1665" t="n"/>
      <c r="S177" s="1665" t="n"/>
      <c r="T177" s="1665" t="n"/>
      <c r="U177" s="1665" t="n"/>
      <c r="V177" s="1665" t="n"/>
      <c r="W177" s="1665" t="n"/>
      <c r="X177" s="1665" t="n"/>
      <c r="Y177" s="1665" t="n"/>
      <c r="Z177" s="1665" t="n"/>
    </row>
    <row r="178" ht="12.75" customHeight="1" s="1666">
      <c r="B178" s="3164" t="inlineStr">
        <is>
          <t xml:space="preserve">  const reer  = port.getRange('C10').getValue();</t>
        </is>
      </c>
      <c r="G178" s="1665" t="n"/>
      <c r="H178" s="1665" t="n"/>
      <c r="I178" s="1665" t="n"/>
      <c r="J178" s="1665" t="n"/>
      <c r="K178" s="1665" t="n"/>
      <c r="L178" s="1665" t="n"/>
      <c r="M178" s="1665" t="n"/>
      <c r="N178" s="1665" t="n"/>
      <c r="O178" s="1665" t="n"/>
      <c r="P178" s="1665" t="n"/>
      <c r="Q178" s="1665" t="n"/>
      <c r="R178" s="1665" t="n"/>
      <c r="S178" s="1665" t="n"/>
      <c r="T178" s="1665" t="n"/>
      <c r="U178" s="1665" t="n"/>
      <c r="V178" s="1665" t="n"/>
      <c r="W178" s="1665" t="n"/>
      <c r="X178" s="1665" t="n"/>
      <c r="Y178" s="1665" t="n"/>
      <c r="Z178" s="1665" t="n"/>
    </row>
    <row r="179" ht="12.75" customHeight="1" s="1666">
      <c r="B179" s="3164" t="inlineStr">
        <is>
          <t xml:space="preserve">  const total = port.getRange('C11').getValue();</t>
        </is>
      </c>
      <c r="G179" s="1665" t="n"/>
      <c r="H179" s="1665" t="n"/>
      <c r="I179" s="1665" t="n"/>
      <c r="J179" s="1665" t="n"/>
      <c r="K179" s="1665" t="n"/>
      <c r="L179" s="1665" t="n"/>
      <c r="M179" s="1665" t="n"/>
      <c r="N179" s="1665" t="n"/>
      <c r="O179" s="1665" t="n"/>
      <c r="P179" s="1665" t="n"/>
      <c r="Q179" s="1665" t="n"/>
      <c r="R179" s="1665" t="n"/>
      <c r="S179" s="1665" t="n"/>
      <c r="T179" s="1665" t="n"/>
      <c r="U179" s="1665" t="n"/>
      <c r="V179" s="1665" t="n"/>
      <c r="W179" s="1665" t="n"/>
      <c r="X179" s="1665" t="n"/>
      <c r="Y179" s="1665" t="n"/>
      <c r="Z179" s="1665" t="n"/>
    </row>
    <row r="180" ht="12.75" customHeight="1" s="1666">
      <c r="B180" s="3164" t="inlineStr">
        <is>
          <t xml:space="preserve">  const gainP = port.getRange('G11').getValue();</t>
        </is>
      </c>
      <c r="G180" s="1665" t="n"/>
      <c r="H180" s="1665" t="n"/>
      <c r="I180" s="1665" t="n"/>
      <c r="J180" s="1665" t="n"/>
      <c r="K180" s="1665" t="n"/>
      <c r="L180" s="1665" t="n"/>
      <c r="M180" s="1665" t="n"/>
      <c r="N180" s="1665" t="n"/>
      <c r="O180" s="1665" t="n"/>
      <c r="P180" s="1665" t="n"/>
      <c r="Q180" s="1665" t="n"/>
      <c r="R180" s="1665" t="n"/>
      <c r="S180" s="1665" t="n"/>
      <c r="T180" s="1665" t="n"/>
      <c r="U180" s="1665" t="n"/>
      <c r="V180" s="1665" t="n"/>
      <c r="W180" s="1665" t="n"/>
      <c r="X180" s="1665" t="n"/>
      <c r="Y180" s="1665" t="n"/>
      <c r="Z180" s="1665" t="n"/>
    </row>
    <row r="181" ht="12.75" customHeight="1" s="1666">
      <c r="B181" s="3164" t="inlineStr">
        <is>
          <t xml:space="preserve">  hist.getRange(hist.getLastRow()+1, 1, 1, 8).setValues([[</t>
        </is>
      </c>
      <c r="G181" s="1665" t="n"/>
      <c r="H181" s="1665" t="n"/>
      <c r="I181" s="1665" t="n"/>
      <c r="J181" s="1665" t="n"/>
      <c r="K181" s="1665" t="n"/>
      <c r="L181" s="1665" t="n"/>
      <c r="M181" s="1665" t="n"/>
      <c r="N181" s="1665" t="n"/>
      <c r="O181" s="1665" t="n"/>
      <c r="P181" s="1665" t="n"/>
      <c r="Q181" s="1665" t="n"/>
      <c r="R181" s="1665" t="n"/>
      <c r="S181" s="1665" t="n"/>
      <c r="T181" s="1665" t="n"/>
      <c r="U181" s="1665" t="n"/>
      <c r="V181" s="1665" t="n"/>
      <c r="W181" s="1665" t="n"/>
      <c r="X181" s="1665" t="n"/>
      <c r="Y181" s="1665" t="n"/>
      <c r="Z181" s="1665" t="n"/>
    </row>
    <row r="182" ht="12.75" customHeight="1" s="1666">
      <c r="B182" s="3164" t="inlineStr">
        <is>
          <t xml:space="preserve">    date, tfsa, fhsa, reer, total, gainP, 'Snapshot auto', 'Apps Script v3'</t>
        </is>
      </c>
      <c r="G182" s="1665" t="n"/>
      <c r="H182" s="1665" t="n"/>
      <c r="I182" s="1665" t="n"/>
      <c r="J182" s="1665" t="n"/>
      <c r="K182" s="1665" t="n"/>
      <c r="L182" s="1665" t="n"/>
      <c r="M182" s="1665" t="n"/>
      <c r="N182" s="1665" t="n"/>
      <c r="O182" s="1665" t="n"/>
      <c r="P182" s="1665" t="n"/>
      <c r="Q182" s="1665" t="n"/>
      <c r="R182" s="1665" t="n"/>
      <c r="S182" s="1665" t="n"/>
      <c r="T182" s="1665" t="n"/>
      <c r="U182" s="1665" t="n"/>
      <c r="V182" s="1665" t="n"/>
      <c r="W182" s="1665" t="n"/>
      <c r="X182" s="1665" t="n"/>
      <c r="Y182" s="1665" t="n"/>
      <c r="Z182" s="1665" t="n"/>
    </row>
    <row r="183" ht="12.75" customHeight="1" s="1666">
      <c r="B183" s="3164" t="inlineStr">
        <is>
          <t xml:space="preserve">  ]]);</t>
        </is>
      </c>
      <c r="G183" s="1665" t="n"/>
      <c r="H183" s="1665" t="n"/>
      <c r="I183" s="1665" t="n"/>
      <c r="J183" s="1665" t="n"/>
      <c r="K183" s="1665" t="n"/>
      <c r="L183" s="1665" t="n"/>
      <c r="M183" s="1665" t="n"/>
      <c r="N183" s="1665" t="n"/>
      <c r="O183" s="1665" t="n"/>
      <c r="P183" s="1665" t="n"/>
      <c r="Q183" s="1665" t="n"/>
      <c r="R183" s="1665" t="n"/>
      <c r="S183" s="1665" t="n"/>
      <c r="T183" s="1665" t="n"/>
      <c r="U183" s="1665" t="n"/>
      <c r="V183" s="1665" t="n"/>
      <c r="W183" s="1665" t="n"/>
      <c r="X183" s="1665" t="n"/>
      <c r="Y183" s="1665" t="n"/>
      <c r="Z183" s="1665" t="n"/>
    </row>
    <row r="184" ht="12.75" customHeight="1" s="1666">
      <c r="B184" s="3164" t="inlineStr">
        <is>
          <t xml:space="preserve">  toast('✅ $' + Math.round(total).toLocaleString() + ' CAD enregistré dans HISTORIQUE', '📋 Snapshot');</t>
        </is>
      </c>
      <c r="G184" s="1665" t="n"/>
      <c r="H184" s="1665" t="n"/>
      <c r="I184" s="1665" t="n"/>
      <c r="J184" s="1665" t="n"/>
      <c r="K184" s="1665" t="n"/>
      <c r="L184" s="1665" t="n"/>
      <c r="M184" s="1665" t="n"/>
      <c r="N184" s="1665" t="n"/>
      <c r="O184" s="1665" t="n"/>
      <c r="P184" s="1665" t="n"/>
      <c r="Q184" s="1665" t="n"/>
      <c r="R184" s="1665" t="n"/>
      <c r="S184" s="1665" t="n"/>
      <c r="T184" s="1665" t="n"/>
      <c r="U184" s="1665" t="n"/>
      <c r="V184" s="1665" t="n"/>
      <c r="W184" s="1665" t="n"/>
      <c r="X184" s="1665" t="n"/>
      <c r="Y184" s="1665" t="n"/>
      <c r="Z184" s="1665" t="n"/>
    </row>
    <row r="185" ht="12.75" customHeight="1" s="1666">
      <c r="B185" s="3164" t="inlineStr">
        <is>
          <t>}</t>
        </is>
      </c>
      <c r="G185" s="1665" t="n"/>
      <c r="H185" s="1665" t="n"/>
      <c r="I185" s="1665" t="n"/>
      <c r="J185" s="1665" t="n"/>
      <c r="K185" s="1665" t="n"/>
      <c r="L185" s="1665" t="n"/>
      <c r="M185" s="1665" t="n"/>
      <c r="N185" s="1665" t="n"/>
      <c r="O185" s="1665" t="n"/>
      <c r="P185" s="1665" t="n"/>
      <c r="Q185" s="1665" t="n"/>
      <c r="R185" s="1665" t="n"/>
      <c r="S185" s="1665" t="n"/>
      <c r="T185" s="1665" t="n"/>
      <c r="U185" s="1665" t="n"/>
      <c r="V185" s="1665" t="n"/>
      <c r="W185" s="1665" t="n"/>
      <c r="X185" s="1665" t="n"/>
      <c r="Y185" s="1665" t="n"/>
      <c r="Z185" s="1665" t="n"/>
    </row>
    <row r="186" ht="12.75" customHeight="1" s="1666">
      <c r="B186" s="3164" t="n"/>
      <c r="G186" s="1665" t="n"/>
      <c r="H186" s="1665" t="n"/>
      <c r="I186" s="1665" t="n"/>
      <c r="J186" s="1665" t="n"/>
      <c r="K186" s="1665" t="n"/>
      <c r="L186" s="1665" t="n"/>
      <c r="M186" s="1665" t="n"/>
      <c r="N186" s="1665" t="n"/>
      <c r="O186" s="1665" t="n"/>
      <c r="P186" s="1665" t="n"/>
      <c r="Q186" s="1665" t="n"/>
      <c r="R186" s="1665" t="n"/>
      <c r="S186" s="1665" t="n"/>
      <c r="T186" s="1665" t="n"/>
      <c r="U186" s="1665" t="n"/>
      <c r="V186" s="1665" t="n"/>
      <c r="W186" s="1665" t="n"/>
      <c r="X186" s="1665" t="n"/>
      <c r="Y186" s="1665" t="n"/>
      <c r="Z186" s="1665" t="n"/>
    </row>
    <row r="187" ht="12.75" customHeight="1" s="1666">
      <c r="B187" s="3164" t="inlineStr">
        <is>
          <t>// ============================================================</t>
        </is>
      </c>
      <c r="G187" s="1665" t="n"/>
      <c r="H187" s="1665" t="n"/>
      <c r="I187" s="1665" t="n"/>
      <c r="J187" s="1665" t="n"/>
      <c r="K187" s="1665" t="n"/>
      <c r="L187" s="1665" t="n"/>
      <c r="M187" s="1665" t="n"/>
      <c r="N187" s="1665" t="n"/>
      <c r="O187" s="1665" t="n"/>
      <c r="P187" s="1665" t="n"/>
      <c r="Q187" s="1665" t="n"/>
      <c r="R187" s="1665" t="n"/>
      <c r="S187" s="1665" t="n"/>
      <c r="T187" s="1665" t="n"/>
      <c r="U187" s="1665" t="n"/>
      <c r="V187" s="1665" t="n"/>
      <c r="W187" s="1665" t="n"/>
      <c r="X187" s="1665" t="n"/>
      <c r="Y187" s="1665" t="n"/>
      <c r="Z187" s="1665" t="n"/>
    </row>
    <row r="188" ht="12.75" customHeight="1" s="1666">
      <c r="B188" s="3164" t="inlineStr">
        <is>
          <t>// NOTE DE SESSION</t>
        </is>
      </c>
      <c r="G188" s="1665" t="n"/>
      <c r="H188" s="1665" t="n"/>
      <c r="I188" s="1665" t="n"/>
      <c r="J188" s="1665" t="n"/>
      <c r="K188" s="1665" t="n"/>
      <c r="L188" s="1665" t="n"/>
      <c r="M188" s="1665" t="n"/>
      <c r="N188" s="1665" t="n"/>
      <c r="O188" s="1665" t="n"/>
      <c r="P188" s="1665" t="n"/>
      <c r="Q188" s="1665" t="n"/>
      <c r="R188" s="1665" t="n"/>
      <c r="S188" s="1665" t="n"/>
      <c r="T188" s="1665" t="n"/>
      <c r="U188" s="1665" t="n"/>
      <c r="V188" s="1665" t="n"/>
      <c r="W188" s="1665" t="n"/>
      <c r="X188" s="1665" t="n"/>
      <c r="Y188" s="1665" t="n"/>
      <c r="Z188" s="1665" t="n"/>
    </row>
    <row r="189" ht="12.75" customHeight="1" s="1666">
      <c r="B189" s="3164" t="inlineStr">
        <is>
          <t>// ============================================================</t>
        </is>
      </c>
      <c r="G189" s="1665" t="n"/>
      <c r="H189" s="1665" t="n"/>
      <c r="I189" s="1665" t="n"/>
      <c r="J189" s="1665" t="n"/>
      <c r="K189" s="1665" t="n"/>
      <c r="L189" s="1665" t="n"/>
      <c r="M189" s="1665" t="n"/>
      <c r="N189" s="1665" t="n"/>
      <c r="O189" s="1665" t="n"/>
      <c r="P189" s="1665" t="n"/>
      <c r="Q189" s="1665" t="n"/>
      <c r="R189" s="1665" t="n"/>
      <c r="S189" s="1665" t="n"/>
      <c r="T189" s="1665" t="n"/>
      <c r="U189" s="1665" t="n"/>
      <c r="V189" s="1665" t="n"/>
      <c r="W189" s="1665" t="n"/>
      <c r="X189" s="1665" t="n"/>
      <c r="Y189" s="1665" t="n"/>
      <c r="Z189" s="1665" t="n"/>
    </row>
    <row r="190" ht="12.75" customHeight="1" s="1666">
      <c r="B190" s="3164" t="inlineStr">
        <is>
          <t>function noteSession() {</t>
        </is>
      </c>
      <c r="G190" s="1665" t="n"/>
      <c r="H190" s="1665" t="n"/>
      <c r="I190" s="1665" t="n"/>
      <c r="J190" s="1665" t="n"/>
      <c r="K190" s="1665" t="n"/>
      <c r="L190" s="1665" t="n"/>
      <c r="M190" s="1665" t="n"/>
      <c r="N190" s="1665" t="n"/>
      <c r="O190" s="1665" t="n"/>
      <c r="P190" s="1665" t="n"/>
      <c r="Q190" s="1665" t="n"/>
      <c r="R190" s="1665" t="n"/>
      <c r="S190" s="1665" t="n"/>
      <c r="T190" s="1665" t="n"/>
      <c r="U190" s="1665" t="n"/>
      <c r="V190" s="1665" t="n"/>
      <c r="W190" s="1665" t="n"/>
      <c r="X190" s="1665" t="n"/>
      <c r="Y190" s="1665" t="n"/>
      <c r="Z190" s="1665" t="n"/>
    </row>
    <row r="191" ht="12.75" customHeight="1" s="1666">
      <c r="B191" s="3164" t="inlineStr">
        <is>
          <t xml:space="preserve">  const ui     = SpreadsheetApp.getUi();</t>
        </is>
      </c>
      <c r="G191" s="1665" t="n"/>
      <c r="H191" s="1665" t="n"/>
      <c r="I191" s="1665" t="n"/>
      <c r="J191" s="1665" t="n"/>
      <c r="K191" s="1665" t="n"/>
      <c r="L191" s="1665" t="n"/>
      <c r="M191" s="1665" t="n"/>
      <c r="N191" s="1665" t="n"/>
      <c r="O191" s="1665" t="n"/>
      <c r="P191" s="1665" t="n"/>
      <c r="Q191" s="1665" t="n"/>
      <c r="R191" s="1665" t="n"/>
      <c r="S191" s="1665" t="n"/>
      <c r="T191" s="1665" t="n"/>
      <c r="U191" s="1665" t="n"/>
      <c r="V191" s="1665" t="n"/>
      <c r="W191" s="1665" t="n"/>
      <c r="X191" s="1665" t="n"/>
      <c r="Y191" s="1665" t="n"/>
      <c r="Z191" s="1665" t="n"/>
    </row>
    <row r="192" ht="12.75" customHeight="1" s="1666">
      <c r="B192" s="3164" t="inlineStr">
        <is>
          <t xml:space="preserve">  const result = ui.prompt('📝 Note de session', 'Trades, décisions, observations:', ui.ButtonSet.OK_CANCEL);</t>
        </is>
      </c>
      <c r="G192" s="1665" t="n"/>
      <c r="H192" s="1665" t="n"/>
      <c r="I192" s="1665" t="n"/>
      <c r="J192" s="1665" t="n"/>
      <c r="K192" s="1665" t="n"/>
      <c r="L192" s="1665" t="n"/>
      <c r="M192" s="1665" t="n"/>
      <c r="N192" s="1665" t="n"/>
      <c r="O192" s="1665" t="n"/>
      <c r="P192" s="1665" t="n"/>
      <c r="Q192" s="1665" t="n"/>
      <c r="R192" s="1665" t="n"/>
      <c r="S192" s="1665" t="n"/>
      <c r="T192" s="1665" t="n"/>
      <c r="U192" s="1665" t="n"/>
      <c r="V192" s="1665" t="n"/>
      <c r="W192" s="1665" t="n"/>
      <c r="X192" s="1665" t="n"/>
      <c r="Y192" s="1665" t="n"/>
      <c r="Z192" s="1665" t="n"/>
    </row>
    <row r="193" ht="12.75" customHeight="1" s="1666">
      <c r="B193" s="3164" t="inlineStr">
        <is>
          <t xml:space="preserve">  if (result.getSelectedButton() !== ui.Button.OK) return;</t>
        </is>
      </c>
      <c r="G193" s="1665" t="n"/>
      <c r="H193" s="1665" t="n"/>
      <c r="I193" s="1665" t="n"/>
      <c r="J193" s="1665" t="n"/>
      <c r="K193" s="1665" t="n"/>
      <c r="L193" s="1665" t="n"/>
      <c r="M193" s="1665" t="n"/>
      <c r="N193" s="1665" t="n"/>
      <c r="O193" s="1665" t="n"/>
      <c r="P193" s="1665" t="n"/>
      <c r="Q193" s="1665" t="n"/>
      <c r="R193" s="1665" t="n"/>
      <c r="S193" s="1665" t="n"/>
      <c r="T193" s="1665" t="n"/>
      <c r="U193" s="1665" t="n"/>
      <c r="V193" s="1665" t="n"/>
      <c r="W193" s="1665" t="n"/>
      <c r="X193" s="1665" t="n"/>
      <c r="Y193" s="1665" t="n"/>
      <c r="Z193" s="1665" t="n"/>
    </row>
    <row r="194" ht="12.75" customHeight="1" s="1666">
      <c r="B194" s="3164" t="inlineStr">
        <is>
          <t xml:space="preserve">  const ss   = SpreadsheetApp.getActiveSpreadsheet();</t>
        </is>
      </c>
      <c r="G194" s="1665" t="n"/>
      <c r="H194" s="1665" t="n"/>
      <c r="I194" s="1665" t="n"/>
      <c r="J194" s="1665" t="n"/>
      <c r="K194" s="1665" t="n"/>
      <c r="L194" s="1665" t="n"/>
      <c r="M194" s="1665" t="n"/>
      <c r="N194" s="1665" t="n"/>
      <c r="O194" s="1665" t="n"/>
      <c r="P194" s="1665" t="n"/>
      <c r="Q194" s="1665" t="n"/>
      <c r="R194" s="1665" t="n"/>
      <c r="S194" s="1665" t="n"/>
      <c r="T194" s="1665" t="n"/>
      <c r="U194" s="1665" t="n"/>
      <c r="V194" s="1665" t="n"/>
      <c r="W194" s="1665" t="n"/>
      <c r="X194" s="1665" t="n"/>
      <c r="Y194" s="1665" t="n"/>
      <c r="Z194" s="1665" t="n"/>
    </row>
    <row r="195" ht="12.75" customHeight="1" s="1666">
      <c r="B195" s="3164" t="inlineStr">
        <is>
          <t xml:space="preserve">  const port = ss.getSheetByName('📈 PORTEFEUILLE');</t>
        </is>
      </c>
      <c r="G195" s="1665" t="n"/>
      <c r="H195" s="1665" t="n"/>
      <c r="I195" s="1665" t="n"/>
      <c r="J195" s="1665" t="n"/>
      <c r="K195" s="1665" t="n"/>
      <c r="L195" s="1665" t="n"/>
      <c r="M195" s="1665" t="n"/>
      <c r="N195" s="1665" t="n"/>
      <c r="O195" s="1665" t="n"/>
      <c r="P195" s="1665" t="n"/>
      <c r="Q195" s="1665" t="n"/>
      <c r="R195" s="1665" t="n"/>
      <c r="S195" s="1665" t="n"/>
      <c r="T195" s="1665" t="n"/>
      <c r="U195" s="1665" t="n"/>
      <c r="V195" s="1665" t="n"/>
      <c r="W195" s="1665" t="n"/>
      <c r="X195" s="1665" t="n"/>
      <c r="Y195" s="1665" t="n"/>
      <c r="Z195" s="1665" t="n"/>
    </row>
    <row r="196" ht="12.75" customHeight="1" s="1666">
      <c r="B196" s="3164" t="inlineStr">
        <is>
          <t xml:space="preserve">  const hist = ss.getSheetByName('📓 HISTORIQUE');</t>
        </is>
      </c>
      <c r="G196" s="1665" t="n"/>
      <c r="H196" s="1665" t="n"/>
      <c r="I196" s="1665" t="n"/>
      <c r="J196" s="1665" t="n"/>
      <c r="K196" s="1665" t="n"/>
      <c r="L196" s="1665" t="n"/>
      <c r="M196" s="1665" t="n"/>
      <c r="N196" s="1665" t="n"/>
      <c r="O196" s="1665" t="n"/>
      <c r="P196" s="1665" t="n"/>
      <c r="Q196" s="1665" t="n"/>
      <c r="R196" s="1665" t="n"/>
      <c r="S196" s="1665" t="n"/>
      <c r="T196" s="1665" t="n"/>
      <c r="U196" s="1665" t="n"/>
      <c r="V196" s="1665" t="n"/>
      <c r="W196" s="1665" t="n"/>
      <c r="X196" s="1665" t="n"/>
      <c r="Y196" s="1665" t="n"/>
      <c r="Z196" s="1665" t="n"/>
    </row>
    <row r="197" ht="12.75" customHeight="1" s="1666">
      <c r="B197" s="3164" t="inlineStr">
        <is>
          <t xml:space="preserve">  const date  = Utilities.formatDate(new Date(), 'America/Toronto', 'yyyy-MM-dd HH:mm');</t>
        </is>
      </c>
      <c r="G197" s="1665" t="n"/>
      <c r="H197" s="1665" t="n"/>
      <c r="I197" s="1665" t="n"/>
      <c r="J197" s="1665" t="n"/>
      <c r="K197" s="1665" t="n"/>
      <c r="L197" s="1665" t="n"/>
      <c r="M197" s="1665" t="n"/>
      <c r="N197" s="1665" t="n"/>
      <c r="O197" s="1665" t="n"/>
      <c r="P197" s="1665" t="n"/>
      <c r="Q197" s="1665" t="n"/>
      <c r="R197" s="1665" t="n"/>
      <c r="S197" s="1665" t="n"/>
      <c r="T197" s="1665" t="n"/>
      <c r="U197" s="1665" t="n"/>
      <c r="V197" s="1665" t="n"/>
      <c r="W197" s="1665" t="n"/>
      <c r="X197" s="1665" t="n"/>
      <c r="Y197" s="1665" t="n"/>
      <c r="Z197" s="1665" t="n"/>
    </row>
    <row r="198" ht="12.75" customHeight="1" s="1666">
      <c r="B198" s="3164" t="inlineStr">
        <is>
          <t xml:space="preserve">  const total = port ? port.getRange('C11').getValue() : 0;</t>
        </is>
      </c>
      <c r="G198" s="1665" t="n"/>
      <c r="H198" s="1665" t="n"/>
      <c r="I198" s="1665" t="n"/>
      <c r="J198" s="1665" t="n"/>
      <c r="K198" s="1665" t="n"/>
      <c r="L198" s="1665" t="n"/>
      <c r="M198" s="1665" t="n"/>
      <c r="N198" s="1665" t="n"/>
      <c r="O198" s="1665" t="n"/>
      <c r="P198" s="1665" t="n"/>
      <c r="Q198" s="1665" t="n"/>
      <c r="R198" s="1665" t="n"/>
      <c r="S198" s="1665" t="n"/>
      <c r="T198" s="1665" t="n"/>
      <c r="U198" s="1665" t="n"/>
      <c r="V198" s="1665" t="n"/>
      <c r="W198" s="1665" t="n"/>
      <c r="X198" s="1665" t="n"/>
      <c r="Y198" s="1665" t="n"/>
      <c r="Z198" s="1665" t="n"/>
    </row>
    <row r="199" ht="12.75" customHeight="1" s="1666">
      <c r="B199" s="3164" t="inlineStr">
        <is>
          <t xml:space="preserve">  hist.getRange(hist.getLastRow()+1, 1, 1, 8).setValues([[</t>
        </is>
      </c>
      <c r="G199" s="1665" t="n"/>
      <c r="H199" s="1665" t="n"/>
      <c r="I199" s="1665" t="n"/>
      <c r="J199" s="1665" t="n"/>
      <c r="K199" s="1665" t="n"/>
      <c r="L199" s="1665" t="n"/>
      <c r="M199" s="1665" t="n"/>
      <c r="N199" s="1665" t="n"/>
      <c r="O199" s="1665" t="n"/>
      <c r="P199" s="1665" t="n"/>
      <c r="Q199" s="1665" t="n"/>
      <c r="R199" s="1665" t="n"/>
      <c r="S199" s="1665" t="n"/>
      <c r="T199" s="1665" t="n"/>
      <c r="U199" s="1665" t="n"/>
      <c r="V199" s="1665" t="n"/>
      <c r="W199" s="1665" t="n"/>
      <c r="X199" s="1665" t="n"/>
      <c r="Y199" s="1665" t="n"/>
      <c r="Z199" s="1665" t="n"/>
    </row>
    <row r="200" ht="12.75" customHeight="1" s="1666">
      <c r="B200" s="3164" t="inlineStr">
        <is>
          <t xml:space="preserve">    date, '', '', '', total, '', result.getResponseText(), 'Session manuelle'</t>
        </is>
      </c>
      <c r="G200" s="1665" t="n"/>
      <c r="H200" s="1665" t="n"/>
      <c r="I200" s="1665" t="n"/>
      <c r="J200" s="1665" t="n"/>
      <c r="K200" s="1665" t="n"/>
      <c r="L200" s="1665" t="n"/>
      <c r="M200" s="1665" t="n"/>
      <c r="N200" s="1665" t="n"/>
      <c r="O200" s="1665" t="n"/>
      <c r="P200" s="1665" t="n"/>
      <c r="Q200" s="1665" t="n"/>
      <c r="R200" s="1665" t="n"/>
      <c r="S200" s="1665" t="n"/>
      <c r="T200" s="1665" t="n"/>
      <c r="U200" s="1665" t="n"/>
      <c r="V200" s="1665" t="n"/>
      <c r="W200" s="1665" t="n"/>
      <c r="X200" s="1665" t="n"/>
      <c r="Y200" s="1665" t="n"/>
      <c r="Z200" s="1665" t="n"/>
    </row>
    <row r="201" ht="12.75" customHeight="1" s="1666">
      <c r="B201" s="3164" t="inlineStr">
        <is>
          <t xml:space="preserve">  ]]);</t>
        </is>
      </c>
      <c r="G201" s="1665" t="n"/>
      <c r="H201" s="1665" t="n"/>
      <c r="I201" s="1665" t="n"/>
      <c r="J201" s="1665" t="n"/>
      <c r="K201" s="1665" t="n"/>
      <c r="L201" s="1665" t="n"/>
      <c r="M201" s="1665" t="n"/>
      <c r="N201" s="1665" t="n"/>
      <c r="O201" s="1665" t="n"/>
      <c r="P201" s="1665" t="n"/>
      <c r="Q201" s="1665" t="n"/>
      <c r="R201" s="1665" t="n"/>
      <c r="S201" s="1665" t="n"/>
      <c r="T201" s="1665" t="n"/>
      <c r="U201" s="1665" t="n"/>
      <c r="V201" s="1665" t="n"/>
      <c r="W201" s="1665" t="n"/>
      <c r="X201" s="1665" t="n"/>
      <c r="Y201" s="1665" t="n"/>
      <c r="Z201" s="1665" t="n"/>
    </row>
    <row r="202" ht="12.75" customHeight="1" s="1666">
      <c r="B202" s="3164" t="inlineStr">
        <is>
          <t xml:space="preserve">  ui.alert('✅ Note enregistrée dans HISTORIQUE!');</t>
        </is>
      </c>
      <c r="G202" s="1665" t="n"/>
      <c r="H202" s="1665" t="n"/>
      <c r="I202" s="1665" t="n"/>
      <c r="J202" s="1665" t="n"/>
      <c r="K202" s="1665" t="n"/>
      <c r="L202" s="1665" t="n"/>
      <c r="M202" s="1665" t="n"/>
      <c r="N202" s="1665" t="n"/>
      <c r="O202" s="1665" t="n"/>
      <c r="P202" s="1665" t="n"/>
      <c r="Q202" s="1665" t="n"/>
      <c r="R202" s="1665" t="n"/>
      <c r="S202" s="1665" t="n"/>
      <c r="T202" s="1665" t="n"/>
      <c r="U202" s="1665" t="n"/>
      <c r="V202" s="1665" t="n"/>
      <c r="W202" s="1665" t="n"/>
      <c r="X202" s="1665" t="n"/>
      <c r="Y202" s="1665" t="n"/>
      <c r="Z202" s="1665" t="n"/>
    </row>
    <row r="203" ht="12.75" customHeight="1" s="1666">
      <c r="B203" s="3164" t="inlineStr">
        <is>
          <t>}</t>
        </is>
      </c>
      <c r="G203" s="1665" t="n"/>
      <c r="H203" s="1665" t="n"/>
      <c r="I203" s="1665" t="n"/>
      <c r="J203" s="1665" t="n"/>
      <c r="K203" s="1665" t="n"/>
      <c r="L203" s="1665" t="n"/>
      <c r="M203" s="1665" t="n"/>
      <c r="N203" s="1665" t="n"/>
      <c r="O203" s="1665" t="n"/>
      <c r="P203" s="1665" t="n"/>
      <c r="Q203" s="1665" t="n"/>
      <c r="R203" s="1665" t="n"/>
      <c r="S203" s="1665" t="n"/>
      <c r="T203" s="1665" t="n"/>
      <c r="U203" s="1665" t="n"/>
      <c r="V203" s="1665" t="n"/>
      <c r="W203" s="1665" t="n"/>
      <c r="X203" s="1665" t="n"/>
      <c r="Y203" s="1665" t="n"/>
      <c r="Z203" s="1665" t="n"/>
    </row>
    <row r="204" ht="12.75" customHeight="1" s="1666">
      <c r="B204" s="3164" t="n"/>
      <c r="G204" s="1665" t="n"/>
      <c r="H204" s="1665" t="n"/>
      <c r="I204" s="1665" t="n"/>
      <c r="J204" s="1665" t="n"/>
      <c r="K204" s="1665" t="n"/>
      <c r="L204" s="1665" t="n"/>
      <c r="M204" s="1665" t="n"/>
      <c r="N204" s="1665" t="n"/>
      <c r="O204" s="1665" t="n"/>
      <c r="P204" s="1665" t="n"/>
      <c r="Q204" s="1665" t="n"/>
      <c r="R204" s="1665" t="n"/>
      <c r="S204" s="1665" t="n"/>
      <c r="T204" s="1665" t="n"/>
      <c r="U204" s="1665" t="n"/>
      <c r="V204" s="1665" t="n"/>
      <c r="W204" s="1665" t="n"/>
      <c r="X204" s="1665" t="n"/>
      <c r="Y204" s="1665" t="n"/>
      <c r="Z204" s="1665" t="n"/>
    </row>
    <row r="205" ht="15.75" customHeight="1" s="1666">
      <c r="G205" s="1665" t="n"/>
      <c r="H205" s="1665" t="n"/>
      <c r="I205" s="1665" t="n"/>
      <c r="J205" s="1665" t="n"/>
      <c r="K205" s="1665" t="n"/>
      <c r="L205" s="1665" t="n"/>
      <c r="M205" s="1665" t="n"/>
      <c r="N205" s="1665" t="n"/>
      <c r="O205" s="1665" t="n"/>
      <c r="P205" s="1665" t="n"/>
      <c r="Q205" s="1665" t="n"/>
      <c r="R205" s="1665" t="n"/>
      <c r="S205" s="1665" t="n"/>
      <c r="T205" s="1665" t="n"/>
      <c r="U205" s="1665" t="n"/>
      <c r="V205" s="1665" t="n"/>
      <c r="W205" s="1665" t="n"/>
      <c r="X205" s="1665" t="n"/>
      <c r="Y205" s="1665" t="n"/>
      <c r="Z205" s="1665" t="n"/>
    </row>
    <row r="206" ht="15.75" customHeight="1" s="1666">
      <c r="G206" s="1665" t="n"/>
      <c r="H206" s="1665" t="n"/>
      <c r="I206" s="1665" t="n"/>
      <c r="J206" s="1665" t="n"/>
      <c r="K206" s="1665" t="n"/>
      <c r="L206" s="1665" t="n"/>
      <c r="M206" s="1665" t="n"/>
      <c r="N206" s="1665" t="n"/>
      <c r="O206" s="1665" t="n"/>
      <c r="P206" s="1665" t="n"/>
      <c r="Q206" s="1665" t="n"/>
      <c r="R206" s="1665" t="n"/>
      <c r="S206" s="1665" t="n"/>
      <c r="T206" s="1665" t="n"/>
      <c r="U206" s="1665" t="n"/>
      <c r="V206" s="1665" t="n"/>
      <c r="W206" s="1665" t="n"/>
      <c r="X206" s="1665" t="n"/>
      <c r="Y206" s="1665" t="n"/>
      <c r="Z206" s="1665" t="n"/>
    </row>
    <row r="207" ht="15.75" customHeight="1" s="1666">
      <c r="G207" s="1665" t="n"/>
      <c r="H207" s="1665" t="n"/>
      <c r="I207" s="1665" t="n"/>
      <c r="J207" s="1665" t="n"/>
      <c r="K207" s="1665" t="n"/>
      <c r="L207" s="1665" t="n"/>
      <c r="M207" s="1665" t="n"/>
      <c r="N207" s="1665" t="n"/>
      <c r="O207" s="1665" t="n"/>
      <c r="P207" s="1665" t="n"/>
      <c r="Q207" s="1665" t="n"/>
      <c r="R207" s="1665" t="n"/>
      <c r="S207" s="1665" t="n"/>
      <c r="T207" s="1665" t="n"/>
      <c r="U207" s="1665" t="n"/>
      <c r="V207" s="1665" t="n"/>
      <c r="W207" s="1665" t="n"/>
      <c r="X207" s="1665" t="n"/>
      <c r="Y207" s="1665" t="n"/>
      <c r="Z207" s="1665" t="n"/>
    </row>
    <row r="208" ht="15.75" customHeight="1" s="1666">
      <c r="G208" s="1665" t="n"/>
      <c r="H208" s="1665" t="n"/>
      <c r="I208" s="1665" t="n"/>
      <c r="J208" s="1665" t="n"/>
      <c r="K208" s="1665" t="n"/>
      <c r="L208" s="1665" t="n"/>
      <c r="M208" s="1665" t="n"/>
      <c r="N208" s="1665" t="n"/>
      <c r="O208" s="1665" t="n"/>
      <c r="P208" s="1665" t="n"/>
      <c r="Q208" s="1665" t="n"/>
      <c r="R208" s="1665" t="n"/>
      <c r="S208" s="1665" t="n"/>
      <c r="T208" s="1665" t="n"/>
      <c r="U208" s="1665" t="n"/>
      <c r="V208" s="1665" t="n"/>
      <c r="W208" s="1665" t="n"/>
      <c r="X208" s="1665" t="n"/>
      <c r="Y208" s="1665" t="n"/>
      <c r="Z208" s="1665" t="n"/>
    </row>
    <row r="209" ht="15.75" customHeight="1" s="1666">
      <c r="G209" s="1665" t="n"/>
      <c r="H209" s="1665" t="n"/>
      <c r="I209" s="1665" t="n"/>
      <c r="J209" s="1665" t="n"/>
      <c r="K209" s="1665" t="n"/>
      <c r="L209" s="1665" t="n"/>
      <c r="M209" s="1665" t="n"/>
      <c r="N209" s="1665" t="n"/>
      <c r="O209" s="1665" t="n"/>
      <c r="P209" s="1665" t="n"/>
      <c r="Q209" s="1665" t="n"/>
      <c r="R209" s="1665" t="n"/>
      <c r="S209" s="1665" t="n"/>
      <c r="T209" s="1665" t="n"/>
      <c r="U209" s="1665" t="n"/>
      <c r="V209" s="1665" t="n"/>
      <c r="W209" s="1665" t="n"/>
      <c r="X209" s="1665" t="n"/>
      <c r="Y209" s="1665" t="n"/>
      <c r="Z209" s="1665" t="n"/>
    </row>
    <row r="210" ht="15.75" customHeight="1" s="1666">
      <c r="G210" s="1665" t="n"/>
      <c r="H210" s="1665" t="n"/>
      <c r="I210" s="1665" t="n"/>
      <c r="J210" s="1665" t="n"/>
      <c r="K210" s="1665" t="n"/>
      <c r="L210" s="1665" t="n"/>
      <c r="M210" s="1665" t="n"/>
      <c r="N210" s="1665" t="n"/>
      <c r="O210" s="1665" t="n"/>
      <c r="P210" s="1665" t="n"/>
      <c r="Q210" s="1665" t="n"/>
      <c r="R210" s="1665" t="n"/>
      <c r="S210" s="1665" t="n"/>
      <c r="T210" s="1665" t="n"/>
      <c r="U210" s="1665" t="n"/>
      <c r="V210" s="1665" t="n"/>
      <c r="W210" s="1665" t="n"/>
      <c r="X210" s="1665" t="n"/>
      <c r="Y210" s="1665" t="n"/>
      <c r="Z210" s="1665" t="n"/>
    </row>
    <row r="211" ht="15.75" customHeight="1" s="1666">
      <c r="G211" s="1665" t="n"/>
      <c r="H211" s="1665" t="n"/>
      <c r="I211" s="1665" t="n"/>
      <c r="J211" s="1665" t="n"/>
      <c r="K211" s="1665" t="n"/>
      <c r="L211" s="1665" t="n"/>
      <c r="M211" s="1665" t="n"/>
      <c r="N211" s="1665" t="n"/>
      <c r="O211" s="1665" t="n"/>
      <c r="P211" s="1665" t="n"/>
      <c r="Q211" s="1665" t="n"/>
      <c r="R211" s="1665" t="n"/>
      <c r="S211" s="1665" t="n"/>
      <c r="T211" s="1665" t="n"/>
      <c r="U211" s="1665" t="n"/>
      <c r="V211" s="1665" t="n"/>
      <c r="W211" s="1665" t="n"/>
      <c r="X211" s="1665" t="n"/>
      <c r="Y211" s="1665" t="n"/>
      <c r="Z211" s="1665" t="n"/>
    </row>
    <row r="212" ht="15.75" customHeight="1" s="1666">
      <c r="G212" s="1665" t="n"/>
      <c r="H212" s="1665" t="n"/>
      <c r="I212" s="1665" t="n"/>
      <c r="J212" s="1665" t="n"/>
      <c r="K212" s="1665" t="n"/>
      <c r="L212" s="1665" t="n"/>
      <c r="M212" s="1665" t="n"/>
      <c r="N212" s="1665" t="n"/>
      <c r="O212" s="1665" t="n"/>
      <c r="P212" s="1665" t="n"/>
      <c r="Q212" s="1665" t="n"/>
      <c r="R212" s="1665" t="n"/>
      <c r="S212" s="1665" t="n"/>
      <c r="T212" s="1665" t="n"/>
      <c r="U212" s="1665" t="n"/>
      <c r="V212" s="1665" t="n"/>
      <c r="W212" s="1665" t="n"/>
      <c r="X212" s="1665" t="n"/>
      <c r="Y212" s="1665" t="n"/>
      <c r="Z212" s="1665" t="n"/>
    </row>
    <row r="213" ht="15.75" customHeight="1" s="1666">
      <c r="G213" s="1665" t="n"/>
      <c r="H213" s="1665" t="n"/>
      <c r="I213" s="1665" t="n"/>
      <c r="J213" s="1665" t="n"/>
      <c r="K213" s="1665" t="n"/>
      <c r="L213" s="1665" t="n"/>
      <c r="M213" s="1665" t="n"/>
      <c r="N213" s="1665" t="n"/>
      <c r="O213" s="1665" t="n"/>
      <c r="P213" s="1665" t="n"/>
      <c r="Q213" s="1665" t="n"/>
      <c r="R213" s="1665" t="n"/>
      <c r="S213" s="1665" t="n"/>
      <c r="T213" s="1665" t="n"/>
      <c r="U213" s="1665" t="n"/>
      <c r="V213" s="1665" t="n"/>
      <c r="W213" s="1665" t="n"/>
      <c r="X213" s="1665" t="n"/>
      <c r="Y213" s="1665" t="n"/>
      <c r="Z213" s="1665" t="n"/>
    </row>
    <row r="214" ht="15.75" customHeight="1" s="1666">
      <c r="G214" s="1665" t="n"/>
      <c r="H214" s="1665" t="n"/>
      <c r="I214" s="1665" t="n"/>
      <c r="J214" s="1665" t="n"/>
      <c r="K214" s="1665" t="n"/>
      <c r="L214" s="1665" t="n"/>
      <c r="M214" s="1665" t="n"/>
      <c r="N214" s="1665" t="n"/>
      <c r="O214" s="1665" t="n"/>
      <c r="P214" s="1665" t="n"/>
      <c r="Q214" s="1665" t="n"/>
      <c r="R214" s="1665" t="n"/>
      <c r="S214" s="1665" t="n"/>
      <c r="T214" s="1665" t="n"/>
      <c r="U214" s="1665" t="n"/>
      <c r="V214" s="1665" t="n"/>
      <c r="W214" s="1665" t="n"/>
      <c r="X214" s="1665" t="n"/>
      <c r="Y214" s="1665" t="n"/>
      <c r="Z214" s="1665" t="n"/>
    </row>
    <row r="215" ht="15.75" customHeight="1" s="1666">
      <c r="G215" s="1665" t="n"/>
      <c r="H215" s="1665" t="n"/>
      <c r="I215" s="1665" t="n"/>
      <c r="J215" s="1665" t="n"/>
      <c r="K215" s="1665" t="n"/>
      <c r="L215" s="1665" t="n"/>
      <c r="M215" s="1665" t="n"/>
      <c r="N215" s="1665" t="n"/>
      <c r="O215" s="1665" t="n"/>
      <c r="P215" s="1665" t="n"/>
      <c r="Q215" s="1665" t="n"/>
      <c r="R215" s="1665" t="n"/>
      <c r="S215" s="1665" t="n"/>
      <c r="T215" s="1665" t="n"/>
      <c r="U215" s="1665" t="n"/>
      <c r="V215" s="1665" t="n"/>
      <c r="W215" s="1665" t="n"/>
      <c r="X215" s="1665" t="n"/>
      <c r="Y215" s="1665" t="n"/>
      <c r="Z215" s="1665" t="n"/>
    </row>
    <row r="216" ht="15.75" customHeight="1" s="1666">
      <c r="G216" s="1665" t="n"/>
      <c r="H216" s="1665" t="n"/>
      <c r="I216" s="1665" t="n"/>
      <c r="J216" s="1665" t="n"/>
      <c r="K216" s="1665" t="n"/>
      <c r="L216" s="1665" t="n"/>
      <c r="M216" s="1665" t="n"/>
      <c r="N216" s="1665" t="n"/>
      <c r="O216" s="1665" t="n"/>
      <c r="P216" s="1665" t="n"/>
      <c r="Q216" s="1665" t="n"/>
      <c r="R216" s="1665" t="n"/>
      <c r="S216" s="1665" t="n"/>
      <c r="T216" s="1665" t="n"/>
      <c r="U216" s="1665" t="n"/>
      <c r="V216" s="1665" t="n"/>
      <c r="W216" s="1665" t="n"/>
      <c r="X216" s="1665" t="n"/>
      <c r="Y216" s="1665" t="n"/>
      <c r="Z216" s="1665" t="n"/>
    </row>
    <row r="217" ht="15.75" customHeight="1" s="1666">
      <c r="G217" s="1665" t="n"/>
      <c r="H217" s="1665" t="n"/>
      <c r="I217" s="1665" t="n"/>
      <c r="J217" s="1665" t="n"/>
      <c r="K217" s="1665" t="n"/>
      <c r="L217" s="1665" t="n"/>
      <c r="M217" s="1665" t="n"/>
      <c r="N217" s="1665" t="n"/>
      <c r="O217" s="1665" t="n"/>
      <c r="P217" s="1665" t="n"/>
      <c r="Q217" s="1665" t="n"/>
      <c r="R217" s="1665" t="n"/>
      <c r="S217" s="1665" t="n"/>
      <c r="T217" s="1665" t="n"/>
      <c r="U217" s="1665" t="n"/>
      <c r="V217" s="1665" t="n"/>
      <c r="W217" s="1665" t="n"/>
      <c r="X217" s="1665" t="n"/>
      <c r="Y217" s="1665" t="n"/>
      <c r="Z217" s="1665" t="n"/>
    </row>
    <row r="218" ht="15.75" customHeight="1" s="1666">
      <c r="G218" s="1665" t="n"/>
      <c r="H218" s="1665" t="n"/>
      <c r="I218" s="1665" t="n"/>
      <c r="J218" s="1665" t="n"/>
      <c r="K218" s="1665" t="n"/>
      <c r="L218" s="1665" t="n"/>
      <c r="M218" s="1665" t="n"/>
      <c r="N218" s="1665" t="n"/>
      <c r="O218" s="1665" t="n"/>
      <c r="P218" s="1665" t="n"/>
      <c r="Q218" s="1665" t="n"/>
      <c r="R218" s="1665" t="n"/>
      <c r="S218" s="1665" t="n"/>
      <c r="T218" s="1665" t="n"/>
      <c r="U218" s="1665" t="n"/>
      <c r="V218" s="1665" t="n"/>
      <c r="W218" s="1665" t="n"/>
      <c r="X218" s="1665" t="n"/>
      <c r="Y218" s="1665" t="n"/>
      <c r="Z218" s="1665" t="n"/>
    </row>
    <row r="219" ht="15.75" customHeight="1" s="1666">
      <c r="G219" s="1665" t="n"/>
      <c r="H219" s="1665" t="n"/>
      <c r="I219" s="1665" t="n"/>
      <c r="J219" s="1665" t="n"/>
      <c r="K219" s="1665" t="n"/>
      <c r="L219" s="1665" t="n"/>
      <c r="M219" s="1665" t="n"/>
      <c r="N219" s="1665" t="n"/>
      <c r="O219" s="1665" t="n"/>
      <c r="P219" s="1665" t="n"/>
      <c r="Q219" s="1665" t="n"/>
      <c r="R219" s="1665" t="n"/>
      <c r="S219" s="1665" t="n"/>
      <c r="T219" s="1665" t="n"/>
      <c r="U219" s="1665" t="n"/>
      <c r="V219" s="1665" t="n"/>
      <c r="W219" s="1665" t="n"/>
      <c r="X219" s="1665" t="n"/>
      <c r="Y219" s="1665" t="n"/>
      <c r="Z219" s="1665" t="n"/>
    </row>
    <row r="220" ht="15.75" customHeight="1" s="1666">
      <c r="G220" s="1665" t="n"/>
      <c r="H220" s="1665" t="n"/>
      <c r="I220" s="1665" t="n"/>
      <c r="J220" s="1665" t="n"/>
      <c r="K220" s="1665" t="n"/>
      <c r="L220" s="1665" t="n"/>
      <c r="M220" s="1665" t="n"/>
      <c r="N220" s="1665" t="n"/>
      <c r="O220" s="1665" t="n"/>
      <c r="P220" s="1665" t="n"/>
      <c r="Q220" s="1665" t="n"/>
      <c r="R220" s="1665" t="n"/>
      <c r="S220" s="1665" t="n"/>
      <c r="T220" s="1665" t="n"/>
      <c r="U220" s="1665" t="n"/>
      <c r="V220" s="1665" t="n"/>
      <c r="W220" s="1665" t="n"/>
      <c r="X220" s="1665" t="n"/>
      <c r="Y220" s="1665" t="n"/>
      <c r="Z220" s="1665" t="n"/>
    </row>
    <row r="221" ht="15.75" customHeight="1" s="1666">
      <c r="G221" s="1665" t="n"/>
      <c r="H221" s="1665" t="n"/>
      <c r="I221" s="1665" t="n"/>
      <c r="J221" s="1665" t="n"/>
      <c r="K221" s="1665" t="n"/>
      <c r="L221" s="1665" t="n"/>
      <c r="M221" s="1665" t="n"/>
      <c r="N221" s="1665" t="n"/>
      <c r="O221" s="1665" t="n"/>
      <c r="P221" s="1665" t="n"/>
      <c r="Q221" s="1665" t="n"/>
      <c r="R221" s="1665" t="n"/>
      <c r="S221" s="1665" t="n"/>
      <c r="T221" s="1665" t="n"/>
      <c r="U221" s="1665" t="n"/>
      <c r="V221" s="1665" t="n"/>
      <c r="W221" s="1665" t="n"/>
      <c r="X221" s="1665" t="n"/>
      <c r="Y221" s="1665" t="n"/>
      <c r="Z221" s="1665" t="n"/>
    </row>
    <row r="222" ht="15.75" customHeight="1" s="1666">
      <c r="G222" s="1665" t="n"/>
      <c r="H222" s="1665" t="n"/>
      <c r="I222" s="1665" t="n"/>
      <c r="J222" s="1665" t="n"/>
      <c r="K222" s="1665" t="n"/>
      <c r="L222" s="1665" t="n"/>
      <c r="M222" s="1665" t="n"/>
      <c r="N222" s="1665" t="n"/>
      <c r="O222" s="1665" t="n"/>
      <c r="P222" s="1665" t="n"/>
      <c r="Q222" s="1665" t="n"/>
      <c r="R222" s="1665" t="n"/>
      <c r="S222" s="1665" t="n"/>
      <c r="T222" s="1665" t="n"/>
      <c r="U222" s="1665" t="n"/>
      <c r="V222" s="1665" t="n"/>
      <c r="W222" s="1665" t="n"/>
      <c r="X222" s="1665" t="n"/>
      <c r="Y222" s="1665" t="n"/>
      <c r="Z222" s="1665" t="n"/>
    </row>
    <row r="223" ht="15.75" customHeight="1" s="1666">
      <c r="G223" s="1665" t="n"/>
      <c r="H223" s="1665" t="n"/>
      <c r="I223" s="1665" t="n"/>
      <c r="J223" s="1665" t="n"/>
      <c r="K223" s="1665" t="n"/>
      <c r="L223" s="1665" t="n"/>
      <c r="M223" s="1665" t="n"/>
      <c r="N223" s="1665" t="n"/>
      <c r="O223" s="1665" t="n"/>
      <c r="P223" s="1665" t="n"/>
      <c r="Q223" s="1665" t="n"/>
      <c r="R223" s="1665" t="n"/>
      <c r="S223" s="1665" t="n"/>
      <c r="T223" s="1665" t="n"/>
      <c r="U223" s="1665" t="n"/>
      <c r="V223" s="1665" t="n"/>
      <c r="W223" s="1665" t="n"/>
      <c r="X223" s="1665" t="n"/>
      <c r="Y223" s="1665" t="n"/>
      <c r="Z223" s="1665" t="n"/>
    </row>
    <row r="224" ht="15.75" customHeight="1" s="1666">
      <c r="G224" s="1665" t="n"/>
      <c r="H224" s="1665" t="n"/>
      <c r="I224" s="1665" t="n"/>
      <c r="J224" s="1665" t="n"/>
      <c r="K224" s="1665" t="n"/>
      <c r="L224" s="1665" t="n"/>
      <c r="M224" s="1665" t="n"/>
      <c r="N224" s="1665" t="n"/>
      <c r="O224" s="1665" t="n"/>
      <c r="P224" s="1665" t="n"/>
      <c r="Q224" s="1665" t="n"/>
      <c r="R224" s="1665" t="n"/>
      <c r="S224" s="1665" t="n"/>
      <c r="T224" s="1665" t="n"/>
      <c r="U224" s="1665" t="n"/>
      <c r="V224" s="1665" t="n"/>
      <c r="W224" s="1665" t="n"/>
      <c r="X224" s="1665" t="n"/>
      <c r="Y224" s="1665" t="n"/>
      <c r="Z224" s="1665" t="n"/>
    </row>
    <row r="225" ht="15.75" customHeight="1" s="1666">
      <c r="G225" s="1665" t="n"/>
      <c r="H225" s="1665" t="n"/>
      <c r="I225" s="1665" t="n"/>
      <c r="J225" s="1665" t="n"/>
      <c r="K225" s="1665" t="n"/>
      <c r="L225" s="1665" t="n"/>
      <c r="M225" s="1665" t="n"/>
      <c r="N225" s="1665" t="n"/>
      <c r="O225" s="1665" t="n"/>
      <c r="P225" s="1665" t="n"/>
      <c r="Q225" s="1665" t="n"/>
      <c r="R225" s="1665" t="n"/>
      <c r="S225" s="1665" t="n"/>
      <c r="T225" s="1665" t="n"/>
      <c r="U225" s="1665" t="n"/>
      <c r="V225" s="1665" t="n"/>
      <c r="W225" s="1665" t="n"/>
      <c r="X225" s="1665" t="n"/>
      <c r="Y225" s="1665" t="n"/>
      <c r="Z225" s="1665" t="n"/>
    </row>
    <row r="226" ht="15.75" customHeight="1" s="1666">
      <c r="G226" s="1665" t="n"/>
      <c r="H226" s="1665" t="n"/>
      <c r="I226" s="1665" t="n"/>
      <c r="J226" s="1665" t="n"/>
      <c r="K226" s="1665" t="n"/>
      <c r="L226" s="1665" t="n"/>
      <c r="M226" s="1665" t="n"/>
      <c r="N226" s="1665" t="n"/>
      <c r="O226" s="1665" t="n"/>
      <c r="P226" s="1665" t="n"/>
      <c r="Q226" s="1665" t="n"/>
      <c r="R226" s="1665" t="n"/>
      <c r="S226" s="1665" t="n"/>
      <c r="T226" s="1665" t="n"/>
      <c r="U226" s="1665" t="n"/>
      <c r="V226" s="1665" t="n"/>
      <c r="W226" s="1665" t="n"/>
      <c r="X226" s="1665" t="n"/>
      <c r="Y226" s="1665" t="n"/>
      <c r="Z226" s="1665" t="n"/>
    </row>
    <row r="227" ht="15.75" customHeight="1" s="1666">
      <c r="G227" s="1665" t="n"/>
      <c r="H227" s="1665" t="n"/>
      <c r="I227" s="1665" t="n"/>
      <c r="J227" s="1665" t="n"/>
      <c r="K227" s="1665" t="n"/>
      <c r="L227" s="1665" t="n"/>
      <c r="M227" s="1665" t="n"/>
      <c r="N227" s="1665" t="n"/>
      <c r="O227" s="1665" t="n"/>
      <c r="P227" s="1665" t="n"/>
      <c r="Q227" s="1665" t="n"/>
      <c r="R227" s="1665" t="n"/>
      <c r="S227" s="1665" t="n"/>
      <c r="T227" s="1665" t="n"/>
      <c r="U227" s="1665" t="n"/>
      <c r="V227" s="1665" t="n"/>
      <c r="W227" s="1665" t="n"/>
      <c r="X227" s="1665" t="n"/>
      <c r="Y227" s="1665" t="n"/>
      <c r="Z227" s="1665" t="n"/>
    </row>
    <row r="228" ht="15.75" customHeight="1" s="1666">
      <c r="G228" s="1665" t="n"/>
      <c r="H228" s="1665" t="n"/>
      <c r="I228" s="1665" t="n"/>
      <c r="J228" s="1665" t="n"/>
      <c r="K228" s="1665" t="n"/>
      <c r="L228" s="1665" t="n"/>
      <c r="M228" s="1665" t="n"/>
      <c r="N228" s="1665" t="n"/>
      <c r="O228" s="1665" t="n"/>
      <c r="P228" s="1665" t="n"/>
      <c r="Q228" s="1665" t="n"/>
      <c r="R228" s="1665" t="n"/>
      <c r="S228" s="1665" t="n"/>
      <c r="T228" s="1665" t="n"/>
      <c r="U228" s="1665" t="n"/>
      <c r="V228" s="1665" t="n"/>
      <c r="W228" s="1665" t="n"/>
      <c r="X228" s="1665" t="n"/>
      <c r="Y228" s="1665" t="n"/>
      <c r="Z228" s="1665" t="n"/>
    </row>
    <row r="229" ht="15.75" customHeight="1" s="1666">
      <c r="G229" s="1665" t="n"/>
      <c r="H229" s="1665" t="n"/>
      <c r="I229" s="1665" t="n"/>
      <c r="J229" s="1665" t="n"/>
      <c r="K229" s="1665" t="n"/>
      <c r="L229" s="1665" t="n"/>
      <c r="M229" s="1665" t="n"/>
      <c r="N229" s="1665" t="n"/>
      <c r="O229" s="1665" t="n"/>
      <c r="P229" s="1665" t="n"/>
      <c r="Q229" s="1665" t="n"/>
      <c r="R229" s="1665" t="n"/>
      <c r="S229" s="1665" t="n"/>
      <c r="T229" s="1665" t="n"/>
      <c r="U229" s="1665" t="n"/>
      <c r="V229" s="1665" t="n"/>
      <c r="W229" s="1665" t="n"/>
      <c r="X229" s="1665" t="n"/>
      <c r="Y229" s="1665" t="n"/>
      <c r="Z229" s="1665" t="n"/>
    </row>
    <row r="230" ht="15.75" customHeight="1" s="1666">
      <c r="G230" s="1665" t="n"/>
      <c r="H230" s="1665" t="n"/>
      <c r="I230" s="1665" t="n"/>
      <c r="J230" s="1665" t="n"/>
      <c r="K230" s="1665" t="n"/>
      <c r="L230" s="1665" t="n"/>
      <c r="M230" s="1665" t="n"/>
      <c r="N230" s="1665" t="n"/>
      <c r="O230" s="1665" t="n"/>
      <c r="P230" s="1665" t="n"/>
      <c r="Q230" s="1665" t="n"/>
      <c r="R230" s="1665" t="n"/>
      <c r="S230" s="1665" t="n"/>
      <c r="T230" s="1665" t="n"/>
      <c r="U230" s="1665" t="n"/>
      <c r="V230" s="1665" t="n"/>
      <c r="W230" s="1665" t="n"/>
      <c r="X230" s="1665" t="n"/>
      <c r="Y230" s="1665" t="n"/>
      <c r="Z230" s="1665" t="n"/>
    </row>
    <row r="231" ht="15.75" customHeight="1" s="1666">
      <c r="G231" s="1665" t="n"/>
      <c r="H231" s="1665" t="n"/>
      <c r="I231" s="1665" t="n"/>
      <c r="J231" s="1665" t="n"/>
      <c r="K231" s="1665" t="n"/>
      <c r="L231" s="1665" t="n"/>
      <c r="M231" s="1665" t="n"/>
      <c r="N231" s="1665" t="n"/>
      <c r="O231" s="1665" t="n"/>
      <c r="P231" s="1665" t="n"/>
      <c r="Q231" s="1665" t="n"/>
      <c r="R231" s="1665" t="n"/>
      <c r="S231" s="1665" t="n"/>
      <c r="T231" s="1665" t="n"/>
      <c r="U231" s="1665" t="n"/>
      <c r="V231" s="1665" t="n"/>
      <c r="W231" s="1665" t="n"/>
      <c r="X231" s="1665" t="n"/>
      <c r="Y231" s="1665" t="n"/>
      <c r="Z231" s="1665" t="n"/>
    </row>
    <row r="232" ht="15.75" customHeight="1" s="1666">
      <c r="G232" s="1665" t="n"/>
      <c r="H232" s="1665" t="n"/>
      <c r="I232" s="1665" t="n"/>
      <c r="J232" s="1665" t="n"/>
      <c r="K232" s="1665" t="n"/>
      <c r="L232" s="1665" t="n"/>
      <c r="M232" s="1665" t="n"/>
      <c r="N232" s="1665" t="n"/>
      <c r="O232" s="1665" t="n"/>
      <c r="P232" s="1665" t="n"/>
      <c r="Q232" s="1665" t="n"/>
      <c r="R232" s="1665" t="n"/>
      <c r="S232" s="1665" t="n"/>
      <c r="T232" s="1665" t="n"/>
      <c r="U232" s="1665" t="n"/>
      <c r="V232" s="1665" t="n"/>
      <c r="W232" s="1665" t="n"/>
      <c r="X232" s="1665" t="n"/>
      <c r="Y232" s="1665" t="n"/>
      <c r="Z232" s="1665" t="n"/>
    </row>
    <row r="233" ht="15.75" customHeight="1" s="1666">
      <c r="G233" s="1665" t="n"/>
      <c r="H233" s="1665" t="n"/>
      <c r="I233" s="1665" t="n"/>
      <c r="J233" s="1665" t="n"/>
      <c r="K233" s="1665" t="n"/>
      <c r="L233" s="1665" t="n"/>
      <c r="M233" s="1665" t="n"/>
      <c r="N233" s="1665" t="n"/>
      <c r="O233" s="1665" t="n"/>
      <c r="P233" s="1665" t="n"/>
      <c r="Q233" s="1665" t="n"/>
      <c r="R233" s="1665" t="n"/>
      <c r="S233" s="1665" t="n"/>
      <c r="T233" s="1665" t="n"/>
      <c r="U233" s="1665" t="n"/>
      <c r="V233" s="1665" t="n"/>
      <c r="W233" s="1665" t="n"/>
      <c r="X233" s="1665" t="n"/>
      <c r="Y233" s="1665" t="n"/>
      <c r="Z233" s="1665" t="n"/>
    </row>
    <row r="234" ht="15.75" customHeight="1" s="1666">
      <c r="G234" s="1665" t="n"/>
      <c r="H234" s="1665" t="n"/>
      <c r="I234" s="1665" t="n"/>
      <c r="J234" s="1665" t="n"/>
      <c r="K234" s="1665" t="n"/>
      <c r="L234" s="1665" t="n"/>
      <c r="M234" s="1665" t="n"/>
      <c r="N234" s="1665" t="n"/>
      <c r="O234" s="1665" t="n"/>
      <c r="P234" s="1665" t="n"/>
      <c r="Q234" s="1665" t="n"/>
      <c r="R234" s="1665" t="n"/>
      <c r="S234" s="1665" t="n"/>
      <c r="T234" s="1665" t="n"/>
      <c r="U234" s="1665" t="n"/>
      <c r="V234" s="1665" t="n"/>
      <c r="W234" s="1665" t="n"/>
      <c r="X234" s="1665" t="n"/>
      <c r="Y234" s="1665" t="n"/>
      <c r="Z234" s="1665" t="n"/>
    </row>
    <row r="235" ht="15.75" customHeight="1" s="1666">
      <c r="G235" s="1665" t="n"/>
      <c r="H235" s="1665" t="n"/>
      <c r="I235" s="1665" t="n"/>
      <c r="J235" s="1665" t="n"/>
      <c r="K235" s="1665" t="n"/>
      <c r="L235" s="1665" t="n"/>
      <c r="M235" s="1665" t="n"/>
      <c r="N235" s="1665" t="n"/>
      <c r="O235" s="1665" t="n"/>
      <c r="P235" s="1665" t="n"/>
      <c r="Q235" s="1665" t="n"/>
      <c r="R235" s="1665" t="n"/>
      <c r="S235" s="1665" t="n"/>
      <c r="T235" s="1665" t="n"/>
      <c r="U235" s="1665" t="n"/>
      <c r="V235" s="1665" t="n"/>
      <c r="W235" s="1665" t="n"/>
      <c r="X235" s="1665" t="n"/>
      <c r="Y235" s="1665" t="n"/>
      <c r="Z235" s="1665" t="n"/>
    </row>
    <row r="236" ht="15.75" customHeight="1" s="1666">
      <c r="G236" s="1665" t="n"/>
      <c r="H236" s="1665" t="n"/>
      <c r="I236" s="1665" t="n"/>
      <c r="J236" s="1665" t="n"/>
      <c r="K236" s="1665" t="n"/>
      <c r="L236" s="1665" t="n"/>
      <c r="M236" s="1665" t="n"/>
      <c r="N236" s="1665" t="n"/>
      <c r="O236" s="1665" t="n"/>
      <c r="P236" s="1665" t="n"/>
      <c r="Q236" s="1665" t="n"/>
      <c r="R236" s="1665" t="n"/>
      <c r="S236" s="1665" t="n"/>
      <c r="T236" s="1665" t="n"/>
      <c r="U236" s="1665" t="n"/>
      <c r="V236" s="1665" t="n"/>
      <c r="W236" s="1665" t="n"/>
      <c r="X236" s="1665" t="n"/>
      <c r="Y236" s="1665" t="n"/>
      <c r="Z236" s="1665" t="n"/>
    </row>
    <row r="237" ht="15.75" customHeight="1" s="1666">
      <c r="G237" s="1665" t="n"/>
      <c r="H237" s="1665" t="n"/>
      <c r="I237" s="1665" t="n"/>
      <c r="J237" s="1665" t="n"/>
      <c r="K237" s="1665" t="n"/>
      <c r="L237" s="1665" t="n"/>
      <c r="M237" s="1665" t="n"/>
      <c r="N237" s="1665" t="n"/>
      <c r="O237" s="1665" t="n"/>
      <c r="P237" s="1665" t="n"/>
      <c r="Q237" s="1665" t="n"/>
      <c r="R237" s="1665" t="n"/>
      <c r="S237" s="1665" t="n"/>
      <c r="T237" s="1665" t="n"/>
      <c r="U237" s="1665" t="n"/>
      <c r="V237" s="1665" t="n"/>
      <c r="W237" s="1665" t="n"/>
      <c r="X237" s="1665" t="n"/>
      <c r="Y237" s="1665" t="n"/>
      <c r="Z237" s="1665" t="n"/>
    </row>
    <row r="238" ht="15.75" customHeight="1" s="1666">
      <c r="G238" s="1665" t="n"/>
      <c r="H238" s="1665" t="n"/>
      <c r="I238" s="1665" t="n"/>
      <c r="J238" s="1665" t="n"/>
      <c r="K238" s="1665" t="n"/>
      <c r="L238" s="1665" t="n"/>
      <c r="M238" s="1665" t="n"/>
      <c r="N238" s="1665" t="n"/>
      <c r="O238" s="1665" t="n"/>
      <c r="P238" s="1665" t="n"/>
      <c r="Q238" s="1665" t="n"/>
      <c r="R238" s="1665" t="n"/>
      <c r="S238" s="1665" t="n"/>
      <c r="T238" s="1665" t="n"/>
      <c r="U238" s="1665" t="n"/>
      <c r="V238" s="1665" t="n"/>
      <c r="W238" s="1665" t="n"/>
      <c r="X238" s="1665" t="n"/>
      <c r="Y238" s="1665" t="n"/>
      <c r="Z238" s="1665" t="n"/>
    </row>
    <row r="239" ht="15.75" customHeight="1" s="1666">
      <c r="G239" s="1665" t="n"/>
      <c r="H239" s="1665" t="n"/>
      <c r="I239" s="1665" t="n"/>
      <c r="J239" s="1665" t="n"/>
      <c r="K239" s="1665" t="n"/>
      <c r="L239" s="1665" t="n"/>
      <c r="M239" s="1665" t="n"/>
      <c r="N239" s="1665" t="n"/>
      <c r="O239" s="1665" t="n"/>
      <c r="P239" s="1665" t="n"/>
      <c r="Q239" s="1665" t="n"/>
      <c r="R239" s="1665" t="n"/>
      <c r="S239" s="1665" t="n"/>
      <c r="T239" s="1665" t="n"/>
      <c r="U239" s="1665" t="n"/>
      <c r="V239" s="1665" t="n"/>
      <c r="W239" s="1665" t="n"/>
      <c r="X239" s="1665" t="n"/>
      <c r="Y239" s="1665" t="n"/>
      <c r="Z239" s="1665" t="n"/>
    </row>
    <row r="240" ht="15.75" customHeight="1" s="1666">
      <c r="G240" s="1665" t="n"/>
      <c r="H240" s="1665" t="n"/>
      <c r="I240" s="1665" t="n"/>
      <c r="J240" s="1665" t="n"/>
      <c r="K240" s="1665" t="n"/>
      <c r="L240" s="1665" t="n"/>
      <c r="M240" s="1665" t="n"/>
      <c r="N240" s="1665" t="n"/>
      <c r="O240" s="1665" t="n"/>
      <c r="P240" s="1665" t="n"/>
      <c r="Q240" s="1665" t="n"/>
      <c r="R240" s="1665" t="n"/>
      <c r="S240" s="1665" t="n"/>
      <c r="T240" s="1665" t="n"/>
      <c r="U240" s="1665" t="n"/>
      <c r="V240" s="1665" t="n"/>
      <c r="W240" s="1665" t="n"/>
      <c r="X240" s="1665" t="n"/>
      <c r="Y240" s="1665" t="n"/>
      <c r="Z240" s="1665" t="n"/>
    </row>
    <row r="241" ht="15.75" customHeight="1" s="1666">
      <c r="G241" s="1665" t="n"/>
      <c r="H241" s="1665" t="n"/>
      <c r="I241" s="1665" t="n"/>
      <c r="J241" s="1665" t="n"/>
      <c r="K241" s="1665" t="n"/>
      <c r="L241" s="1665" t="n"/>
      <c r="M241" s="1665" t="n"/>
      <c r="N241" s="1665" t="n"/>
      <c r="O241" s="1665" t="n"/>
      <c r="P241" s="1665" t="n"/>
      <c r="Q241" s="1665" t="n"/>
      <c r="R241" s="1665" t="n"/>
      <c r="S241" s="1665" t="n"/>
      <c r="T241" s="1665" t="n"/>
      <c r="U241" s="1665" t="n"/>
      <c r="V241" s="1665" t="n"/>
      <c r="W241" s="1665" t="n"/>
      <c r="X241" s="1665" t="n"/>
      <c r="Y241" s="1665" t="n"/>
      <c r="Z241" s="1665" t="n"/>
    </row>
    <row r="242" ht="15.75" customHeight="1" s="1666">
      <c r="G242" s="1665" t="n"/>
      <c r="H242" s="1665" t="n"/>
      <c r="I242" s="1665" t="n"/>
      <c r="J242" s="1665" t="n"/>
      <c r="K242" s="1665" t="n"/>
      <c r="L242" s="1665" t="n"/>
      <c r="M242" s="1665" t="n"/>
      <c r="N242" s="1665" t="n"/>
      <c r="O242" s="1665" t="n"/>
      <c r="P242" s="1665" t="n"/>
      <c r="Q242" s="1665" t="n"/>
      <c r="R242" s="1665" t="n"/>
      <c r="S242" s="1665" t="n"/>
      <c r="T242" s="1665" t="n"/>
      <c r="U242" s="1665" t="n"/>
      <c r="V242" s="1665" t="n"/>
      <c r="W242" s="1665" t="n"/>
      <c r="X242" s="1665" t="n"/>
      <c r="Y242" s="1665" t="n"/>
      <c r="Z242" s="1665" t="n"/>
    </row>
    <row r="243" ht="15.75" customHeight="1" s="1666">
      <c r="G243" s="1665" t="n"/>
      <c r="H243" s="1665" t="n"/>
      <c r="I243" s="1665" t="n"/>
      <c r="J243" s="1665" t="n"/>
      <c r="K243" s="1665" t="n"/>
      <c r="L243" s="1665" t="n"/>
      <c r="M243" s="1665" t="n"/>
      <c r="N243" s="1665" t="n"/>
      <c r="O243" s="1665" t="n"/>
      <c r="P243" s="1665" t="n"/>
      <c r="Q243" s="1665" t="n"/>
      <c r="R243" s="1665" t="n"/>
      <c r="S243" s="1665" t="n"/>
      <c r="T243" s="1665" t="n"/>
      <c r="U243" s="1665" t="n"/>
      <c r="V243" s="1665" t="n"/>
      <c r="W243" s="1665" t="n"/>
      <c r="X243" s="1665" t="n"/>
      <c r="Y243" s="1665" t="n"/>
      <c r="Z243" s="1665" t="n"/>
    </row>
    <row r="244" ht="15.75" customHeight="1" s="1666">
      <c r="G244" s="1665" t="n"/>
      <c r="H244" s="1665" t="n"/>
      <c r="I244" s="1665" t="n"/>
      <c r="J244" s="1665" t="n"/>
      <c r="K244" s="1665" t="n"/>
      <c r="L244" s="1665" t="n"/>
      <c r="M244" s="1665" t="n"/>
      <c r="N244" s="1665" t="n"/>
      <c r="O244" s="1665" t="n"/>
      <c r="P244" s="1665" t="n"/>
      <c r="Q244" s="1665" t="n"/>
      <c r="R244" s="1665" t="n"/>
      <c r="S244" s="1665" t="n"/>
      <c r="T244" s="1665" t="n"/>
      <c r="U244" s="1665" t="n"/>
      <c r="V244" s="1665" t="n"/>
      <c r="W244" s="1665" t="n"/>
      <c r="X244" s="1665" t="n"/>
      <c r="Y244" s="1665" t="n"/>
      <c r="Z244" s="1665" t="n"/>
    </row>
    <row r="245" ht="15.75" customHeight="1" s="1666">
      <c r="G245" s="1665" t="n"/>
      <c r="H245" s="1665" t="n"/>
      <c r="I245" s="1665" t="n"/>
      <c r="J245" s="1665" t="n"/>
      <c r="K245" s="1665" t="n"/>
      <c r="L245" s="1665" t="n"/>
      <c r="M245" s="1665" t="n"/>
      <c r="N245" s="1665" t="n"/>
      <c r="O245" s="1665" t="n"/>
      <c r="P245" s="1665" t="n"/>
      <c r="Q245" s="1665" t="n"/>
      <c r="R245" s="1665" t="n"/>
      <c r="S245" s="1665" t="n"/>
      <c r="T245" s="1665" t="n"/>
      <c r="U245" s="1665" t="n"/>
      <c r="V245" s="1665" t="n"/>
      <c r="W245" s="1665" t="n"/>
      <c r="X245" s="1665" t="n"/>
      <c r="Y245" s="1665" t="n"/>
      <c r="Z245" s="1665" t="n"/>
    </row>
    <row r="246" ht="15.75" customHeight="1" s="1666">
      <c r="G246" s="1665" t="n"/>
      <c r="H246" s="1665" t="n"/>
      <c r="I246" s="1665" t="n"/>
      <c r="J246" s="1665" t="n"/>
      <c r="K246" s="1665" t="n"/>
      <c r="L246" s="1665" t="n"/>
      <c r="M246" s="1665" t="n"/>
      <c r="N246" s="1665" t="n"/>
      <c r="O246" s="1665" t="n"/>
      <c r="P246" s="1665" t="n"/>
      <c r="Q246" s="1665" t="n"/>
      <c r="R246" s="1665" t="n"/>
      <c r="S246" s="1665" t="n"/>
      <c r="T246" s="1665" t="n"/>
      <c r="U246" s="1665" t="n"/>
      <c r="V246" s="1665" t="n"/>
      <c r="W246" s="1665" t="n"/>
      <c r="X246" s="1665" t="n"/>
      <c r="Y246" s="1665" t="n"/>
      <c r="Z246" s="1665" t="n"/>
    </row>
    <row r="247" ht="15.75" customHeight="1" s="1666">
      <c r="G247" s="1665" t="n"/>
      <c r="H247" s="1665" t="n"/>
      <c r="I247" s="1665" t="n"/>
      <c r="J247" s="1665" t="n"/>
      <c r="K247" s="1665" t="n"/>
      <c r="L247" s="1665" t="n"/>
      <c r="M247" s="1665" t="n"/>
      <c r="N247" s="1665" t="n"/>
      <c r="O247" s="1665" t="n"/>
      <c r="P247" s="1665" t="n"/>
      <c r="Q247" s="1665" t="n"/>
      <c r="R247" s="1665" t="n"/>
      <c r="S247" s="1665" t="n"/>
      <c r="T247" s="1665" t="n"/>
      <c r="U247" s="1665" t="n"/>
      <c r="V247" s="1665" t="n"/>
      <c r="W247" s="1665" t="n"/>
      <c r="X247" s="1665" t="n"/>
      <c r="Y247" s="1665" t="n"/>
      <c r="Z247" s="1665" t="n"/>
    </row>
    <row r="248" ht="15.75" customHeight="1" s="1666">
      <c r="G248" s="1665" t="n"/>
      <c r="H248" s="1665" t="n"/>
      <c r="I248" s="1665" t="n"/>
      <c r="J248" s="1665" t="n"/>
      <c r="K248" s="1665" t="n"/>
      <c r="L248" s="1665" t="n"/>
      <c r="M248" s="1665" t="n"/>
      <c r="N248" s="1665" t="n"/>
      <c r="O248" s="1665" t="n"/>
      <c r="P248" s="1665" t="n"/>
      <c r="Q248" s="1665" t="n"/>
      <c r="R248" s="1665" t="n"/>
      <c r="S248" s="1665" t="n"/>
      <c r="T248" s="1665" t="n"/>
      <c r="U248" s="1665" t="n"/>
      <c r="V248" s="1665" t="n"/>
      <c r="W248" s="1665" t="n"/>
      <c r="X248" s="1665" t="n"/>
      <c r="Y248" s="1665" t="n"/>
      <c r="Z248" s="1665" t="n"/>
    </row>
    <row r="249" ht="15.75" customHeight="1" s="1666">
      <c r="G249" s="1665" t="n"/>
      <c r="H249" s="1665" t="n"/>
      <c r="I249" s="1665" t="n"/>
      <c r="J249" s="1665" t="n"/>
      <c r="K249" s="1665" t="n"/>
      <c r="L249" s="1665" t="n"/>
      <c r="M249" s="1665" t="n"/>
      <c r="N249" s="1665" t="n"/>
      <c r="O249" s="1665" t="n"/>
      <c r="P249" s="1665" t="n"/>
      <c r="Q249" s="1665" t="n"/>
      <c r="R249" s="1665" t="n"/>
      <c r="S249" s="1665" t="n"/>
      <c r="T249" s="1665" t="n"/>
      <c r="U249" s="1665" t="n"/>
      <c r="V249" s="1665" t="n"/>
      <c r="W249" s="1665" t="n"/>
      <c r="X249" s="1665" t="n"/>
      <c r="Y249" s="1665" t="n"/>
      <c r="Z249" s="1665" t="n"/>
    </row>
    <row r="250" ht="15.75" customHeight="1" s="1666">
      <c r="G250" s="1665" t="n"/>
      <c r="H250" s="1665" t="n"/>
      <c r="I250" s="1665" t="n"/>
      <c r="J250" s="1665" t="n"/>
      <c r="K250" s="1665" t="n"/>
      <c r="L250" s="1665" t="n"/>
      <c r="M250" s="1665" t="n"/>
      <c r="N250" s="1665" t="n"/>
      <c r="O250" s="1665" t="n"/>
      <c r="P250" s="1665" t="n"/>
      <c r="Q250" s="1665" t="n"/>
      <c r="R250" s="1665" t="n"/>
      <c r="S250" s="1665" t="n"/>
      <c r="T250" s="1665" t="n"/>
      <c r="U250" s="1665" t="n"/>
      <c r="V250" s="1665" t="n"/>
      <c r="W250" s="1665" t="n"/>
      <c r="X250" s="1665" t="n"/>
      <c r="Y250" s="1665" t="n"/>
      <c r="Z250" s="1665" t="n"/>
    </row>
    <row r="251" ht="15.75" customHeight="1" s="1666">
      <c r="G251" s="1665" t="n"/>
      <c r="H251" s="1665" t="n"/>
      <c r="I251" s="1665" t="n"/>
      <c r="J251" s="1665" t="n"/>
      <c r="K251" s="1665" t="n"/>
      <c r="L251" s="1665" t="n"/>
      <c r="M251" s="1665" t="n"/>
      <c r="N251" s="1665" t="n"/>
      <c r="O251" s="1665" t="n"/>
      <c r="P251" s="1665" t="n"/>
      <c r="Q251" s="1665" t="n"/>
      <c r="R251" s="1665" t="n"/>
      <c r="S251" s="1665" t="n"/>
      <c r="T251" s="1665" t="n"/>
      <c r="U251" s="1665" t="n"/>
      <c r="V251" s="1665" t="n"/>
      <c r="W251" s="1665" t="n"/>
      <c r="X251" s="1665" t="n"/>
      <c r="Y251" s="1665" t="n"/>
      <c r="Z251" s="1665" t="n"/>
    </row>
    <row r="252" ht="15.75" customHeight="1" s="1666">
      <c r="G252" s="1665" t="n"/>
      <c r="H252" s="1665" t="n"/>
      <c r="I252" s="1665" t="n"/>
      <c r="J252" s="1665" t="n"/>
      <c r="K252" s="1665" t="n"/>
      <c r="L252" s="1665" t="n"/>
      <c r="M252" s="1665" t="n"/>
      <c r="N252" s="1665" t="n"/>
      <c r="O252" s="1665" t="n"/>
      <c r="P252" s="1665" t="n"/>
      <c r="Q252" s="1665" t="n"/>
      <c r="R252" s="1665" t="n"/>
      <c r="S252" s="1665" t="n"/>
      <c r="T252" s="1665" t="n"/>
      <c r="U252" s="1665" t="n"/>
      <c r="V252" s="1665" t="n"/>
      <c r="W252" s="1665" t="n"/>
      <c r="X252" s="1665" t="n"/>
      <c r="Y252" s="1665" t="n"/>
      <c r="Z252" s="1665" t="n"/>
    </row>
    <row r="253" ht="15.75" customHeight="1" s="1666">
      <c r="G253" s="1665" t="n"/>
      <c r="H253" s="1665" t="n"/>
      <c r="I253" s="1665" t="n"/>
      <c r="J253" s="1665" t="n"/>
      <c r="K253" s="1665" t="n"/>
      <c r="L253" s="1665" t="n"/>
      <c r="M253" s="1665" t="n"/>
      <c r="N253" s="1665" t="n"/>
      <c r="O253" s="1665" t="n"/>
      <c r="P253" s="1665" t="n"/>
      <c r="Q253" s="1665" t="n"/>
      <c r="R253" s="1665" t="n"/>
      <c r="S253" s="1665" t="n"/>
      <c r="T253" s="1665" t="n"/>
      <c r="U253" s="1665" t="n"/>
      <c r="V253" s="1665" t="n"/>
      <c r="W253" s="1665" t="n"/>
      <c r="X253" s="1665" t="n"/>
      <c r="Y253" s="1665" t="n"/>
      <c r="Z253" s="1665" t="n"/>
    </row>
    <row r="254" ht="15.75" customHeight="1" s="1666">
      <c r="G254" s="1665" t="n"/>
      <c r="H254" s="1665" t="n"/>
      <c r="I254" s="1665" t="n"/>
      <c r="J254" s="1665" t="n"/>
      <c r="K254" s="1665" t="n"/>
      <c r="L254" s="1665" t="n"/>
      <c r="M254" s="1665" t="n"/>
      <c r="N254" s="1665" t="n"/>
      <c r="O254" s="1665" t="n"/>
      <c r="P254" s="1665" t="n"/>
      <c r="Q254" s="1665" t="n"/>
      <c r="R254" s="1665" t="n"/>
      <c r="S254" s="1665" t="n"/>
      <c r="T254" s="1665" t="n"/>
      <c r="U254" s="1665" t="n"/>
      <c r="V254" s="1665" t="n"/>
      <c r="W254" s="1665" t="n"/>
      <c r="X254" s="1665" t="n"/>
      <c r="Y254" s="1665" t="n"/>
      <c r="Z254" s="1665" t="n"/>
    </row>
    <row r="255" ht="15.75" customHeight="1" s="1666">
      <c r="G255" s="1665" t="n"/>
      <c r="H255" s="1665" t="n"/>
      <c r="I255" s="1665" t="n"/>
      <c r="J255" s="1665" t="n"/>
      <c r="K255" s="1665" t="n"/>
      <c r="L255" s="1665" t="n"/>
      <c r="M255" s="1665" t="n"/>
      <c r="N255" s="1665" t="n"/>
      <c r="O255" s="1665" t="n"/>
      <c r="P255" s="1665" t="n"/>
      <c r="Q255" s="1665" t="n"/>
      <c r="R255" s="1665" t="n"/>
      <c r="S255" s="1665" t="n"/>
      <c r="T255" s="1665" t="n"/>
      <c r="U255" s="1665" t="n"/>
      <c r="V255" s="1665" t="n"/>
      <c r="W255" s="1665" t="n"/>
      <c r="X255" s="1665" t="n"/>
      <c r="Y255" s="1665" t="n"/>
      <c r="Z255" s="1665" t="n"/>
    </row>
    <row r="256" ht="15.75" customHeight="1" s="1666">
      <c r="G256" s="1665" t="n"/>
      <c r="H256" s="1665" t="n"/>
      <c r="I256" s="1665" t="n"/>
      <c r="J256" s="1665" t="n"/>
      <c r="K256" s="1665" t="n"/>
      <c r="L256" s="1665" t="n"/>
      <c r="M256" s="1665" t="n"/>
      <c r="N256" s="1665" t="n"/>
      <c r="O256" s="1665" t="n"/>
      <c r="P256" s="1665" t="n"/>
      <c r="Q256" s="1665" t="n"/>
      <c r="R256" s="1665" t="n"/>
      <c r="S256" s="1665" t="n"/>
      <c r="T256" s="1665" t="n"/>
      <c r="U256" s="1665" t="n"/>
      <c r="V256" s="1665" t="n"/>
      <c r="W256" s="1665" t="n"/>
      <c r="X256" s="1665" t="n"/>
      <c r="Y256" s="1665" t="n"/>
      <c r="Z256" s="1665" t="n"/>
    </row>
    <row r="257" ht="15.75" customHeight="1" s="1666">
      <c r="G257" s="1665" t="n"/>
      <c r="H257" s="1665" t="n"/>
      <c r="I257" s="1665" t="n"/>
      <c r="J257" s="1665" t="n"/>
      <c r="K257" s="1665" t="n"/>
      <c r="L257" s="1665" t="n"/>
      <c r="M257" s="1665" t="n"/>
      <c r="N257" s="1665" t="n"/>
      <c r="O257" s="1665" t="n"/>
      <c r="P257" s="1665" t="n"/>
      <c r="Q257" s="1665" t="n"/>
      <c r="R257" s="1665" t="n"/>
      <c r="S257" s="1665" t="n"/>
      <c r="T257" s="1665" t="n"/>
      <c r="U257" s="1665" t="n"/>
      <c r="V257" s="1665" t="n"/>
      <c r="W257" s="1665" t="n"/>
      <c r="X257" s="1665" t="n"/>
      <c r="Y257" s="1665" t="n"/>
      <c r="Z257" s="1665" t="n"/>
    </row>
    <row r="258" ht="15.75" customHeight="1" s="1666">
      <c r="G258" s="1665" t="n"/>
      <c r="H258" s="1665" t="n"/>
      <c r="I258" s="1665" t="n"/>
      <c r="J258" s="1665" t="n"/>
      <c r="K258" s="1665" t="n"/>
      <c r="L258" s="1665" t="n"/>
      <c r="M258" s="1665" t="n"/>
      <c r="N258" s="1665" t="n"/>
      <c r="O258" s="1665" t="n"/>
      <c r="P258" s="1665" t="n"/>
      <c r="Q258" s="1665" t="n"/>
      <c r="R258" s="1665" t="n"/>
      <c r="S258" s="1665" t="n"/>
      <c r="T258" s="1665" t="n"/>
      <c r="U258" s="1665" t="n"/>
      <c r="V258" s="1665" t="n"/>
      <c r="W258" s="1665" t="n"/>
      <c r="X258" s="1665" t="n"/>
      <c r="Y258" s="1665" t="n"/>
      <c r="Z258" s="1665" t="n"/>
    </row>
    <row r="259" ht="15.75" customHeight="1" s="1666">
      <c r="G259" s="1665" t="n"/>
      <c r="H259" s="1665" t="n"/>
      <c r="I259" s="1665" t="n"/>
      <c r="J259" s="1665" t="n"/>
      <c r="K259" s="1665" t="n"/>
      <c r="L259" s="1665" t="n"/>
      <c r="M259" s="1665" t="n"/>
      <c r="N259" s="1665" t="n"/>
      <c r="O259" s="1665" t="n"/>
      <c r="P259" s="1665" t="n"/>
      <c r="Q259" s="1665" t="n"/>
      <c r="R259" s="1665" t="n"/>
      <c r="S259" s="1665" t="n"/>
      <c r="T259" s="1665" t="n"/>
      <c r="U259" s="1665" t="n"/>
      <c r="V259" s="1665" t="n"/>
      <c r="W259" s="1665" t="n"/>
      <c r="X259" s="1665" t="n"/>
      <c r="Y259" s="1665" t="n"/>
      <c r="Z259" s="1665" t="n"/>
    </row>
    <row r="260" ht="15.75" customHeight="1" s="1666">
      <c r="G260" s="1665" t="n"/>
      <c r="H260" s="1665" t="n"/>
      <c r="I260" s="1665" t="n"/>
      <c r="J260" s="1665" t="n"/>
      <c r="K260" s="1665" t="n"/>
      <c r="L260" s="1665" t="n"/>
      <c r="M260" s="1665" t="n"/>
      <c r="N260" s="1665" t="n"/>
      <c r="O260" s="1665" t="n"/>
      <c r="P260" s="1665" t="n"/>
      <c r="Q260" s="1665" t="n"/>
      <c r="R260" s="1665" t="n"/>
      <c r="S260" s="1665" t="n"/>
      <c r="T260" s="1665" t="n"/>
      <c r="U260" s="1665" t="n"/>
      <c r="V260" s="1665" t="n"/>
      <c r="W260" s="1665" t="n"/>
      <c r="X260" s="1665" t="n"/>
      <c r="Y260" s="1665" t="n"/>
      <c r="Z260" s="1665" t="n"/>
    </row>
    <row r="261" ht="15.75" customHeight="1" s="1666">
      <c r="G261" s="1665" t="n"/>
      <c r="H261" s="1665" t="n"/>
      <c r="I261" s="1665" t="n"/>
      <c r="J261" s="1665" t="n"/>
      <c r="K261" s="1665" t="n"/>
      <c r="L261" s="1665" t="n"/>
      <c r="M261" s="1665" t="n"/>
      <c r="N261" s="1665" t="n"/>
      <c r="O261" s="1665" t="n"/>
      <c r="P261" s="1665" t="n"/>
      <c r="Q261" s="1665" t="n"/>
      <c r="R261" s="1665" t="n"/>
      <c r="S261" s="1665" t="n"/>
      <c r="T261" s="1665" t="n"/>
      <c r="U261" s="1665" t="n"/>
      <c r="V261" s="1665" t="n"/>
      <c r="W261" s="1665" t="n"/>
      <c r="X261" s="1665" t="n"/>
      <c r="Y261" s="1665" t="n"/>
      <c r="Z261" s="1665" t="n"/>
    </row>
    <row r="262" ht="15.75" customHeight="1" s="1666">
      <c r="G262" s="1665" t="n"/>
      <c r="H262" s="1665" t="n"/>
      <c r="I262" s="1665" t="n"/>
      <c r="J262" s="1665" t="n"/>
      <c r="K262" s="1665" t="n"/>
      <c r="L262" s="1665" t="n"/>
      <c r="M262" s="1665" t="n"/>
      <c r="N262" s="1665" t="n"/>
      <c r="O262" s="1665" t="n"/>
      <c r="P262" s="1665" t="n"/>
      <c r="Q262" s="1665" t="n"/>
      <c r="R262" s="1665" t="n"/>
      <c r="S262" s="1665" t="n"/>
      <c r="T262" s="1665" t="n"/>
      <c r="U262" s="1665" t="n"/>
      <c r="V262" s="1665" t="n"/>
      <c r="W262" s="1665" t="n"/>
      <c r="X262" s="1665" t="n"/>
      <c r="Y262" s="1665" t="n"/>
      <c r="Z262" s="1665" t="n"/>
    </row>
    <row r="263" ht="15.75" customHeight="1" s="1666">
      <c r="G263" s="1665" t="n"/>
      <c r="H263" s="1665" t="n"/>
      <c r="I263" s="1665" t="n"/>
      <c r="J263" s="1665" t="n"/>
      <c r="K263" s="1665" t="n"/>
      <c r="L263" s="1665" t="n"/>
      <c r="M263" s="1665" t="n"/>
      <c r="N263" s="1665" t="n"/>
      <c r="O263" s="1665" t="n"/>
      <c r="P263" s="1665" t="n"/>
      <c r="Q263" s="1665" t="n"/>
      <c r="R263" s="1665" t="n"/>
      <c r="S263" s="1665" t="n"/>
      <c r="T263" s="1665" t="n"/>
      <c r="U263" s="1665" t="n"/>
      <c r="V263" s="1665" t="n"/>
      <c r="W263" s="1665" t="n"/>
      <c r="X263" s="1665" t="n"/>
      <c r="Y263" s="1665" t="n"/>
      <c r="Z263" s="1665" t="n"/>
    </row>
    <row r="264" ht="15.75" customHeight="1" s="1666">
      <c r="G264" s="1665" t="n"/>
      <c r="H264" s="1665" t="n"/>
      <c r="I264" s="1665" t="n"/>
      <c r="J264" s="1665" t="n"/>
      <c r="K264" s="1665" t="n"/>
      <c r="L264" s="1665" t="n"/>
      <c r="M264" s="1665" t="n"/>
      <c r="N264" s="1665" t="n"/>
      <c r="O264" s="1665" t="n"/>
      <c r="P264" s="1665" t="n"/>
      <c r="Q264" s="1665" t="n"/>
      <c r="R264" s="1665" t="n"/>
      <c r="S264" s="1665" t="n"/>
      <c r="T264" s="1665" t="n"/>
      <c r="U264" s="1665" t="n"/>
      <c r="V264" s="1665" t="n"/>
      <c r="W264" s="1665" t="n"/>
      <c r="X264" s="1665" t="n"/>
      <c r="Y264" s="1665" t="n"/>
      <c r="Z264" s="1665" t="n"/>
    </row>
    <row r="265" ht="15.75" customHeight="1" s="1666">
      <c r="G265" s="1665" t="n"/>
      <c r="H265" s="1665" t="n"/>
      <c r="I265" s="1665" t="n"/>
      <c r="J265" s="1665" t="n"/>
      <c r="K265" s="1665" t="n"/>
      <c r="L265" s="1665" t="n"/>
      <c r="M265" s="1665" t="n"/>
      <c r="N265" s="1665" t="n"/>
      <c r="O265" s="1665" t="n"/>
      <c r="P265" s="1665" t="n"/>
      <c r="Q265" s="1665" t="n"/>
      <c r="R265" s="1665" t="n"/>
      <c r="S265" s="1665" t="n"/>
      <c r="T265" s="1665" t="n"/>
      <c r="U265" s="1665" t="n"/>
      <c r="V265" s="1665" t="n"/>
      <c r="W265" s="1665" t="n"/>
      <c r="X265" s="1665" t="n"/>
      <c r="Y265" s="1665" t="n"/>
      <c r="Z265" s="1665" t="n"/>
    </row>
    <row r="266" ht="15.75" customHeight="1" s="1666">
      <c r="G266" s="1665" t="n"/>
      <c r="H266" s="1665" t="n"/>
      <c r="I266" s="1665" t="n"/>
      <c r="J266" s="1665" t="n"/>
      <c r="K266" s="1665" t="n"/>
      <c r="L266" s="1665" t="n"/>
      <c r="M266" s="1665" t="n"/>
      <c r="N266" s="1665" t="n"/>
      <c r="O266" s="1665" t="n"/>
      <c r="P266" s="1665" t="n"/>
      <c r="Q266" s="1665" t="n"/>
      <c r="R266" s="1665" t="n"/>
      <c r="S266" s="1665" t="n"/>
      <c r="T266" s="1665" t="n"/>
      <c r="U266" s="1665" t="n"/>
      <c r="V266" s="1665" t="n"/>
      <c r="W266" s="1665" t="n"/>
      <c r="X266" s="1665" t="n"/>
      <c r="Y266" s="1665" t="n"/>
      <c r="Z266" s="1665" t="n"/>
    </row>
    <row r="267" ht="15.75" customHeight="1" s="1666">
      <c r="G267" s="1665" t="n"/>
      <c r="H267" s="1665" t="n"/>
      <c r="I267" s="1665" t="n"/>
      <c r="J267" s="1665" t="n"/>
      <c r="K267" s="1665" t="n"/>
      <c r="L267" s="1665" t="n"/>
      <c r="M267" s="1665" t="n"/>
      <c r="N267" s="1665" t="n"/>
      <c r="O267" s="1665" t="n"/>
      <c r="P267" s="1665" t="n"/>
      <c r="Q267" s="1665" t="n"/>
      <c r="R267" s="1665" t="n"/>
      <c r="S267" s="1665" t="n"/>
      <c r="T267" s="1665" t="n"/>
      <c r="U267" s="1665" t="n"/>
      <c r="V267" s="1665" t="n"/>
      <c r="W267" s="1665" t="n"/>
      <c r="X267" s="1665" t="n"/>
      <c r="Y267" s="1665" t="n"/>
      <c r="Z267" s="1665" t="n"/>
    </row>
    <row r="268" ht="15.75" customHeight="1" s="1666">
      <c r="G268" s="1665" t="n"/>
      <c r="H268" s="1665" t="n"/>
      <c r="I268" s="1665" t="n"/>
      <c r="J268" s="1665" t="n"/>
      <c r="K268" s="1665" t="n"/>
      <c r="L268" s="1665" t="n"/>
      <c r="M268" s="1665" t="n"/>
      <c r="N268" s="1665" t="n"/>
      <c r="O268" s="1665" t="n"/>
      <c r="P268" s="1665" t="n"/>
      <c r="Q268" s="1665" t="n"/>
      <c r="R268" s="1665" t="n"/>
      <c r="S268" s="1665" t="n"/>
      <c r="T268" s="1665" t="n"/>
      <c r="U268" s="1665" t="n"/>
      <c r="V268" s="1665" t="n"/>
      <c r="W268" s="1665" t="n"/>
      <c r="X268" s="1665" t="n"/>
      <c r="Y268" s="1665" t="n"/>
      <c r="Z268" s="1665" t="n"/>
    </row>
    <row r="269" ht="15.75" customHeight="1" s="1666">
      <c r="G269" s="1665" t="n"/>
      <c r="H269" s="1665" t="n"/>
      <c r="I269" s="1665" t="n"/>
      <c r="J269" s="1665" t="n"/>
      <c r="K269" s="1665" t="n"/>
      <c r="L269" s="1665" t="n"/>
      <c r="M269" s="1665" t="n"/>
      <c r="N269" s="1665" t="n"/>
      <c r="O269" s="1665" t="n"/>
      <c r="P269" s="1665" t="n"/>
      <c r="Q269" s="1665" t="n"/>
      <c r="R269" s="1665" t="n"/>
      <c r="S269" s="1665" t="n"/>
      <c r="T269" s="1665" t="n"/>
      <c r="U269" s="1665" t="n"/>
      <c r="V269" s="1665" t="n"/>
      <c r="W269" s="1665" t="n"/>
      <c r="X269" s="1665" t="n"/>
      <c r="Y269" s="1665" t="n"/>
      <c r="Z269" s="1665" t="n"/>
    </row>
    <row r="270" ht="15.75" customHeight="1" s="1666">
      <c r="G270" s="1665" t="n"/>
      <c r="H270" s="1665" t="n"/>
      <c r="I270" s="1665" t="n"/>
      <c r="J270" s="1665" t="n"/>
      <c r="K270" s="1665" t="n"/>
      <c r="L270" s="1665" t="n"/>
      <c r="M270" s="1665" t="n"/>
      <c r="N270" s="1665" t="n"/>
      <c r="O270" s="1665" t="n"/>
      <c r="P270" s="1665" t="n"/>
      <c r="Q270" s="1665" t="n"/>
      <c r="R270" s="1665" t="n"/>
      <c r="S270" s="1665" t="n"/>
      <c r="T270" s="1665" t="n"/>
      <c r="U270" s="1665" t="n"/>
      <c r="V270" s="1665" t="n"/>
      <c r="W270" s="1665" t="n"/>
      <c r="X270" s="1665" t="n"/>
      <c r="Y270" s="1665" t="n"/>
      <c r="Z270" s="1665" t="n"/>
    </row>
    <row r="271" ht="15.75" customHeight="1" s="1666">
      <c r="G271" s="1665" t="n"/>
      <c r="H271" s="1665" t="n"/>
      <c r="I271" s="1665" t="n"/>
      <c r="J271" s="1665" t="n"/>
      <c r="K271" s="1665" t="n"/>
      <c r="L271" s="1665" t="n"/>
      <c r="M271" s="1665" t="n"/>
      <c r="N271" s="1665" t="n"/>
      <c r="O271" s="1665" t="n"/>
      <c r="P271" s="1665" t="n"/>
      <c r="Q271" s="1665" t="n"/>
      <c r="R271" s="1665" t="n"/>
      <c r="S271" s="1665" t="n"/>
      <c r="T271" s="1665" t="n"/>
      <c r="U271" s="1665" t="n"/>
      <c r="V271" s="1665" t="n"/>
      <c r="W271" s="1665" t="n"/>
      <c r="X271" s="1665" t="n"/>
      <c r="Y271" s="1665" t="n"/>
      <c r="Z271" s="1665" t="n"/>
    </row>
    <row r="272" ht="15.75" customHeight="1" s="1666">
      <c r="G272" s="1665" t="n"/>
      <c r="H272" s="1665" t="n"/>
      <c r="I272" s="1665" t="n"/>
      <c r="J272" s="1665" t="n"/>
      <c r="K272" s="1665" t="n"/>
      <c r="L272" s="1665" t="n"/>
      <c r="M272" s="1665" t="n"/>
      <c r="N272" s="1665" t="n"/>
      <c r="O272" s="1665" t="n"/>
      <c r="P272" s="1665" t="n"/>
      <c r="Q272" s="1665" t="n"/>
      <c r="R272" s="1665" t="n"/>
      <c r="S272" s="1665" t="n"/>
      <c r="T272" s="1665" t="n"/>
      <c r="U272" s="1665" t="n"/>
      <c r="V272" s="1665" t="n"/>
      <c r="W272" s="1665" t="n"/>
      <c r="X272" s="1665" t="n"/>
      <c r="Y272" s="1665" t="n"/>
      <c r="Z272" s="1665" t="n"/>
    </row>
    <row r="273" ht="15.75" customHeight="1" s="1666">
      <c r="G273" s="1665" t="n"/>
      <c r="H273" s="1665" t="n"/>
      <c r="I273" s="1665" t="n"/>
      <c r="J273" s="1665" t="n"/>
      <c r="K273" s="1665" t="n"/>
      <c r="L273" s="1665" t="n"/>
      <c r="M273" s="1665" t="n"/>
      <c r="N273" s="1665" t="n"/>
      <c r="O273" s="1665" t="n"/>
      <c r="P273" s="1665" t="n"/>
      <c r="Q273" s="1665" t="n"/>
      <c r="R273" s="1665" t="n"/>
      <c r="S273" s="1665" t="n"/>
      <c r="T273" s="1665" t="n"/>
      <c r="U273" s="1665" t="n"/>
      <c r="V273" s="1665" t="n"/>
      <c r="W273" s="1665" t="n"/>
      <c r="X273" s="1665" t="n"/>
      <c r="Y273" s="1665" t="n"/>
      <c r="Z273" s="1665" t="n"/>
    </row>
    <row r="274" ht="15.75" customHeight="1" s="1666">
      <c r="G274" s="1665" t="n"/>
      <c r="H274" s="1665" t="n"/>
      <c r="I274" s="1665" t="n"/>
      <c r="J274" s="1665" t="n"/>
      <c r="K274" s="1665" t="n"/>
      <c r="L274" s="1665" t="n"/>
      <c r="M274" s="1665" t="n"/>
      <c r="N274" s="1665" t="n"/>
      <c r="O274" s="1665" t="n"/>
      <c r="P274" s="1665" t="n"/>
      <c r="Q274" s="1665" t="n"/>
      <c r="R274" s="1665" t="n"/>
      <c r="S274" s="1665" t="n"/>
      <c r="T274" s="1665" t="n"/>
      <c r="U274" s="1665" t="n"/>
      <c r="V274" s="1665" t="n"/>
      <c r="W274" s="1665" t="n"/>
      <c r="X274" s="1665" t="n"/>
      <c r="Y274" s="1665" t="n"/>
      <c r="Z274" s="1665" t="n"/>
    </row>
    <row r="275" ht="15.75" customHeight="1" s="1666">
      <c r="G275" s="1665" t="n"/>
      <c r="H275" s="1665" t="n"/>
      <c r="I275" s="1665" t="n"/>
      <c r="J275" s="1665" t="n"/>
      <c r="K275" s="1665" t="n"/>
      <c r="L275" s="1665" t="n"/>
      <c r="M275" s="1665" t="n"/>
      <c r="N275" s="1665" t="n"/>
      <c r="O275" s="1665" t="n"/>
      <c r="P275" s="1665" t="n"/>
      <c r="Q275" s="1665" t="n"/>
      <c r="R275" s="1665" t="n"/>
      <c r="S275" s="1665" t="n"/>
      <c r="T275" s="1665" t="n"/>
      <c r="U275" s="1665" t="n"/>
      <c r="V275" s="1665" t="n"/>
      <c r="W275" s="1665" t="n"/>
      <c r="X275" s="1665" t="n"/>
      <c r="Y275" s="1665" t="n"/>
      <c r="Z275" s="1665" t="n"/>
    </row>
    <row r="276" ht="15.75" customHeight="1" s="1666">
      <c r="G276" s="1665" t="n"/>
      <c r="H276" s="1665" t="n"/>
      <c r="I276" s="1665" t="n"/>
      <c r="J276" s="1665" t="n"/>
      <c r="K276" s="1665" t="n"/>
      <c r="L276" s="1665" t="n"/>
      <c r="M276" s="1665" t="n"/>
      <c r="N276" s="1665" t="n"/>
      <c r="O276" s="1665" t="n"/>
      <c r="P276" s="1665" t="n"/>
      <c r="Q276" s="1665" t="n"/>
      <c r="R276" s="1665" t="n"/>
      <c r="S276" s="1665" t="n"/>
      <c r="T276" s="1665" t="n"/>
      <c r="U276" s="1665" t="n"/>
      <c r="V276" s="1665" t="n"/>
      <c r="W276" s="1665" t="n"/>
      <c r="X276" s="1665" t="n"/>
      <c r="Y276" s="1665" t="n"/>
      <c r="Z276" s="1665" t="n"/>
    </row>
    <row r="277" ht="15.75" customHeight="1" s="1666">
      <c r="G277" s="1665" t="n"/>
      <c r="H277" s="1665" t="n"/>
      <c r="I277" s="1665" t="n"/>
      <c r="J277" s="1665" t="n"/>
      <c r="K277" s="1665" t="n"/>
      <c r="L277" s="1665" t="n"/>
      <c r="M277" s="1665" t="n"/>
      <c r="N277" s="1665" t="n"/>
      <c r="O277" s="1665" t="n"/>
      <c r="P277" s="1665" t="n"/>
      <c r="Q277" s="1665" t="n"/>
      <c r="R277" s="1665" t="n"/>
      <c r="S277" s="1665" t="n"/>
      <c r="T277" s="1665" t="n"/>
      <c r="U277" s="1665" t="n"/>
      <c r="V277" s="1665" t="n"/>
      <c r="W277" s="1665" t="n"/>
      <c r="X277" s="1665" t="n"/>
      <c r="Y277" s="1665" t="n"/>
      <c r="Z277" s="1665" t="n"/>
    </row>
    <row r="278" ht="15.75" customHeight="1" s="1666">
      <c r="G278" s="1665" t="n"/>
      <c r="H278" s="1665" t="n"/>
      <c r="I278" s="1665" t="n"/>
      <c r="J278" s="1665" t="n"/>
      <c r="K278" s="1665" t="n"/>
      <c r="L278" s="1665" t="n"/>
      <c r="M278" s="1665" t="n"/>
      <c r="N278" s="1665" t="n"/>
      <c r="O278" s="1665" t="n"/>
      <c r="P278" s="1665" t="n"/>
      <c r="Q278" s="1665" t="n"/>
      <c r="R278" s="1665" t="n"/>
      <c r="S278" s="1665" t="n"/>
      <c r="T278" s="1665" t="n"/>
      <c r="U278" s="1665" t="n"/>
      <c r="V278" s="1665" t="n"/>
      <c r="W278" s="1665" t="n"/>
      <c r="X278" s="1665" t="n"/>
      <c r="Y278" s="1665" t="n"/>
      <c r="Z278" s="1665" t="n"/>
    </row>
    <row r="279" ht="15.75" customHeight="1" s="1666">
      <c r="G279" s="1665" t="n"/>
      <c r="H279" s="1665" t="n"/>
      <c r="I279" s="1665" t="n"/>
      <c r="J279" s="1665" t="n"/>
      <c r="K279" s="1665" t="n"/>
      <c r="L279" s="1665" t="n"/>
      <c r="M279" s="1665" t="n"/>
      <c r="N279" s="1665" t="n"/>
      <c r="O279" s="1665" t="n"/>
      <c r="P279" s="1665" t="n"/>
      <c r="Q279" s="1665" t="n"/>
      <c r="R279" s="1665" t="n"/>
      <c r="S279" s="1665" t="n"/>
      <c r="T279" s="1665" t="n"/>
      <c r="U279" s="1665" t="n"/>
      <c r="V279" s="1665" t="n"/>
      <c r="W279" s="1665" t="n"/>
      <c r="X279" s="1665" t="n"/>
      <c r="Y279" s="1665" t="n"/>
      <c r="Z279" s="1665" t="n"/>
    </row>
    <row r="280" ht="15.75" customHeight="1" s="1666">
      <c r="G280" s="1665" t="n"/>
      <c r="H280" s="1665" t="n"/>
      <c r="I280" s="1665" t="n"/>
      <c r="J280" s="1665" t="n"/>
      <c r="K280" s="1665" t="n"/>
      <c r="L280" s="1665" t="n"/>
      <c r="M280" s="1665" t="n"/>
      <c r="N280" s="1665" t="n"/>
      <c r="O280" s="1665" t="n"/>
      <c r="P280" s="1665" t="n"/>
      <c r="Q280" s="1665" t="n"/>
      <c r="R280" s="1665" t="n"/>
      <c r="S280" s="1665" t="n"/>
      <c r="T280" s="1665" t="n"/>
      <c r="U280" s="1665" t="n"/>
      <c r="V280" s="1665" t="n"/>
      <c r="W280" s="1665" t="n"/>
      <c r="X280" s="1665" t="n"/>
      <c r="Y280" s="1665" t="n"/>
      <c r="Z280" s="1665" t="n"/>
    </row>
    <row r="281" ht="15.75" customHeight="1" s="1666">
      <c r="G281" s="1665" t="n"/>
      <c r="H281" s="1665" t="n"/>
      <c r="I281" s="1665" t="n"/>
      <c r="J281" s="1665" t="n"/>
      <c r="K281" s="1665" t="n"/>
      <c r="L281" s="1665" t="n"/>
      <c r="M281" s="1665" t="n"/>
      <c r="N281" s="1665" t="n"/>
      <c r="O281" s="1665" t="n"/>
      <c r="P281" s="1665" t="n"/>
      <c r="Q281" s="1665" t="n"/>
      <c r="R281" s="1665" t="n"/>
      <c r="S281" s="1665" t="n"/>
      <c r="T281" s="1665" t="n"/>
      <c r="U281" s="1665" t="n"/>
      <c r="V281" s="1665" t="n"/>
      <c r="W281" s="1665" t="n"/>
      <c r="X281" s="1665" t="n"/>
      <c r="Y281" s="1665" t="n"/>
      <c r="Z281" s="1665" t="n"/>
    </row>
    <row r="282" ht="15.75" customHeight="1" s="1666">
      <c r="G282" s="1665" t="n"/>
      <c r="H282" s="1665" t="n"/>
      <c r="I282" s="1665" t="n"/>
      <c r="J282" s="1665" t="n"/>
      <c r="K282" s="1665" t="n"/>
      <c r="L282" s="1665" t="n"/>
      <c r="M282" s="1665" t="n"/>
      <c r="N282" s="1665" t="n"/>
      <c r="O282" s="1665" t="n"/>
      <c r="P282" s="1665" t="n"/>
      <c r="Q282" s="1665" t="n"/>
      <c r="R282" s="1665" t="n"/>
      <c r="S282" s="1665" t="n"/>
      <c r="T282" s="1665" t="n"/>
      <c r="U282" s="1665" t="n"/>
      <c r="V282" s="1665" t="n"/>
      <c r="W282" s="1665" t="n"/>
      <c r="X282" s="1665" t="n"/>
      <c r="Y282" s="1665" t="n"/>
      <c r="Z282" s="1665" t="n"/>
    </row>
    <row r="283" ht="15.75" customHeight="1" s="1666">
      <c r="G283" s="1665" t="n"/>
      <c r="H283" s="1665" t="n"/>
      <c r="I283" s="1665" t="n"/>
      <c r="J283" s="1665" t="n"/>
      <c r="K283" s="1665" t="n"/>
      <c r="L283" s="1665" t="n"/>
      <c r="M283" s="1665" t="n"/>
      <c r="N283" s="1665" t="n"/>
      <c r="O283" s="1665" t="n"/>
      <c r="P283" s="1665" t="n"/>
      <c r="Q283" s="1665" t="n"/>
      <c r="R283" s="1665" t="n"/>
      <c r="S283" s="1665" t="n"/>
      <c r="T283" s="1665" t="n"/>
      <c r="U283" s="1665" t="n"/>
      <c r="V283" s="1665" t="n"/>
      <c r="W283" s="1665" t="n"/>
      <c r="X283" s="1665" t="n"/>
      <c r="Y283" s="1665" t="n"/>
      <c r="Z283" s="1665" t="n"/>
    </row>
    <row r="284" ht="15.75" customHeight="1" s="1666">
      <c r="G284" s="1665" t="n"/>
      <c r="H284" s="1665" t="n"/>
      <c r="I284" s="1665" t="n"/>
      <c r="J284" s="1665" t="n"/>
      <c r="K284" s="1665" t="n"/>
      <c r="L284" s="1665" t="n"/>
      <c r="M284" s="1665" t="n"/>
      <c r="N284" s="1665" t="n"/>
      <c r="O284" s="1665" t="n"/>
      <c r="P284" s="1665" t="n"/>
      <c r="Q284" s="1665" t="n"/>
      <c r="R284" s="1665" t="n"/>
      <c r="S284" s="1665" t="n"/>
      <c r="T284" s="1665" t="n"/>
      <c r="U284" s="1665" t="n"/>
      <c r="V284" s="1665" t="n"/>
      <c r="W284" s="1665" t="n"/>
      <c r="X284" s="1665" t="n"/>
      <c r="Y284" s="1665" t="n"/>
      <c r="Z284" s="1665" t="n"/>
    </row>
    <row r="285" ht="15.75" customHeight="1" s="1666">
      <c r="G285" s="1665" t="n"/>
      <c r="H285" s="1665" t="n"/>
      <c r="I285" s="1665" t="n"/>
      <c r="J285" s="1665" t="n"/>
      <c r="K285" s="1665" t="n"/>
      <c r="L285" s="1665" t="n"/>
      <c r="M285" s="1665" t="n"/>
      <c r="N285" s="1665" t="n"/>
      <c r="O285" s="1665" t="n"/>
      <c r="P285" s="1665" t="n"/>
      <c r="Q285" s="1665" t="n"/>
      <c r="R285" s="1665" t="n"/>
      <c r="S285" s="1665" t="n"/>
      <c r="T285" s="1665" t="n"/>
      <c r="U285" s="1665" t="n"/>
      <c r="V285" s="1665" t="n"/>
      <c r="W285" s="1665" t="n"/>
      <c r="X285" s="1665" t="n"/>
      <c r="Y285" s="1665" t="n"/>
      <c r="Z285" s="1665" t="n"/>
    </row>
    <row r="286" ht="15.75" customHeight="1" s="1666">
      <c r="G286" s="1665" t="n"/>
      <c r="H286" s="1665" t="n"/>
      <c r="I286" s="1665" t="n"/>
      <c r="J286" s="1665" t="n"/>
      <c r="K286" s="1665" t="n"/>
      <c r="L286" s="1665" t="n"/>
      <c r="M286" s="1665" t="n"/>
      <c r="N286" s="1665" t="n"/>
      <c r="O286" s="1665" t="n"/>
      <c r="P286" s="1665" t="n"/>
      <c r="Q286" s="1665" t="n"/>
      <c r="R286" s="1665" t="n"/>
      <c r="S286" s="1665" t="n"/>
      <c r="T286" s="1665" t="n"/>
      <c r="U286" s="1665" t="n"/>
      <c r="V286" s="1665" t="n"/>
      <c r="W286" s="1665" t="n"/>
      <c r="X286" s="1665" t="n"/>
      <c r="Y286" s="1665" t="n"/>
      <c r="Z286" s="1665" t="n"/>
    </row>
    <row r="287" ht="15.75" customHeight="1" s="1666">
      <c r="G287" s="1665" t="n"/>
      <c r="H287" s="1665" t="n"/>
      <c r="I287" s="1665" t="n"/>
      <c r="J287" s="1665" t="n"/>
      <c r="K287" s="1665" t="n"/>
      <c r="L287" s="1665" t="n"/>
      <c r="M287" s="1665" t="n"/>
      <c r="N287" s="1665" t="n"/>
      <c r="O287" s="1665" t="n"/>
      <c r="P287" s="1665" t="n"/>
      <c r="Q287" s="1665" t="n"/>
      <c r="R287" s="1665" t="n"/>
      <c r="S287" s="1665" t="n"/>
      <c r="T287" s="1665" t="n"/>
      <c r="U287" s="1665" t="n"/>
      <c r="V287" s="1665" t="n"/>
      <c r="W287" s="1665" t="n"/>
      <c r="X287" s="1665" t="n"/>
      <c r="Y287" s="1665" t="n"/>
      <c r="Z287" s="1665" t="n"/>
    </row>
    <row r="288" ht="15.75" customHeight="1" s="1666">
      <c r="G288" s="1665" t="n"/>
      <c r="H288" s="1665" t="n"/>
      <c r="I288" s="1665" t="n"/>
      <c r="J288" s="1665" t="n"/>
      <c r="K288" s="1665" t="n"/>
      <c r="L288" s="1665" t="n"/>
      <c r="M288" s="1665" t="n"/>
      <c r="N288" s="1665" t="n"/>
      <c r="O288" s="1665" t="n"/>
      <c r="P288" s="1665" t="n"/>
      <c r="Q288" s="1665" t="n"/>
      <c r="R288" s="1665" t="n"/>
      <c r="S288" s="1665" t="n"/>
      <c r="T288" s="1665" t="n"/>
      <c r="U288" s="1665" t="n"/>
      <c r="V288" s="1665" t="n"/>
      <c r="W288" s="1665" t="n"/>
      <c r="X288" s="1665" t="n"/>
      <c r="Y288" s="1665" t="n"/>
      <c r="Z288" s="1665" t="n"/>
    </row>
    <row r="289" ht="15.75" customHeight="1" s="1666">
      <c r="G289" s="1665" t="n"/>
      <c r="H289" s="1665" t="n"/>
      <c r="I289" s="1665" t="n"/>
      <c r="J289" s="1665" t="n"/>
      <c r="K289" s="1665" t="n"/>
      <c r="L289" s="1665" t="n"/>
      <c r="M289" s="1665" t="n"/>
      <c r="N289" s="1665" t="n"/>
      <c r="O289" s="1665" t="n"/>
      <c r="P289" s="1665" t="n"/>
      <c r="Q289" s="1665" t="n"/>
      <c r="R289" s="1665" t="n"/>
      <c r="S289" s="1665" t="n"/>
      <c r="T289" s="1665" t="n"/>
      <c r="U289" s="1665" t="n"/>
      <c r="V289" s="1665" t="n"/>
      <c r="W289" s="1665" t="n"/>
      <c r="X289" s="1665" t="n"/>
      <c r="Y289" s="1665" t="n"/>
      <c r="Z289" s="1665" t="n"/>
    </row>
    <row r="290" ht="15.75" customHeight="1" s="1666">
      <c r="G290" s="1665" t="n"/>
      <c r="H290" s="1665" t="n"/>
      <c r="I290" s="1665" t="n"/>
      <c r="J290" s="1665" t="n"/>
      <c r="K290" s="1665" t="n"/>
      <c r="L290" s="1665" t="n"/>
      <c r="M290" s="1665" t="n"/>
      <c r="N290" s="1665" t="n"/>
      <c r="O290" s="1665" t="n"/>
      <c r="P290" s="1665" t="n"/>
      <c r="Q290" s="1665" t="n"/>
      <c r="R290" s="1665" t="n"/>
      <c r="S290" s="1665" t="n"/>
      <c r="T290" s="1665" t="n"/>
      <c r="U290" s="1665" t="n"/>
      <c r="V290" s="1665" t="n"/>
      <c r="W290" s="1665" t="n"/>
      <c r="X290" s="1665" t="n"/>
      <c r="Y290" s="1665" t="n"/>
      <c r="Z290" s="1665" t="n"/>
    </row>
    <row r="291" ht="15.75" customHeight="1" s="1666">
      <c r="G291" s="1665" t="n"/>
      <c r="H291" s="1665" t="n"/>
      <c r="I291" s="1665" t="n"/>
      <c r="J291" s="1665" t="n"/>
      <c r="K291" s="1665" t="n"/>
      <c r="L291" s="1665" t="n"/>
      <c r="M291" s="1665" t="n"/>
      <c r="N291" s="1665" t="n"/>
      <c r="O291" s="1665" t="n"/>
      <c r="P291" s="1665" t="n"/>
      <c r="Q291" s="1665" t="n"/>
      <c r="R291" s="1665" t="n"/>
      <c r="S291" s="1665" t="n"/>
      <c r="T291" s="1665" t="n"/>
      <c r="U291" s="1665" t="n"/>
      <c r="V291" s="1665" t="n"/>
      <c r="W291" s="1665" t="n"/>
      <c r="X291" s="1665" t="n"/>
      <c r="Y291" s="1665" t="n"/>
      <c r="Z291" s="1665" t="n"/>
    </row>
    <row r="292" ht="15.75" customHeight="1" s="1666">
      <c r="G292" s="1665" t="n"/>
      <c r="H292" s="1665" t="n"/>
      <c r="I292" s="1665" t="n"/>
      <c r="J292" s="1665" t="n"/>
      <c r="K292" s="1665" t="n"/>
      <c r="L292" s="1665" t="n"/>
      <c r="M292" s="1665" t="n"/>
      <c r="N292" s="1665" t="n"/>
      <c r="O292" s="1665" t="n"/>
      <c r="P292" s="1665" t="n"/>
      <c r="Q292" s="1665" t="n"/>
      <c r="R292" s="1665" t="n"/>
      <c r="S292" s="1665" t="n"/>
      <c r="T292" s="1665" t="n"/>
      <c r="U292" s="1665" t="n"/>
      <c r="V292" s="1665" t="n"/>
      <c r="W292" s="1665" t="n"/>
      <c r="X292" s="1665" t="n"/>
      <c r="Y292" s="1665" t="n"/>
      <c r="Z292" s="1665" t="n"/>
    </row>
    <row r="293" ht="15.75" customHeight="1" s="1666">
      <c r="G293" s="1665" t="n"/>
      <c r="H293" s="1665" t="n"/>
      <c r="I293" s="1665" t="n"/>
      <c r="J293" s="1665" t="n"/>
      <c r="K293" s="1665" t="n"/>
      <c r="L293" s="1665" t="n"/>
      <c r="M293" s="1665" t="n"/>
      <c r="N293" s="1665" t="n"/>
      <c r="O293" s="1665" t="n"/>
      <c r="P293" s="1665" t="n"/>
      <c r="Q293" s="1665" t="n"/>
      <c r="R293" s="1665" t="n"/>
      <c r="S293" s="1665" t="n"/>
      <c r="T293" s="1665" t="n"/>
      <c r="U293" s="1665" t="n"/>
      <c r="V293" s="1665" t="n"/>
      <c r="W293" s="1665" t="n"/>
      <c r="X293" s="1665" t="n"/>
      <c r="Y293" s="1665" t="n"/>
      <c r="Z293" s="1665" t="n"/>
    </row>
    <row r="294" ht="15.75" customHeight="1" s="1666">
      <c r="G294" s="1665" t="n"/>
      <c r="H294" s="1665" t="n"/>
      <c r="I294" s="1665" t="n"/>
      <c r="J294" s="1665" t="n"/>
      <c r="K294" s="1665" t="n"/>
      <c r="L294" s="1665" t="n"/>
      <c r="M294" s="1665" t="n"/>
      <c r="N294" s="1665" t="n"/>
      <c r="O294" s="1665" t="n"/>
      <c r="P294" s="1665" t="n"/>
      <c r="Q294" s="1665" t="n"/>
      <c r="R294" s="1665" t="n"/>
      <c r="S294" s="1665" t="n"/>
      <c r="T294" s="1665" t="n"/>
      <c r="U294" s="1665" t="n"/>
      <c r="V294" s="1665" t="n"/>
      <c r="W294" s="1665" t="n"/>
      <c r="X294" s="1665" t="n"/>
      <c r="Y294" s="1665" t="n"/>
      <c r="Z294" s="1665" t="n"/>
    </row>
    <row r="295" ht="15.75" customHeight="1" s="1666">
      <c r="G295" s="1665" t="n"/>
      <c r="H295" s="1665" t="n"/>
      <c r="I295" s="1665" t="n"/>
      <c r="J295" s="1665" t="n"/>
      <c r="K295" s="1665" t="n"/>
      <c r="L295" s="1665" t="n"/>
      <c r="M295" s="1665" t="n"/>
      <c r="N295" s="1665" t="n"/>
      <c r="O295" s="1665" t="n"/>
      <c r="P295" s="1665" t="n"/>
      <c r="Q295" s="1665" t="n"/>
      <c r="R295" s="1665" t="n"/>
      <c r="S295" s="1665" t="n"/>
      <c r="T295" s="1665" t="n"/>
      <c r="U295" s="1665" t="n"/>
      <c r="V295" s="1665" t="n"/>
      <c r="W295" s="1665" t="n"/>
      <c r="X295" s="1665" t="n"/>
      <c r="Y295" s="1665" t="n"/>
      <c r="Z295" s="1665" t="n"/>
    </row>
    <row r="296" ht="15.75" customHeight="1" s="1666">
      <c r="G296" s="1665" t="n"/>
      <c r="H296" s="1665" t="n"/>
      <c r="I296" s="1665" t="n"/>
      <c r="J296" s="1665" t="n"/>
      <c r="K296" s="1665" t="n"/>
      <c r="L296" s="1665" t="n"/>
      <c r="M296" s="1665" t="n"/>
      <c r="N296" s="1665" t="n"/>
      <c r="O296" s="1665" t="n"/>
      <c r="P296" s="1665" t="n"/>
      <c r="Q296" s="1665" t="n"/>
      <c r="R296" s="1665" t="n"/>
      <c r="S296" s="1665" t="n"/>
      <c r="T296" s="1665" t="n"/>
      <c r="U296" s="1665" t="n"/>
      <c r="V296" s="1665" t="n"/>
      <c r="W296" s="1665" t="n"/>
      <c r="X296" s="1665" t="n"/>
      <c r="Y296" s="1665" t="n"/>
      <c r="Z296" s="1665" t="n"/>
    </row>
    <row r="297" ht="15.75" customHeight="1" s="1666">
      <c r="G297" s="1665" t="n"/>
      <c r="H297" s="1665" t="n"/>
      <c r="I297" s="1665" t="n"/>
      <c r="J297" s="1665" t="n"/>
      <c r="K297" s="1665" t="n"/>
      <c r="L297" s="1665" t="n"/>
      <c r="M297" s="1665" t="n"/>
      <c r="N297" s="1665" t="n"/>
      <c r="O297" s="1665" t="n"/>
      <c r="P297" s="1665" t="n"/>
      <c r="Q297" s="1665" t="n"/>
      <c r="R297" s="1665" t="n"/>
      <c r="S297" s="1665" t="n"/>
      <c r="T297" s="1665" t="n"/>
      <c r="U297" s="1665" t="n"/>
      <c r="V297" s="1665" t="n"/>
      <c r="W297" s="1665" t="n"/>
      <c r="X297" s="1665" t="n"/>
      <c r="Y297" s="1665" t="n"/>
      <c r="Z297" s="1665" t="n"/>
    </row>
    <row r="298" ht="15.75" customHeight="1" s="1666">
      <c r="G298" s="1665" t="n"/>
      <c r="H298" s="1665" t="n"/>
      <c r="I298" s="1665" t="n"/>
      <c r="J298" s="1665" t="n"/>
      <c r="K298" s="1665" t="n"/>
      <c r="L298" s="1665" t="n"/>
      <c r="M298" s="1665" t="n"/>
      <c r="N298" s="1665" t="n"/>
      <c r="O298" s="1665" t="n"/>
      <c r="P298" s="1665" t="n"/>
      <c r="Q298" s="1665" t="n"/>
      <c r="R298" s="1665" t="n"/>
      <c r="S298" s="1665" t="n"/>
      <c r="T298" s="1665" t="n"/>
      <c r="U298" s="1665" t="n"/>
      <c r="V298" s="1665" t="n"/>
      <c r="W298" s="1665" t="n"/>
      <c r="X298" s="1665" t="n"/>
      <c r="Y298" s="1665" t="n"/>
      <c r="Z298" s="1665" t="n"/>
    </row>
    <row r="299" ht="15.75" customHeight="1" s="1666">
      <c r="G299" s="1665" t="n"/>
      <c r="H299" s="1665" t="n"/>
      <c r="I299" s="1665" t="n"/>
      <c r="J299" s="1665" t="n"/>
      <c r="K299" s="1665" t="n"/>
      <c r="L299" s="1665" t="n"/>
      <c r="M299" s="1665" t="n"/>
      <c r="N299" s="1665" t="n"/>
      <c r="O299" s="1665" t="n"/>
      <c r="P299" s="1665" t="n"/>
      <c r="Q299" s="1665" t="n"/>
      <c r="R299" s="1665" t="n"/>
      <c r="S299" s="1665" t="n"/>
      <c r="T299" s="1665" t="n"/>
      <c r="U299" s="1665" t="n"/>
      <c r="V299" s="1665" t="n"/>
      <c r="W299" s="1665" t="n"/>
      <c r="X299" s="1665" t="n"/>
      <c r="Y299" s="1665" t="n"/>
      <c r="Z299" s="1665" t="n"/>
    </row>
    <row r="300" ht="15.75" customHeight="1" s="1666">
      <c r="G300" s="1665" t="n"/>
      <c r="H300" s="1665" t="n"/>
      <c r="I300" s="1665" t="n"/>
      <c r="J300" s="1665" t="n"/>
      <c r="K300" s="1665" t="n"/>
      <c r="L300" s="1665" t="n"/>
      <c r="M300" s="1665" t="n"/>
      <c r="N300" s="1665" t="n"/>
      <c r="O300" s="1665" t="n"/>
      <c r="P300" s="1665" t="n"/>
      <c r="Q300" s="1665" t="n"/>
      <c r="R300" s="1665" t="n"/>
      <c r="S300" s="1665" t="n"/>
      <c r="T300" s="1665" t="n"/>
      <c r="U300" s="1665" t="n"/>
      <c r="V300" s="1665" t="n"/>
      <c r="W300" s="1665" t="n"/>
      <c r="X300" s="1665" t="n"/>
      <c r="Y300" s="1665" t="n"/>
      <c r="Z300" s="1665" t="n"/>
    </row>
    <row r="301" ht="15.75" customHeight="1" s="1666">
      <c r="G301" s="1665" t="n"/>
      <c r="H301" s="1665" t="n"/>
      <c r="I301" s="1665" t="n"/>
      <c r="J301" s="1665" t="n"/>
      <c r="K301" s="1665" t="n"/>
      <c r="L301" s="1665" t="n"/>
      <c r="M301" s="1665" t="n"/>
      <c r="N301" s="1665" t="n"/>
      <c r="O301" s="1665" t="n"/>
      <c r="P301" s="1665" t="n"/>
      <c r="Q301" s="1665" t="n"/>
      <c r="R301" s="1665" t="n"/>
      <c r="S301" s="1665" t="n"/>
      <c r="T301" s="1665" t="n"/>
      <c r="U301" s="1665" t="n"/>
      <c r="V301" s="1665" t="n"/>
      <c r="W301" s="1665" t="n"/>
      <c r="X301" s="1665" t="n"/>
      <c r="Y301" s="1665" t="n"/>
      <c r="Z301" s="1665" t="n"/>
    </row>
    <row r="302" ht="15.75" customHeight="1" s="1666">
      <c r="G302" s="1665" t="n"/>
      <c r="H302" s="1665" t="n"/>
      <c r="I302" s="1665" t="n"/>
      <c r="J302" s="1665" t="n"/>
      <c r="K302" s="1665" t="n"/>
      <c r="L302" s="1665" t="n"/>
      <c r="M302" s="1665" t="n"/>
      <c r="N302" s="1665" t="n"/>
      <c r="O302" s="1665" t="n"/>
      <c r="P302" s="1665" t="n"/>
      <c r="Q302" s="1665" t="n"/>
      <c r="R302" s="1665" t="n"/>
      <c r="S302" s="1665" t="n"/>
      <c r="T302" s="1665" t="n"/>
      <c r="U302" s="1665" t="n"/>
      <c r="V302" s="1665" t="n"/>
      <c r="W302" s="1665" t="n"/>
      <c r="X302" s="1665" t="n"/>
      <c r="Y302" s="1665" t="n"/>
      <c r="Z302" s="1665" t="n"/>
    </row>
    <row r="303" ht="15.75" customHeight="1" s="1666">
      <c r="G303" s="1665" t="n"/>
      <c r="H303" s="1665" t="n"/>
      <c r="I303" s="1665" t="n"/>
      <c r="J303" s="1665" t="n"/>
      <c r="K303" s="1665" t="n"/>
      <c r="L303" s="1665" t="n"/>
      <c r="M303" s="1665" t="n"/>
      <c r="N303" s="1665" t="n"/>
      <c r="O303" s="1665" t="n"/>
      <c r="P303" s="1665" t="n"/>
      <c r="Q303" s="1665" t="n"/>
      <c r="R303" s="1665" t="n"/>
      <c r="S303" s="1665" t="n"/>
      <c r="T303" s="1665" t="n"/>
      <c r="U303" s="1665" t="n"/>
      <c r="V303" s="1665" t="n"/>
      <c r="W303" s="1665" t="n"/>
      <c r="X303" s="1665" t="n"/>
      <c r="Y303" s="1665" t="n"/>
      <c r="Z303" s="1665" t="n"/>
    </row>
    <row r="304" ht="15.75" customHeight="1" s="1666">
      <c r="G304" s="1665" t="n"/>
      <c r="H304" s="1665" t="n"/>
      <c r="I304" s="1665" t="n"/>
      <c r="J304" s="1665" t="n"/>
      <c r="K304" s="1665" t="n"/>
      <c r="L304" s="1665" t="n"/>
      <c r="M304" s="1665" t="n"/>
      <c r="N304" s="1665" t="n"/>
      <c r="O304" s="1665" t="n"/>
      <c r="P304" s="1665" t="n"/>
      <c r="Q304" s="1665" t="n"/>
      <c r="R304" s="1665" t="n"/>
      <c r="S304" s="1665" t="n"/>
      <c r="T304" s="1665" t="n"/>
      <c r="U304" s="1665" t="n"/>
      <c r="V304" s="1665" t="n"/>
      <c r="W304" s="1665" t="n"/>
      <c r="X304" s="1665" t="n"/>
      <c r="Y304" s="1665" t="n"/>
      <c r="Z304" s="1665" t="n"/>
    </row>
    <row r="305" ht="15.75" customHeight="1" s="1666">
      <c r="G305" s="1665" t="n"/>
      <c r="H305" s="1665" t="n"/>
      <c r="I305" s="1665" t="n"/>
      <c r="J305" s="1665" t="n"/>
      <c r="K305" s="1665" t="n"/>
      <c r="L305" s="1665" t="n"/>
      <c r="M305" s="1665" t="n"/>
      <c r="N305" s="1665" t="n"/>
      <c r="O305" s="1665" t="n"/>
      <c r="P305" s="1665" t="n"/>
      <c r="Q305" s="1665" t="n"/>
      <c r="R305" s="1665" t="n"/>
      <c r="S305" s="1665" t="n"/>
      <c r="T305" s="1665" t="n"/>
      <c r="U305" s="1665" t="n"/>
      <c r="V305" s="1665" t="n"/>
      <c r="W305" s="1665" t="n"/>
      <c r="X305" s="1665" t="n"/>
      <c r="Y305" s="1665" t="n"/>
      <c r="Z305" s="1665" t="n"/>
    </row>
    <row r="306" ht="15.75" customHeight="1" s="1666">
      <c r="G306" s="1665" t="n"/>
      <c r="H306" s="1665" t="n"/>
      <c r="I306" s="1665" t="n"/>
      <c r="J306" s="1665" t="n"/>
      <c r="K306" s="1665" t="n"/>
      <c r="L306" s="1665" t="n"/>
      <c r="M306" s="1665" t="n"/>
      <c r="N306" s="1665" t="n"/>
      <c r="O306" s="1665" t="n"/>
      <c r="P306" s="1665" t="n"/>
      <c r="Q306" s="1665" t="n"/>
      <c r="R306" s="1665" t="n"/>
      <c r="S306" s="1665" t="n"/>
      <c r="T306" s="1665" t="n"/>
      <c r="U306" s="1665" t="n"/>
      <c r="V306" s="1665" t="n"/>
      <c r="W306" s="1665" t="n"/>
      <c r="X306" s="1665" t="n"/>
      <c r="Y306" s="1665" t="n"/>
      <c r="Z306" s="1665" t="n"/>
    </row>
    <row r="307" ht="15.75" customHeight="1" s="1666">
      <c r="G307" s="1665" t="n"/>
      <c r="H307" s="1665" t="n"/>
      <c r="I307" s="1665" t="n"/>
      <c r="J307" s="1665" t="n"/>
      <c r="K307" s="1665" t="n"/>
      <c r="L307" s="1665" t="n"/>
      <c r="M307" s="1665" t="n"/>
      <c r="N307" s="1665" t="n"/>
      <c r="O307" s="1665" t="n"/>
      <c r="P307" s="1665" t="n"/>
      <c r="Q307" s="1665" t="n"/>
      <c r="R307" s="1665" t="n"/>
      <c r="S307" s="1665" t="n"/>
      <c r="T307" s="1665" t="n"/>
      <c r="U307" s="1665" t="n"/>
      <c r="V307" s="1665" t="n"/>
      <c r="W307" s="1665" t="n"/>
      <c r="X307" s="1665" t="n"/>
      <c r="Y307" s="1665" t="n"/>
      <c r="Z307" s="1665" t="n"/>
    </row>
    <row r="308" ht="15.75" customHeight="1" s="1666">
      <c r="G308" s="1665" t="n"/>
      <c r="H308" s="1665" t="n"/>
      <c r="I308" s="1665" t="n"/>
      <c r="J308" s="1665" t="n"/>
      <c r="K308" s="1665" t="n"/>
      <c r="L308" s="1665" t="n"/>
      <c r="M308" s="1665" t="n"/>
      <c r="N308" s="1665" t="n"/>
      <c r="O308" s="1665" t="n"/>
      <c r="P308" s="1665" t="n"/>
      <c r="Q308" s="1665" t="n"/>
      <c r="R308" s="1665" t="n"/>
      <c r="S308" s="1665" t="n"/>
      <c r="T308" s="1665" t="n"/>
      <c r="U308" s="1665" t="n"/>
      <c r="V308" s="1665" t="n"/>
      <c r="W308" s="1665" t="n"/>
      <c r="X308" s="1665" t="n"/>
      <c r="Y308" s="1665" t="n"/>
      <c r="Z308" s="1665" t="n"/>
    </row>
    <row r="309" ht="15.75" customHeight="1" s="1666">
      <c r="G309" s="1665" t="n"/>
      <c r="H309" s="1665" t="n"/>
      <c r="I309" s="1665" t="n"/>
      <c r="J309" s="1665" t="n"/>
      <c r="K309" s="1665" t="n"/>
      <c r="L309" s="1665" t="n"/>
      <c r="M309" s="1665" t="n"/>
      <c r="N309" s="1665" t="n"/>
      <c r="O309" s="1665" t="n"/>
      <c r="P309" s="1665" t="n"/>
      <c r="Q309" s="1665" t="n"/>
      <c r="R309" s="1665" t="n"/>
      <c r="S309" s="1665" t="n"/>
      <c r="T309" s="1665" t="n"/>
      <c r="U309" s="1665" t="n"/>
      <c r="V309" s="1665" t="n"/>
      <c r="W309" s="1665" t="n"/>
      <c r="X309" s="1665" t="n"/>
      <c r="Y309" s="1665" t="n"/>
      <c r="Z309" s="1665" t="n"/>
    </row>
    <row r="310" ht="15.75" customHeight="1" s="1666">
      <c r="G310" s="1665" t="n"/>
      <c r="H310" s="1665" t="n"/>
      <c r="I310" s="1665" t="n"/>
      <c r="J310" s="1665" t="n"/>
      <c r="K310" s="1665" t="n"/>
      <c r="L310" s="1665" t="n"/>
      <c r="M310" s="1665" t="n"/>
      <c r="N310" s="1665" t="n"/>
      <c r="O310" s="1665" t="n"/>
      <c r="P310" s="1665" t="n"/>
      <c r="Q310" s="1665" t="n"/>
      <c r="R310" s="1665" t="n"/>
      <c r="S310" s="1665" t="n"/>
      <c r="T310" s="1665" t="n"/>
      <c r="U310" s="1665" t="n"/>
      <c r="V310" s="1665" t="n"/>
      <c r="W310" s="1665" t="n"/>
      <c r="X310" s="1665" t="n"/>
      <c r="Y310" s="1665" t="n"/>
      <c r="Z310" s="1665" t="n"/>
    </row>
    <row r="311" ht="15.75" customHeight="1" s="1666">
      <c r="G311" s="1665" t="n"/>
      <c r="H311" s="1665" t="n"/>
      <c r="I311" s="1665" t="n"/>
      <c r="J311" s="1665" t="n"/>
      <c r="K311" s="1665" t="n"/>
      <c r="L311" s="1665" t="n"/>
      <c r="M311" s="1665" t="n"/>
      <c r="N311" s="1665" t="n"/>
      <c r="O311" s="1665" t="n"/>
      <c r="P311" s="1665" t="n"/>
      <c r="Q311" s="1665" t="n"/>
      <c r="R311" s="1665" t="n"/>
      <c r="S311" s="1665" t="n"/>
      <c r="T311" s="1665" t="n"/>
      <c r="U311" s="1665" t="n"/>
      <c r="V311" s="1665" t="n"/>
      <c r="W311" s="1665" t="n"/>
      <c r="X311" s="1665" t="n"/>
      <c r="Y311" s="1665" t="n"/>
      <c r="Z311" s="1665" t="n"/>
    </row>
    <row r="312" ht="15.75" customHeight="1" s="1666">
      <c r="G312" s="1665" t="n"/>
      <c r="H312" s="1665" t="n"/>
      <c r="I312" s="1665" t="n"/>
      <c r="J312" s="1665" t="n"/>
      <c r="K312" s="1665" t="n"/>
      <c r="L312" s="1665" t="n"/>
      <c r="M312" s="1665" t="n"/>
      <c r="N312" s="1665" t="n"/>
      <c r="O312" s="1665" t="n"/>
      <c r="P312" s="1665" t="n"/>
      <c r="Q312" s="1665" t="n"/>
      <c r="R312" s="1665" t="n"/>
      <c r="S312" s="1665" t="n"/>
      <c r="T312" s="1665" t="n"/>
      <c r="U312" s="1665" t="n"/>
      <c r="V312" s="1665" t="n"/>
      <c r="W312" s="1665" t="n"/>
      <c r="X312" s="1665" t="n"/>
      <c r="Y312" s="1665" t="n"/>
      <c r="Z312" s="1665" t="n"/>
    </row>
    <row r="313" ht="15.75" customHeight="1" s="1666">
      <c r="G313" s="1665" t="n"/>
      <c r="H313" s="1665" t="n"/>
      <c r="I313" s="1665" t="n"/>
      <c r="J313" s="1665" t="n"/>
      <c r="K313" s="1665" t="n"/>
      <c r="L313" s="1665" t="n"/>
      <c r="M313" s="1665" t="n"/>
      <c r="N313" s="1665" t="n"/>
      <c r="O313" s="1665" t="n"/>
      <c r="P313" s="1665" t="n"/>
      <c r="Q313" s="1665" t="n"/>
      <c r="R313" s="1665" t="n"/>
      <c r="S313" s="1665" t="n"/>
      <c r="T313" s="1665" t="n"/>
      <c r="U313" s="1665" t="n"/>
      <c r="V313" s="1665" t="n"/>
      <c r="W313" s="1665" t="n"/>
      <c r="X313" s="1665" t="n"/>
      <c r="Y313" s="1665" t="n"/>
      <c r="Z313" s="1665" t="n"/>
    </row>
    <row r="314" ht="15.75" customHeight="1" s="1666">
      <c r="G314" s="1665" t="n"/>
      <c r="H314" s="1665" t="n"/>
      <c r="I314" s="1665" t="n"/>
      <c r="J314" s="1665" t="n"/>
      <c r="K314" s="1665" t="n"/>
      <c r="L314" s="1665" t="n"/>
      <c r="M314" s="1665" t="n"/>
      <c r="N314" s="1665" t="n"/>
      <c r="O314" s="1665" t="n"/>
      <c r="P314" s="1665" t="n"/>
      <c r="Q314" s="1665" t="n"/>
      <c r="R314" s="1665" t="n"/>
      <c r="S314" s="1665" t="n"/>
      <c r="T314" s="1665" t="n"/>
      <c r="U314" s="1665" t="n"/>
      <c r="V314" s="1665" t="n"/>
      <c r="W314" s="1665" t="n"/>
      <c r="X314" s="1665" t="n"/>
      <c r="Y314" s="1665" t="n"/>
      <c r="Z314" s="1665" t="n"/>
    </row>
    <row r="315" ht="15.75" customHeight="1" s="1666">
      <c r="G315" s="1665" t="n"/>
      <c r="H315" s="1665" t="n"/>
      <c r="I315" s="1665" t="n"/>
      <c r="J315" s="1665" t="n"/>
      <c r="K315" s="1665" t="n"/>
      <c r="L315" s="1665" t="n"/>
      <c r="M315" s="1665" t="n"/>
      <c r="N315" s="1665" t="n"/>
      <c r="O315" s="1665" t="n"/>
      <c r="P315" s="1665" t="n"/>
      <c r="Q315" s="1665" t="n"/>
      <c r="R315" s="1665" t="n"/>
      <c r="S315" s="1665" t="n"/>
      <c r="T315" s="1665" t="n"/>
      <c r="U315" s="1665" t="n"/>
      <c r="V315" s="1665" t="n"/>
      <c r="W315" s="1665" t="n"/>
      <c r="X315" s="1665" t="n"/>
      <c r="Y315" s="1665" t="n"/>
      <c r="Z315" s="1665" t="n"/>
    </row>
    <row r="316" ht="15.75" customHeight="1" s="1666">
      <c r="G316" s="1665" t="n"/>
      <c r="H316" s="1665" t="n"/>
      <c r="I316" s="1665" t="n"/>
      <c r="J316" s="1665" t="n"/>
      <c r="K316" s="1665" t="n"/>
      <c r="L316" s="1665" t="n"/>
      <c r="M316" s="1665" t="n"/>
      <c r="N316" s="1665" t="n"/>
      <c r="O316" s="1665" t="n"/>
      <c r="P316" s="1665" t="n"/>
      <c r="Q316" s="1665" t="n"/>
      <c r="R316" s="1665" t="n"/>
      <c r="S316" s="1665" t="n"/>
      <c r="T316" s="1665" t="n"/>
      <c r="U316" s="1665" t="n"/>
      <c r="V316" s="1665" t="n"/>
      <c r="W316" s="1665" t="n"/>
      <c r="X316" s="1665" t="n"/>
      <c r="Y316" s="1665" t="n"/>
      <c r="Z316" s="1665" t="n"/>
    </row>
    <row r="317" ht="15.75" customHeight="1" s="1666">
      <c r="G317" s="1665" t="n"/>
      <c r="H317" s="1665" t="n"/>
      <c r="I317" s="1665" t="n"/>
      <c r="J317" s="1665" t="n"/>
      <c r="K317" s="1665" t="n"/>
      <c r="L317" s="1665" t="n"/>
      <c r="M317" s="1665" t="n"/>
      <c r="N317" s="1665" t="n"/>
      <c r="O317" s="1665" t="n"/>
      <c r="P317" s="1665" t="n"/>
      <c r="Q317" s="1665" t="n"/>
      <c r="R317" s="1665" t="n"/>
      <c r="S317" s="1665" t="n"/>
      <c r="T317" s="1665" t="n"/>
      <c r="U317" s="1665" t="n"/>
      <c r="V317" s="1665" t="n"/>
      <c r="W317" s="1665" t="n"/>
      <c r="X317" s="1665" t="n"/>
      <c r="Y317" s="1665" t="n"/>
      <c r="Z317" s="1665" t="n"/>
    </row>
    <row r="318" ht="15.75" customHeight="1" s="1666">
      <c r="G318" s="1665" t="n"/>
      <c r="H318" s="1665" t="n"/>
      <c r="I318" s="1665" t="n"/>
      <c r="J318" s="1665" t="n"/>
      <c r="K318" s="1665" t="n"/>
      <c r="L318" s="1665" t="n"/>
      <c r="M318" s="1665" t="n"/>
      <c r="N318" s="1665" t="n"/>
      <c r="O318" s="1665" t="n"/>
      <c r="P318" s="1665" t="n"/>
      <c r="Q318" s="1665" t="n"/>
      <c r="R318" s="1665" t="n"/>
      <c r="S318" s="1665" t="n"/>
      <c r="T318" s="1665" t="n"/>
      <c r="U318" s="1665" t="n"/>
      <c r="V318" s="1665" t="n"/>
      <c r="W318" s="1665" t="n"/>
      <c r="X318" s="1665" t="n"/>
      <c r="Y318" s="1665" t="n"/>
      <c r="Z318" s="1665" t="n"/>
    </row>
    <row r="319" ht="15.75" customHeight="1" s="1666">
      <c r="G319" s="1665" t="n"/>
      <c r="H319" s="1665" t="n"/>
      <c r="I319" s="1665" t="n"/>
      <c r="J319" s="1665" t="n"/>
      <c r="K319" s="1665" t="n"/>
      <c r="L319" s="1665" t="n"/>
      <c r="M319" s="1665" t="n"/>
      <c r="N319" s="1665" t="n"/>
      <c r="O319" s="1665" t="n"/>
      <c r="P319" s="1665" t="n"/>
      <c r="Q319" s="1665" t="n"/>
      <c r="R319" s="1665" t="n"/>
      <c r="S319" s="1665" t="n"/>
      <c r="T319" s="1665" t="n"/>
      <c r="U319" s="1665" t="n"/>
      <c r="V319" s="1665" t="n"/>
      <c r="W319" s="1665" t="n"/>
      <c r="X319" s="1665" t="n"/>
      <c r="Y319" s="1665" t="n"/>
      <c r="Z319" s="1665" t="n"/>
    </row>
    <row r="320" ht="15.75" customHeight="1" s="1666">
      <c r="G320" s="1665" t="n"/>
      <c r="H320" s="1665" t="n"/>
      <c r="I320" s="1665" t="n"/>
      <c r="J320" s="1665" t="n"/>
      <c r="K320" s="1665" t="n"/>
      <c r="L320" s="1665" t="n"/>
      <c r="M320" s="1665" t="n"/>
      <c r="N320" s="1665" t="n"/>
      <c r="O320" s="1665" t="n"/>
      <c r="P320" s="1665" t="n"/>
      <c r="Q320" s="1665" t="n"/>
      <c r="R320" s="1665" t="n"/>
      <c r="S320" s="1665" t="n"/>
      <c r="T320" s="1665" t="n"/>
      <c r="U320" s="1665" t="n"/>
      <c r="V320" s="1665" t="n"/>
      <c r="W320" s="1665" t="n"/>
      <c r="X320" s="1665" t="n"/>
      <c r="Y320" s="1665" t="n"/>
      <c r="Z320" s="1665" t="n"/>
    </row>
    <row r="321" ht="15.75" customHeight="1" s="1666">
      <c r="G321" s="1665" t="n"/>
      <c r="H321" s="1665" t="n"/>
      <c r="I321" s="1665" t="n"/>
      <c r="J321" s="1665" t="n"/>
      <c r="K321" s="1665" t="n"/>
      <c r="L321" s="1665" t="n"/>
      <c r="M321" s="1665" t="n"/>
      <c r="N321" s="1665" t="n"/>
      <c r="O321" s="1665" t="n"/>
      <c r="P321" s="1665" t="n"/>
      <c r="Q321" s="1665" t="n"/>
      <c r="R321" s="1665" t="n"/>
      <c r="S321" s="1665" t="n"/>
      <c r="T321" s="1665" t="n"/>
      <c r="U321" s="1665" t="n"/>
      <c r="V321" s="1665" t="n"/>
      <c r="W321" s="1665" t="n"/>
      <c r="X321" s="1665" t="n"/>
      <c r="Y321" s="1665" t="n"/>
      <c r="Z321" s="1665" t="n"/>
    </row>
    <row r="322" ht="15.75" customHeight="1" s="1666">
      <c r="G322" s="1665" t="n"/>
      <c r="H322" s="1665" t="n"/>
      <c r="I322" s="1665" t="n"/>
      <c r="J322" s="1665" t="n"/>
      <c r="K322" s="1665" t="n"/>
      <c r="L322" s="1665" t="n"/>
      <c r="M322" s="1665" t="n"/>
      <c r="N322" s="1665" t="n"/>
      <c r="O322" s="1665" t="n"/>
      <c r="P322" s="1665" t="n"/>
      <c r="Q322" s="1665" t="n"/>
      <c r="R322" s="1665" t="n"/>
      <c r="S322" s="1665" t="n"/>
      <c r="T322" s="1665" t="n"/>
      <c r="U322" s="1665" t="n"/>
      <c r="V322" s="1665" t="n"/>
      <c r="W322" s="1665" t="n"/>
      <c r="X322" s="1665" t="n"/>
      <c r="Y322" s="1665" t="n"/>
      <c r="Z322" s="1665" t="n"/>
    </row>
    <row r="323" ht="15.75" customHeight="1" s="1666">
      <c r="G323" s="1665" t="n"/>
      <c r="H323" s="1665" t="n"/>
      <c r="I323" s="1665" t="n"/>
      <c r="J323" s="1665" t="n"/>
      <c r="K323" s="1665" t="n"/>
      <c r="L323" s="1665" t="n"/>
      <c r="M323" s="1665" t="n"/>
      <c r="N323" s="1665" t="n"/>
      <c r="O323" s="1665" t="n"/>
      <c r="P323" s="1665" t="n"/>
      <c r="Q323" s="1665" t="n"/>
      <c r="R323" s="1665" t="n"/>
      <c r="S323" s="1665" t="n"/>
      <c r="T323" s="1665" t="n"/>
      <c r="U323" s="1665" t="n"/>
      <c r="V323" s="1665" t="n"/>
      <c r="W323" s="1665" t="n"/>
      <c r="X323" s="1665" t="n"/>
      <c r="Y323" s="1665" t="n"/>
      <c r="Z323" s="1665" t="n"/>
    </row>
    <row r="324" ht="15.75" customHeight="1" s="1666">
      <c r="G324" s="1665" t="n"/>
      <c r="H324" s="1665" t="n"/>
      <c r="I324" s="1665" t="n"/>
      <c r="J324" s="1665" t="n"/>
      <c r="K324" s="1665" t="n"/>
      <c r="L324" s="1665" t="n"/>
      <c r="M324" s="1665" t="n"/>
      <c r="N324" s="1665" t="n"/>
      <c r="O324" s="1665" t="n"/>
      <c r="P324" s="1665" t="n"/>
      <c r="Q324" s="1665" t="n"/>
      <c r="R324" s="1665" t="n"/>
      <c r="S324" s="1665" t="n"/>
      <c r="T324" s="1665" t="n"/>
      <c r="U324" s="1665" t="n"/>
      <c r="V324" s="1665" t="n"/>
      <c r="W324" s="1665" t="n"/>
      <c r="X324" s="1665" t="n"/>
      <c r="Y324" s="1665" t="n"/>
      <c r="Z324" s="1665" t="n"/>
    </row>
    <row r="325" ht="15.75" customHeight="1" s="1666">
      <c r="G325" s="1665" t="n"/>
      <c r="H325" s="1665" t="n"/>
      <c r="I325" s="1665" t="n"/>
      <c r="J325" s="1665" t="n"/>
      <c r="K325" s="1665" t="n"/>
      <c r="L325" s="1665" t="n"/>
      <c r="M325" s="1665" t="n"/>
      <c r="N325" s="1665" t="n"/>
      <c r="O325" s="1665" t="n"/>
      <c r="P325" s="1665" t="n"/>
      <c r="Q325" s="1665" t="n"/>
      <c r="R325" s="1665" t="n"/>
      <c r="S325" s="1665" t="n"/>
      <c r="T325" s="1665" t="n"/>
      <c r="U325" s="1665" t="n"/>
      <c r="V325" s="1665" t="n"/>
      <c r="W325" s="1665" t="n"/>
      <c r="X325" s="1665" t="n"/>
      <c r="Y325" s="1665" t="n"/>
      <c r="Z325" s="1665" t="n"/>
    </row>
    <row r="326" ht="15.75" customHeight="1" s="1666">
      <c r="G326" s="1665" t="n"/>
      <c r="H326" s="1665" t="n"/>
      <c r="I326" s="1665" t="n"/>
      <c r="J326" s="1665" t="n"/>
      <c r="K326" s="1665" t="n"/>
      <c r="L326" s="1665" t="n"/>
      <c r="M326" s="1665" t="n"/>
      <c r="N326" s="1665" t="n"/>
      <c r="O326" s="1665" t="n"/>
      <c r="P326" s="1665" t="n"/>
      <c r="Q326" s="1665" t="n"/>
      <c r="R326" s="1665" t="n"/>
      <c r="S326" s="1665" t="n"/>
      <c r="T326" s="1665" t="n"/>
      <c r="U326" s="1665" t="n"/>
      <c r="V326" s="1665" t="n"/>
      <c r="W326" s="1665" t="n"/>
      <c r="X326" s="1665" t="n"/>
      <c r="Y326" s="1665" t="n"/>
      <c r="Z326" s="1665" t="n"/>
    </row>
    <row r="327" ht="15.75" customHeight="1" s="1666">
      <c r="G327" s="1665" t="n"/>
      <c r="H327" s="1665" t="n"/>
      <c r="I327" s="1665" t="n"/>
      <c r="J327" s="1665" t="n"/>
      <c r="K327" s="1665" t="n"/>
      <c r="L327" s="1665" t="n"/>
      <c r="M327" s="1665" t="n"/>
      <c r="N327" s="1665" t="n"/>
      <c r="O327" s="1665" t="n"/>
      <c r="P327" s="1665" t="n"/>
      <c r="Q327" s="1665" t="n"/>
      <c r="R327" s="1665" t="n"/>
      <c r="S327" s="1665" t="n"/>
      <c r="T327" s="1665" t="n"/>
      <c r="U327" s="1665" t="n"/>
      <c r="V327" s="1665" t="n"/>
      <c r="W327" s="1665" t="n"/>
      <c r="X327" s="1665" t="n"/>
      <c r="Y327" s="1665" t="n"/>
      <c r="Z327" s="1665" t="n"/>
    </row>
    <row r="328" ht="15.75" customHeight="1" s="1666">
      <c r="G328" s="1665" t="n"/>
      <c r="H328" s="1665" t="n"/>
      <c r="I328" s="1665" t="n"/>
      <c r="J328" s="1665" t="n"/>
      <c r="K328" s="1665" t="n"/>
      <c r="L328" s="1665" t="n"/>
      <c r="M328" s="1665" t="n"/>
      <c r="N328" s="1665" t="n"/>
      <c r="O328" s="1665" t="n"/>
      <c r="P328" s="1665" t="n"/>
      <c r="Q328" s="1665" t="n"/>
      <c r="R328" s="1665" t="n"/>
      <c r="S328" s="1665" t="n"/>
      <c r="T328" s="1665" t="n"/>
      <c r="U328" s="1665" t="n"/>
      <c r="V328" s="1665" t="n"/>
      <c r="W328" s="1665" t="n"/>
      <c r="X328" s="1665" t="n"/>
      <c r="Y328" s="1665" t="n"/>
      <c r="Z328" s="1665" t="n"/>
    </row>
    <row r="329" ht="15.75" customHeight="1" s="1666">
      <c r="G329" s="1665" t="n"/>
      <c r="H329" s="1665" t="n"/>
      <c r="I329" s="1665" t="n"/>
      <c r="J329" s="1665" t="n"/>
      <c r="K329" s="1665" t="n"/>
      <c r="L329" s="1665" t="n"/>
      <c r="M329" s="1665" t="n"/>
      <c r="N329" s="1665" t="n"/>
      <c r="O329" s="1665" t="n"/>
      <c r="P329" s="1665" t="n"/>
      <c r="Q329" s="1665" t="n"/>
      <c r="R329" s="1665" t="n"/>
      <c r="S329" s="1665" t="n"/>
      <c r="T329" s="1665" t="n"/>
      <c r="U329" s="1665" t="n"/>
      <c r="V329" s="1665" t="n"/>
      <c r="W329" s="1665" t="n"/>
      <c r="X329" s="1665" t="n"/>
      <c r="Y329" s="1665" t="n"/>
      <c r="Z329" s="1665" t="n"/>
    </row>
    <row r="330" ht="15.75" customHeight="1" s="1666">
      <c r="G330" s="1665" t="n"/>
      <c r="H330" s="1665" t="n"/>
      <c r="I330" s="1665" t="n"/>
      <c r="J330" s="1665" t="n"/>
      <c r="K330" s="1665" t="n"/>
      <c r="L330" s="1665" t="n"/>
      <c r="M330" s="1665" t="n"/>
      <c r="N330" s="1665" t="n"/>
      <c r="O330" s="1665" t="n"/>
      <c r="P330" s="1665" t="n"/>
      <c r="Q330" s="1665" t="n"/>
      <c r="R330" s="1665" t="n"/>
      <c r="S330" s="1665" t="n"/>
      <c r="T330" s="1665" t="n"/>
      <c r="U330" s="1665" t="n"/>
      <c r="V330" s="1665" t="n"/>
      <c r="W330" s="1665" t="n"/>
      <c r="X330" s="1665" t="n"/>
      <c r="Y330" s="1665" t="n"/>
      <c r="Z330" s="1665" t="n"/>
    </row>
    <row r="331" ht="15.75" customHeight="1" s="1666">
      <c r="G331" s="1665" t="n"/>
      <c r="H331" s="1665" t="n"/>
      <c r="I331" s="1665" t="n"/>
      <c r="J331" s="1665" t="n"/>
      <c r="K331" s="1665" t="n"/>
      <c r="L331" s="1665" t="n"/>
      <c r="M331" s="1665" t="n"/>
      <c r="N331" s="1665" t="n"/>
      <c r="O331" s="1665" t="n"/>
      <c r="P331" s="1665" t="n"/>
      <c r="Q331" s="1665" t="n"/>
      <c r="R331" s="1665" t="n"/>
      <c r="S331" s="1665" t="n"/>
      <c r="T331" s="1665" t="n"/>
      <c r="U331" s="1665" t="n"/>
      <c r="V331" s="1665" t="n"/>
      <c r="W331" s="1665" t="n"/>
      <c r="X331" s="1665" t="n"/>
      <c r="Y331" s="1665" t="n"/>
      <c r="Z331" s="1665" t="n"/>
    </row>
    <row r="332" ht="15.75" customHeight="1" s="1666">
      <c r="G332" s="1665" t="n"/>
      <c r="H332" s="1665" t="n"/>
      <c r="I332" s="1665" t="n"/>
      <c r="J332" s="1665" t="n"/>
      <c r="K332" s="1665" t="n"/>
      <c r="L332" s="1665" t="n"/>
      <c r="M332" s="1665" t="n"/>
      <c r="N332" s="1665" t="n"/>
      <c r="O332" s="1665" t="n"/>
      <c r="P332" s="1665" t="n"/>
      <c r="Q332" s="1665" t="n"/>
      <c r="R332" s="1665" t="n"/>
      <c r="S332" s="1665" t="n"/>
      <c r="T332" s="1665" t="n"/>
      <c r="U332" s="1665" t="n"/>
      <c r="V332" s="1665" t="n"/>
      <c r="W332" s="1665" t="n"/>
      <c r="X332" s="1665" t="n"/>
      <c r="Y332" s="1665" t="n"/>
      <c r="Z332" s="1665" t="n"/>
    </row>
    <row r="333" ht="15.75" customHeight="1" s="1666">
      <c r="G333" s="1665" t="n"/>
      <c r="H333" s="1665" t="n"/>
      <c r="I333" s="1665" t="n"/>
      <c r="J333" s="1665" t="n"/>
      <c r="K333" s="1665" t="n"/>
      <c r="L333" s="1665" t="n"/>
      <c r="M333" s="1665" t="n"/>
      <c r="N333" s="1665" t="n"/>
      <c r="O333" s="1665" t="n"/>
      <c r="P333" s="1665" t="n"/>
      <c r="Q333" s="1665" t="n"/>
      <c r="R333" s="1665" t="n"/>
      <c r="S333" s="1665" t="n"/>
      <c r="T333" s="1665" t="n"/>
      <c r="U333" s="1665" t="n"/>
      <c r="V333" s="1665" t="n"/>
      <c r="W333" s="1665" t="n"/>
      <c r="X333" s="1665" t="n"/>
      <c r="Y333" s="1665" t="n"/>
      <c r="Z333" s="1665" t="n"/>
    </row>
    <row r="334" ht="15.75" customHeight="1" s="1666">
      <c r="G334" s="1665" t="n"/>
      <c r="H334" s="1665" t="n"/>
      <c r="I334" s="1665" t="n"/>
      <c r="J334" s="1665" t="n"/>
      <c r="K334" s="1665" t="n"/>
      <c r="L334" s="1665" t="n"/>
      <c r="M334" s="1665" t="n"/>
      <c r="N334" s="1665" t="n"/>
      <c r="O334" s="1665" t="n"/>
      <c r="P334" s="1665" t="n"/>
      <c r="Q334" s="1665" t="n"/>
      <c r="R334" s="1665" t="n"/>
      <c r="S334" s="1665" t="n"/>
      <c r="T334" s="1665" t="n"/>
      <c r="U334" s="1665" t="n"/>
      <c r="V334" s="1665" t="n"/>
      <c r="W334" s="1665" t="n"/>
      <c r="X334" s="1665" t="n"/>
      <c r="Y334" s="1665" t="n"/>
      <c r="Z334" s="1665" t="n"/>
    </row>
    <row r="335" ht="15.75" customHeight="1" s="1666">
      <c r="G335" s="1665" t="n"/>
      <c r="H335" s="1665" t="n"/>
      <c r="I335" s="1665" t="n"/>
      <c r="J335" s="1665" t="n"/>
      <c r="K335" s="1665" t="n"/>
      <c r="L335" s="1665" t="n"/>
      <c r="M335" s="1665" t="n"/>
      <c r="N335" s="1665" t="n"/>
      <c r="O335" s="1665" t="n"/>
      <c r="P335" s="1665" t="n"/>
      <c r="Q335" s="1665" t="n"/>
      <c r="R335" s="1665" t="n"/>
      <c r="S335" s="1665" t="n"/>
      <c r="T335" s="1665" t="n"/>
      <c r="U335" s="1665" t="n"/>
      <c r="V335" s="1665" t="n"/>
      <c r="W335" s="1665" t="n"/>
      <c r="X335" s="1665" t="n"/>
      <c r="Y335" s="1665" t="n"/>
      <c r="Z335" s="1665" t="n"/>
    </row>
    <row r="336" ht="15.75" customHeight="1" s="1666">
      <c r="G336" s="1665" t="n"/>
      <c r="H336" s="1665" t="n"/>
      <c r="I336" s="1665" t="n"/>
      <c r="J336" s="1665" t="n"/>
      <c r="K336" s="1665" t="n"/>
      <c r="L336" s="1665" t="n"/>
      <c r="M336" s="1665" t="n"/>
      <c r="N336" s="1665" t="n"/>
      <c r="O336" s="1665" t="n"/>
      <c r="P336" s="1665" t="n"/>
      <c r="Q336" s="1665" t="n"/>
      <c r="R336" s="1665" t="n"/>
      <c r="S336" s="1665" t="n"/>
      <c r="T336" s="1665" t="n"/>
      <c r="U336" s="1665" t="n"/>
      <c r="V336" s="1665" t="n"/>
      <c r="W336" s="1665" t="n"/>
      <c r="X336" s="1665" t="n"/>
      <c r="Y336" s="1665" t="n"/>
      <c r="Z336" s="1665" t="n"/>
    </row>
    <row r="337" ht="15.75" customHeight="1" s="1666">
      <c r="G337" s="1665" t="n"/>
      <c r="H337" s="1665" t="n"/>
      <c r="I337" s="1665" t="n"/>
      <c r="J337" s="1665" t="n"/>
      <c r="K337" s="1665" t="n"/>
      <c r="L337" s="1665" t="n"/>
      <c r="M337" s="1665" t="n"/>
      <c r="N337" s="1665" t="n"/>
      <c r="O337" s="1665" t="n"/>
      <c r="P337" s="1665" t="n"/>
      <c r="Q337" s="1665" t="n"/>
      <c r="R337" s="1665" t="n"/>
      <c r="S337" s="1665" t="n"/>
      <c r="T337" s="1665" t="n"/>
      <c r="U337" s="1665" t="n"/>
      <c r="V337" s="1665" t="n"/>
      <c r="W337" s="1665" t="n"/>
      <c r="X337" s="1665" t="n"/>
      <c r="Y337" s="1665" t="n"/>
      <c r="Z337" s="1665" t="n"/>
    </row>
    <row r="338" ht="15.75" customHeight="1" s="1666">
      <c r="G338" s="1665" t="n"/>
      <c r="H338" s="1665" t="n"/>
      <c r="I338" s="1665" t="n"/>
      <c r="J338" s="1665" t="n"/>
      <c r="K338" s="1665" t="n"/>
      <c r="L338" s="1665" t="n"/>
      <c r="M338" s="1665" t="n"/>
      <c r="N338" s="1665" t="n"/>
      <c r="O338" s="1665" t="n"/>
      <c r="P338" s="1665" t="n"/>
      <c r="Q338" s="1665" t="n"/>
      <c r="R338" s="1665" t="n"/>
      <c r="S338" s="1665" t="n"/>
      <c r="T338" s="1665" t="n"/>
      <c r="U338" s="1665" t="n"/>
      <c r="V338" s="1665" t="n"/>
      <c r="W338" s="1665" t="n"/>
      <c r="X338" s="1665" t="n"/>
      <c r="Y338" s="1665" t="n"/>
      <c r="Z338" s="1665" t="n"/>
    </row>
    <row r="339" ht="15.75" customHeight="1" s="1666">
      <c r="G339" s="1665" t="n"/>
      <c r="H339" s="1665" t="n"/>
      <c r="I339" s="1665" t="n"/>
      <c r="J339" s="1665" t="n"/>
      <c r="K339" s="1665" t="n"/>
      <c r="L339" s="1665" t="n"/>
      <c r="M339" s="1665" t="n"/>
      <c r="N339" s="1665" t="n"/>
      <c r="O339" s="1665" t="n"/>
      <c r="P339" s="1665" t="n"/>
      <c r="Q339" s="1665" t="n"/>
      <c r="R339" s="1665" t="n"/>
      <c r="S339" s="1665" t="n"/>
      <c r="T339" s="1665" t="n"/>
      <c r="U339" s="1665" t="n"/>
      <c r="V339" s="1665" t="n"/>
      <c r="W339" s="1665" t="n"/>
      <c r="X339" s="1665" t="n"/>
      <c r="Y339" s="1665" t="n"/>
      <c r="Z339" s="1665" t="n"/>
    </row>
    <row r="340" ht="15.75" customHeight="1" s="1666">
      <c r="G340" s="1665" t="n"/>
      <c r="H340" s="1665" t="n"/>
      <c r="I340" s="1665" t="n"/>
      <c r="J340" s="1665" t="n"/>
      <c r="K340" s="1665" t="n"/>
      <c r="L340" s="1665" t="n"/>
      <c r="M340" s="1665" t="n"/>
      <c r="N340" s="1665" t="n"/>
      <c r="O340" s="1665" t="n"/>
      <c r="P340" s="1665" t="n"/>
      <c r="Q340" s="1665" t="n"/>
      <c r="R340" s="1665" t="n"/>
      <c r="S340" s="1665" t="n"/>
      <c r="T340" s="1665" t="n"/>
      <c r="U340" s="1665" t="n"/>
      <c r="V340" s="1665" t="n"/>
      <c r="W340" s="1665" t="n"/>
      <c r="X340" s="1665" t="n"/>
      <c r="Y340" s="1665" t="n"/>
      <c r="Z340" s="1665" t="n"/>
    </row>
    <row r="341" ht="15.75" customHeight="1" s="1666">
      <c r="G341" s="1665" t="n"/>
      <c r="H341" s="1665" t="n"/>
      <c r="I341" s="1665" t="n"/>
      <c r="J341" s="1665" t="n"/>
      <c r="K341" s="1665" t="n"/>
      <c r="L341" s="1665" t="n"/>
      <c r="M341" s="1665" t="n"/>
      <c r="N341" s="1665" t="n"/>
      <c r="O341" s="1665" t="n"/>
      <c r="P341" s="1665" t="n"/>
      <c r="Q341" s="1665" t="n"/>
      <c r="R341" s="1665" t="n"/>
      <c r="S341" s="1665" t="n"/>
      <c r="T341" s="1665" t="n"/>
      <c r="U341" s="1665" t="n"/>
      <c r="V341" s="1665" t="n"/>
      <c r="W341" s="1665" t="n"/>
      <c r="X341" s="1665" t="n"/>
      <c r="Y341" s="1665" t="n"/>
      <c r="Z341" s="1665" t="n"/>
    </row>
    <row r="342" ht="15.75" customHeight="1" s="1666">
      <c r="G342" s="1665" t="n"/>
      <c r="H342" s="1665" t="n"/>
      <c r="I342" s="1665" t="n"/>
      <c r="J342" s="1665" t="n"/>
      <c r="K342" s="1665" t="n"/>
      <c r="L342" s="1665" t="n"/>
      <c r="M342" s="1665" t="n"/>
      <c r="N342" s="1665" t="n"/>
      <c r="O342" s="1665" t="n"/>
      <c r="P342" s="1665" t="n"/>
      <c r="Q342" s="1665" t="n"/>
      <c r="R342" s="1665" t="n"/>
      <c r="S342" s="1665" t="n"/>
      <c r="T342" s="1665" t="n"/>
      <c r="U342" s="1665" t="n"/>
      <c r="V342" s="1665" t="n"/>
      <c r="W342" s="1665" t="n"/>
      <c r="X342" s="1665" t="n"/>
      <c r="Y342" s="1665" t="n"/>
      <c r="Z342" s="1665" t="n"/>
    </row>
    <row r="343" ht="15.75" customHeight="1" s="1666">
      <c r="G343" s="1665" t="n"/>
      <c r="H343" s="1665" t="n"/>
      <c r="I343" s="1665" t="n"/>
      <c r="J343" s="1665" t="n"/>
      <c r="K343" s="1665" t="n"/>
      <c r="L343" s="1665" t="n"/>
      <c r="M343" s="1665" t="n"/>
      <c r="N343" s="1665" t="n"/>
      <c r="O343" s="1665" t="n"/>
      <c r="P343" s="1665" t="n"/>
      <c r="Q343" s="1665" t="n"/>
      <c r="R343" s="1665" t="n"/>
      <c r="S343" s="1665" t="n"/>
      <c r="T343" s="1665" t="n"/>
      <c r="U343" s="1665" t="n"/>
      <c r="V343" s="1665" t="n"/>
      <c r="W343" s="1665" t="n"/>
      <c r="X343" s="1665" t="n"/>
      <c r="Y343" s="1665" t="n"/>
      <c r="Z343" s="1665" t="n"/>
    </row>
    <row r="344" ht="15.75" customHeight="1" s="1666">
      <c r="G344" s="1665" t="n"/>
      <c r="H344" s="1665" t="n"/>
      <c r="I344" s="1665" t="n"/>
      <c r="J344" s="1665" t="n"/>
      <c r="K344" s="1665" t="n"/>
      <c r="L344" s="1665" t="n"/>
      <c r="M344" s="1665" t="n"/>
      <c r="N344" s="1665" t="n"/>
      <c r="O344" s="1665" t="n"/>
      <c r="P344" s="1665" t="n"/>
      <c r="Q344" s="1665" t="n"/>
      <c r="R344" s="1665" t="n"/>
      <c r="S344" s="1665" t="n"/>
      <c r="T344" s="1665" t="n"/>
      <c r="U344" s="1665" t="n"/>
      <c r="V344" s="1665" t="n"/>
      <c r="W344" s="1665" t="n"/>
      <c r="X344" s="1665" t="n"/>
      <c r="Y344" s="1665" t="n"/>
      <c r="Z344" s="1665" t="n"/>
    </row>
    <row r="345" ht="15.75" customHeight="1" s="1666">
      <c r="G345" s="1665" t="n"/>
      <c r="H345" s="1665" t="n"/>
      <c r="I345" s="1665" t="n"/>
      <c r="J345" s="1665" t="n"/>
      <c r="K345" s="1665" t="n"/>
      <c r="L345" s="1665" t="n"/>
      <c r="M345" s="1665" t="n"/>
      <c r="N345" s="1665" t="n"/>
      <c r="O345" s="1665" t="n"/>
      <c r="P345" s="1665" t="n"/>
      <c r="Q345" s="1665" t="n"/>
      <c r="R345" s="1665" t="n"/>
      <c r="S345" s="1665" t="n"/>
      <c r="T345" s="1665" t="n"/>
      <c r="U345" s="1665" t="n"/>
      <c r="V345" s="1665" t="n"/>
      <c r="W345" s="1665" t="n"/>
      <c r="X345" s="1665" t="n"/>
      <c r="Y345" s="1665" t="n"/>
      <c r="Z345" s="1665" t="n"/>
    </row>
    <row r="346" ht="15.75" customHeight="1" s="1666">
      <c r="G346" s="1665" t="n"/>
      <c r="H346" s="1665" t="n"/>
      <c r="I346" s="1665" t="n"/>
      <c r="J346" s="1665" t="n"/>
      <c r="K346" s="1665" t="n"/>
      <c r="L346" s="1665" t="n"/>
      <c r="M346" s="1665" t="n"/>
      <c r="N346" s="1665" t="n"/>
      <c r="O346" s="1665" t="n"/>
      <c r="P346" s="1665" t="n"/>
      <c r="Q346" s="1665" t="n"/>
      <c r="R346" s="1665" t="n"/>
      <c r="S346" s="1665" t="n"/>
      <c r="T346" s="1665" t="n"/>
      <c r="U346" s="1665" t="n"/>
      <c r="V346" s="1665" t="n"/>
      <c r="W346" s="1665" t="n"/>
      <c r="X346" s="1665" t="n"/>
      <c r="Y346" s="1665" t="n"/>
      <c r="Z346" s="1665" t="n"/>
    </row>
    <row r="347" ht="15.75" customHeight="1" s="1666">
      <c r="G347" s="1665" t="n"/>
      <c r="H347" s="1665" t="n"/>
      <c r="I347" s="1665" t="n"/>
      <c r="J347" s="1665" t="n"/>
      <c r="K347" s="1665" t="n"/>
      <c r="L347" s="1665" t="n"/>
      <c r="M347" s="1665" t="n"/>
      <c r="N347" s="1665" t="n"/>
      <c r="O347" s="1665" t="n"/>
      <c r="P347" s="1665" t="n"/>
      <c r="Q347" s="1665" t="n"/>
      <c r="R347" s="1665" t="n"/>
      <c r="S347" s="1665" t="n"/>
      <c r="T347" s="1665" t="n"/>
      <c r="U347" s="1665" t="n"/>
      <c r="V347" s="1665" t="n"/>
      <c r="W347" s="1665" t="n"/>
      <c r="X347" s="1665" t="n"/>
      <c r="Y347" s="1665" t="n"/>
      <c r="Z347" s="1665" t="n"/>
    </row>
    <row r="348" ht="15.75" customHeight="1" s="1666">
      <c r="G348" s="1665" t="n"/>
      <c r="H348" s="1665" t="n"/>
      <c r="I348" s="1665" t="n"/>
      <c r="J348" s="1665" t="n"/>
      <c r="K348" s="1665" t="n"/>
      <c r="L348" s="1665" t="n"/>
      <c r="M348" s="1665" t="n"/>
      <c r="N348" s="1665" t="n"/>
      <c r="O348" s="1665" t="n"/>
      <c r="P348" s="1665" t="n"/>
      <c r="Q348" s="1665" t="n"/>
      <c r="R348" s="1665" t="n"/>
      <c r="S348" s="1665" t="n"/>
      <c r="T348" s="1665" t="n"/>
      <c r="U348" s="1665" t="n"/>
      <c r="V348" s="1665" t="n"/>
      <c r="W348" s="1665" t="n"/>
      <c r="X348" s="1665" t="n"/>
      <c r="Y348" s="1665" t="n"/>
      <c r="Z348" s="1665" t="n"/>
    </row>
    <row r="349" ht="15.75" customHeight="1" s="1666">
      <c r="G349" s="1665" t="n"/>
      <c r="H349" s="1665" t="n"/>
      <c r="I349" s="1665" t="n"/>
      <c r="J349" s="1665" t="n"/>
      <c r="K349" s="1665" t="n"/>
      <c r="L349" s="1665" t="n"/>
      <c r="M349" s="1665" t="n"/>
      <c r="N349" s="1665" t="n"/>
      <c r="O349" s="1665" t="n"/>
      <c r="P349" s="1665" t="n"/>
      <c r="Q349" s="1665" t="n"/>
      <c r="R349" s="1665" t="n"/>
      <c r="S349" s="1665" t="n"/>
      <c r="T349" s="1665" t="n"/>
      <c r="U349" s="1665" t="n"/>
      <c r="V349" s="1665" t="n"/>
      <c r="W349" s="1665" t="n"/>
      <c r="X349" s="1665" t="n"/>
      <c r="Y349" s="1665" t="n"/>
      <c r="Z349" s="1665" t="n"/>
    </row>
    <row r="350" ht="15.75" customHeight="1" s="1666">
      <c r="G350" s="1665" t="n"/>
      <c r="H350" s="1665" t="n"/>
      <c r="I350" s="1665" t="n"/>
      <c r="J350" s="1665" t="n"/>
      <c r="K350" s="1665" t="n"/>
      <c r="L350" s="1665" t="n"/>
      <c r="M350" s="1665" t="n"/>
      <c r="N350" s="1665" t="n"/>
      <c r="O350" s="1665" t="n"/>
      <c r="P350" s="1665" t="n"/>
      <c r="Q350" s="1665" t="n"/>
      <c r="R350" s="1665" t="n"/>
      <c r="S350" s="1665" t="n"/>
      <c r="T350" s="1665" t="n"/>
      <c r="U350" s="1665" t="n"/>
      <c r="V350" s="1665" t="n"/>
      <c r="W350" s="1665" t="n"/>
      <c r="X350" s="1665" t="n"/>
      <c r="Y350" s="1665" t="n"/>
      <c r="Z350" s="1665" t="n"/>
    </row>
    <row r="351" ht="15.75" customHeight="1" s="1666">
      <c r="G351" s="1665" t="n"/>
      <c r="H351" s="1665" t="n"/>
      <c r="I351" s="1665" t="n"/>
      <c r="J351" s="1665" t="n"/>
      <c r="K351" s="1665" t="n"/>
      <c r="L351" s="1665" t="n"/>
      <c r="M351" s="1665" t="n"/>
      <c r="N351" s="1665" t="n"/>
      <c r="O351" s="1665" t="n"/>
      <c r="P351" s="1665" t="n"/>
      <c r="Q351" s="1665" t="n"/>
      <c r="R351" s="1665" t="n"/>
      <c r="S351" s="1665" t="n"/>
      <c r="T351" s="1665" t="n"/>
      <c r="U351" s="1665" t="n"/>
      <c r="V351" s="1665" t="n"/>
      <c r="W351" s="1665" t="n"/>
      <c r="X351" s="1665" t="n"/>
      <c r="Y351" s="1665" t="n"/>
      <c r="Z351" s="1665" t="n"/>
    </row>
    <row r="352" ht="15.75" customHeight="1" s="1666">
      <c r="G352" s="1665" t="n"/>
      <c r="H352" s="1665" t="n"/>
      <c r="I352" s="1665" t="n"/>
      <c r="J352" s="1665" t="n"/>
      <c r="K352" s="1665" t="n"/>
      <c r="L352" s="1665" t="n"/>
      <c r="M352" s="1665" t="n"/>
      <c r="N352" s="1665" t="n"/>
      <c r="O352" s="1665" t="n"/>
      <c r="P352" s="1665" t="n"/>
      <c r="Q352" s="1665" t="n"/>
      <c r="R352" s="1665" t="n"/>
      <c r="S352" s="1665" t="n"/>
      <c r="T352" s="1665" t="n"/>
      <c r="U352" s="1665" t="n"/>
      <c r="V352" s="1665" t="n"/>
      <c r="W352" s="1665" t="n"/>
      <c r="X352" s="1665" t="n"/>
      <c r="Y352" s="1665" t="n"/>
      <c r="Z352" s="1665" t="n"/>
    </row>
    <row r="353" ht="15.75" customHeight="1" s="1666">
      <c r="G353" s="1665" t="n"/>
      <c r="H353" s="1665" t="n"/>
      <c r="I353" s="1665" t="n"/>
      <c r="J353" s="1665" t="n"/>
      <c r="K353" s="1665" t="n"/>
      <c r="L353" s="1665" t="n"/>
      <c r="M353" s="1665" t="n"/>
      <c r="N353" s="1665" t="n"/>
      <c r="O353" s="1665" t="n"/>
      <c r="P353" s="1665" t="n"/>
      <c r="Q353" s="1665" t="n"/>
      <c r="R353" s="1665" t="n"/>
      <c r="S353" s="1665" t="n"/>
      <c r="T353" s="1665" t="n"/>
      <c r="U353" s="1665" t="n"/>
      <c r="V353" s="1665" t="n"/>
      <c r="W353" s="1665" t="n"/>
      <c r="X353" s="1665" t="n"/>
      <c r="Y353" s="1665" t="n"/>
      <c r="Z353" s="1665" t="n"/>
    </row>
    <row r="354" ht="15.75" customHeight="1" s="1666">
      <c r="G354" s="1665" t="n"/>
      <c r="H354" s="1665" t="n"/>
      <c r="I354" s="1665" t="n"/>
      <c r="J354" s="1665" t="n"/>
      <c r="K354" s="1665" t="n"/>
      <c r="L354" s="1665" t="n"/>
      <c r="M354" s="1665" t="n"/>
      <c r="N354" s="1665" t="n"/>
      <c r="O354" s="1665" t="n"/>
      <c r="P354" s="1665" t="n"/>
      <c r="Q354" s="1665" t="n"/>
      <c r="R354" s="1665" t="n"/>
      <c r="S354" s="1665" t="n"/>
      <c r="T354" s="1665" t="n"/>
      <c r="U354" s="1665" t="n"/>
      <c r="V354" s="1665" t="n"/>
      <c r="W354" s="1665" t="n"/>
      <c r="X354" s="1665" t="n"/>
      <c r="Y354" s="1665" t="n"/>
      <c r="Z354" s="1665" t="n"/>
    </row>
    <row r="355" ht="15.75" customHeight="1" s="1666">
      <c r="G355" s="1665" t="n"/>
      <c r="H355" s="1665" t="n"/>
      <c r="I355" s="1665" t="n"/>
      <c r="J355" s="1665" t="n"/>
      <c r="K355" s="1665" t="n"/>
      <c r="L355" s="1665" t="n"/>
      <c r="M355" s="1665" t="n"/>
      <c r="N355" s="1665" t="n"/>
      <c r="O355" s="1665" t="n"/>
      <c r="P355" s="1665" t="n"/>
      <c r="Q355" s="1665" t="n"/>
      <c r="R355" s="1665" t="n"/>
      <c r="S355" s="1665" t="n"/>
      <c r="T355" s="1665" t="n"/>
      <c r="U355" s="1665" t="n"/>
      <c r="V355" s="1665" t="n"/>
      <c r="W355" s="1665" t="n"/>
      <c r="X355" s="1665" t="n"/>
      <c r="Y355" s="1665" t="n"/>
      <c r="Z355" s="1665" t="n"/>
    </row>
    <row r="356" ht="15.75" customHeight="1" s="1666">
      <c r="G356" s="1665" t="n"/>
      <c r="H356" s="1665" t="n"/>
      <c r="I356" s="1665" t="n"/>
      <c r="J356" s="1665" t="n"/>
      <c r="K356" s="1665" t="n"/>
      <c r="L356" s="1665" t="n"/>
      <c r="M356" s="1665" t="n"/>
      <c r="N356" s="1665" t="n"/>
      <c r="O356" s="1665" t="n"/>
      <c r="P356" s="1665" t="n"/>
      <c r="Q356" s="1665" t="n"/>
      <c r="R356" s="1665" t="n"/>
      <c r="S356" s="1665" t="n"/>
      <c r="T356" s="1665" t="n"/>
      <c r="U356" s="1665" t="n"/>
      <c r="V356" s="1665" t="n"/>
      <c r="W356" s="1665" t="n"/>
      <c r="X356" s="1665" t="n"/>
      <c r="Y356" s="1665" t="n"/>
      <c r="Z356" s="1665" t="n"/>
    </row>
    <row r="357" ht="15.75" customHeight="1" s="1666">
      <c r="G357" s="1665" t="n"/>
      <c r="H357" s="1665" t="n"/>
      <c r="I357" s="1665" t="n"/>
      <c r="J357" s="1665" t="n"/>
      <c r="K357" s="1665" t="n"/>
      <c r="L357" s="1665" t="n"/>
      <c r="M357" s="1665" t="n"/>
      <c r="N357" s="1665" t="n"/>
      <c r="O357" s="1665" t="n"/>
      <c r="P357" s="1665" t="n"/>
      <c r="Q357" s="1665" t="n"/>
      <c r="R357" s="1665" t="n"/>
      <c r="S357" s="1665" t="n"/>
      <c r="T357" s="1665" t="n"/>
      <c r="U357" s="1665" t="n"/>
      <c r="V357" s="1665" t="n"/>
      <c r="W357" s="1665" t="n"/>
      <c r="X357" s="1665" t="n"/>
      <c r="Y357" s="1665" t="n"/>
      <c r="Z357" s="1665" t="n"/>
    </row>
    <row r="358" ht="15.75" customHeight="1" s="1666">
      <c r="G358" s="1665" t="n"/>
      <c r="H358" s="1665" t="n"/>
      <c r="I358" s="1665" t="n"/>
      <c r="J358" s="1665" t="n"/>
      <c r="K358" s="1665" t="n"/>
      <c r="L358" s="1665" t="n"/>
      <c r="M358" s="1665" t="n"/>
      <c r="N358" s="1665" t="n"/>
      <c r="O358" s="1665" t="n"/>
      <c r="P358" s="1665" t="n"/>
      <c r="Q358" s="1665" t="n"/>
      <c r="R358" s="1665" t="n"/>
      <c r="S358" s="1665" t="n"/>
      <c r="T358" s="1665" t="n"/>
      <c r="U358" s="1665" t="n"/>
      <c r="V358" s="1665" t="n"/>
      <c r="W358" s="1665" t="n"/>
      <c r="X358" s="1665" t="n"/>
      <c r="Y358" s="1665" t="n"/>
      <c r="Z358" s="1665" t="n"/>
    </row>
    <row r="359" ht="15.75" customHeight="1" s="1666">
      <c r="G359" s="1665" t="n"/>
      <c r="H359" s="1665" t="n"/>
      <c r="I359" s="1665" t="n"/>
      <c r="J359" s="1665" t="n"/>
      <c r="K359" s="1665" t="n"/>
      <c r="L359" s="1665" t="n"/>
      <c r="M359" s="1665" t="n"/>
      <c r="N359" s="1665" t="n"/>
      <c r="O359" s="1665" t="n"/>
      <c r="P359" s="1665" t="n"/>
      <c r="Q359" s="1665" t="n"/>
      <c r="R359" s="1665" t="n"/>
      <c r="S359" s="1665" t="n"/>
      <c r="T359" s="1665" t="n"/>
      <c r="U359" s="1665" t="n"/>
      <c r="V359" s="1665" t="n"/>
      <c r="W359" s="1665" t="n"/>
      <c r="X359" s="1665" t="n"/>
      <c r="Y359" s="1665" t="n"/>
      <c r="Z359" s="1665" t="n"/>
    </row>
    <row r="360" ht="15.75" customHeight="1" s="1666">
      <c r="G360" s="1665" t="n"/>
      <c r="H360" s="1665" t="n"/>
      <c r="I360" s="1665" t="n"/>
      <c r="J360" s="1665" t="n"/>
      <c r="K360" s="1665" t="n"/>
      <c r="L360" s="1665" t="n"/>
      <c r="M360" s="1665" t="n"/>
      <c r="N360" s="1665" t="n"/>
      <c r="O360" s="1665" t="n"/>
      <c r="P360" s="1665" t="n"/>
      <c r="Q360" s="1665" t="n"/>
      <c r="R360" s="1665" t="n"/>
      <c r="S360" s="1665" t="n"/>
      <c r="T360" s="1665" t="n"/>
      <c r="U360" s="1665" t="n"/>
      <c r="V360" s="1665" t="n"/>
      <c r="W360" s="1665" t="n"/>
      <c r="X360" s="1665" t="n"/>
      <c r="Y360" s="1665" t="n"/>
      <c r="Z360" s="1665" t="n"/>
    </row>
    <row r="361" ht="15.75" customHeight="1" s="1666">
      <c r="G361" s="1665" t="n"/>
      <c r="H361" s="1665" t="n"/>
      <c r="I361" s="1665" t="n"/>
      <c r="J361" s="1665" t="n"/>
      <c r="K361" s="1665" t="n"/>
      <c r="L361" s="1665" t="n"/>
      <c r="M361" s="1665" t="n"/>
      <c r="N361" s="1665" t="n"/>
      <c r="O361" s="1665" t="n"/>
      <c r="P361" s="1665" t="n"/>
      <c r="Q361" s="1665" t="n"/>
      <c r="R361" s="1665" t="n"/>
      <c r="S361" s="1665" t="n"/>
      <c r="T361" s="1665" t="n"/>
      <c r="U361" s="1665" t="n"/>
      <c r="V361" s="1665" t="n"/>
      <c r="W361" s="1665" t="n"/>
      <c r="X361" s="1665" t="n"/>
      <c r="Y361" s="1665" t="n"/>
      <c r="Z361" s="1665" t="n"/>
    </row>
    <row r="362" ht="15.75" customHeight="1" s="1666">
      <c r="G362" s="1665" t="n"/>
      <c r="H362" s="1665" t="n"/>
      <c r="I362" s="1665" t="n"/>
      <c r="J362" s="1665" t="n"/>
      <c r="K362" s="1665" t="n"/>
      <c r="L362" s="1665" t="n"/>
      <c r="M362" s="1665" t="n"/>
      <c r="N362" s="1665" t="n"/>
      <c r="O362" s="1665" t="n"/>
      <c r="P362" s="1665" t="n"/>
      <c r="Q362" s="1665" t="n"/>
      <c r="R362" s="1665" t="n"/>
      <c r="S362" s="1665" t="n"/>
      <c r="T362" s="1665" t="n"/>
      <c r="U362" s="1665" t="n"/>
      <c r="V362" s="1665" t="n"/>
      <c r="W362" s="1665" t="n"/>
      <c r="X362" s="1665" t="n"/>
      <c r="Y362" s="1665" t="n"/>
      <c r="Z362" s="1665" t="n"/>
    </row>
    <row r="363" ht="15.75" customHeight="1" s="1666">
      <c r="G363" s="1665" t="n"/>
      <c r="H363" s="1665" t="n"/>
      <c r="I363" s="1665" t="n"/>
      <c r="J363" s="1665" t="n"/>
      <c r="K363" s="1665" t="n"/>
      <c r="L363" s="1665" t="n"/>
      <c r="M363" s="1665" t="n"/>
      <c r="N363" s="1665" t="n"/>
      <c r="O363" s="1665" t="n"/>
      <c r="P363" s="1665" t="n"/>
      <c r="Q363" s="1665" t="n"/>
      <c r="R363" s="1665" t="n"/>
      <c r="S363" s="1665" t="n"/>
      <c r="T363" s="1665" t="n"/>
      <c r="U363" s="1665" t="n"/>
      <c r="V363" s="1665" t="n"/>
      <c r="W363" s="1665" t="n"/>
      <c r="X363" s="1665" t="n"/>
      <c r="Y363" s="1665" t="n"/>
      <c r="Z363" s="1665" t="n"/>
    </row>
    <row r="364" ht="15.75" customHeight="1" s="1666">
      <c r="G364" s="1665" t="n"/>
      <c r="H364" s="1665" t="n"/>
      <c r="I364" s="1665" t="n"/>
      <c r="J364" s="1665" t="n"/>
      <c r="K364" s="1665" t="n"/>
      <c r="L364" s="1665" t="n"/>
      <c r="M364" s="1665" t="n"/>
      <c r="N364" s="1665" t="n"/>
      <c r="O364" s="1665" t="n"/>
      <c r="P364" s="1665" t="n"/>
      <c r="Q364" s="1665" t="n"/>
      <c r="R364" s="1665" t="n"/>
      <c r="S364" s="1665" t="n"/>
      <c r="T364" s="1665" t="n"/>
      <c r="U364" s="1665" t="n"/>
      <c r="V364" s="1665" t="n"/>
      <c r="W364" s="1665" t="n"/>
      <c r="X364" s="1665" t="n"/>
      <c r="Y364" s="1665" t="n"/>
      <c r="Z364" s="1665" t="n"/>
    </row>
    <row r="365" ht="15.75" customHeight="1" s="1666">
      <c r="G365" s="1665" t="n"/>
      <c r="H365" s="1665" t="n"/>
      <c r="I365" s="1665" t="n"/>
      <c r="J365" s="1665" t="n"/>
      <c r="K365" s="1665" t="n"/>
      <c r="L365" s="1665" t="n"/>
      <c r="M365" s="1665" t="n"/>
      <c r="N365" s="1665" t="n"/>
      <c r="O365" s="1665" t="n"/>
      <c r="P365" s="1665" t="n"/>
      <c r="Q365" s="1665" t="n"/>
      <c r="R365" s="1665" t="n"/>
      <c r="S365" s="1665" t="n"/>
      <c r="T365" s="1665" t="n"/>
      <c r="U365" s="1665" t="n"/>
      <c r="V365" s="1665" t="n"/>
      <c r="W365" s="1665" t="n"/>
      <c r="X365" s="1665" t="n"/>
      <c r="Y365" s="1665" t="n"/>
      <c r="Z365" s="1665" t="n"/>
    </row>
    <row r="366" ht="15.75" customHeight="1" s="1666">
      <c r="G366" s="1665" t="n"/>
      <c r="H366" s="1665" t="n"/>
      <c r="I366" s="1665" t="n"/>
      <c r="J366" s="1665" t="n"/>
      <c r="K366" s="1665" t="n"/>
      <c r="L366" s="1665" t="n"/>
      <c r="M366" s="1665" t="n"/>
      <c r="N366" s="1665" t="n"/>
      <c r="O366" s="1665" t="n"/>
      <c r="P366" s="1665" t="n"/>
      <c r="Q366" s="1665" t="n"/>
      <c r="R366" s="1665" t="n"/>
      <c r="S366" s="1665" t="n"/>
      <c r="T366" s="1665" t="n"/>
      <c r="U366" s="1665" t="n"/>
      <c r="V366" s="1665" t="n"/>
      <c r="W366" s="1665" t="n"/>
      <c r="X366" s="1665" t="n"/>
      <c r="Y366" s="1665" t="n"/>
      <c r="Z366" s="1665" t="n"/>
    </row>
    <row r="367" ht="15.75" customHeight="1" s="1666">
      <c r="G367" s="1665" t="n"/>
      <c r="H367" s="1665" t="n"/>
      <c r="I367" s="1665" t="n"/>
      <c r="J367" s="1665" t="n"/>
      <c r="K367" s="1665" t="n"/>
      <c r="L367" s="1665" t="n"/>
      <c r="M367" s="1665" t="n"/>
      <c r="N367" s="1665" t="n"/>
      <c r="O367" s="1665" t="n"/>
      <c r="P367" s="1665" t="n"/>
      <c r="Q367" s="1665" t="n"/>
      <c r="R367" s="1665" t="n"/>
      <c r="S367" s="1665" t="n"/>
      <c r="T367" s="1665" t="n"/>
      <c r="U367" s="1665" t="n"/>
      <c r="V367" s="1665" t="n"/>
      <c r="W367" s="1665" t="n"/>
      <c r="X367" s="1665" t="n"/>
      <c r="Y367" s="1665" t="n"/>
      <c r="Z367" s="1665" t="n"/>
    </row>
    <row r="368" ht="15.75" customHeight="1" s="1666">
      <c r="G368" s="1665" t="n"/>
      <c r="H368" s="1665" t="n"/>
      <c r="I368" s="1665" t="n"/>
      <c r="J368" s="1665" t="n"/>
      <c r="K368" s="1665" t="n"/>
      <c r="L368" s="1665" t="n"/>
      <c r="M368" s="1665" t="n"/>
      <c r="N368" s="1665" t="n"/>
      <c r="O368" s="1665" t="n"/>
      <c r="P368" s="1665" t="n"/>
      <c r="Q368" s="1665" t="n"/>
      <c r="R368" s="1665" t="n"/>
      <c r="S368" s="1665" t="n"/>
      <c r="T368" s="1665" t="n"/>
      <c r="U368" s="1665" t="n"/>
      <c r="V368" s="1665" t="n"/>
      <c r="W368" s="1665" t="n"/>
      <c r="X368" s="1665" t="n"/>
      <c r="Y368" s="1665" t="n"/>
      <c r="Z368" s="1665" t="n"/>
    </row>
    <row r="369" ht="15.75" customHeight="1" s="1666">
      <c r="G369" s="1665" t="n"/>
      <c r="H369" s="1665" t="n"/>
      <c r="I369" s="1665" t="n"/>
      <c r="J369" s="1665" t="n"/>
      <c r="K369" s="1665" t="n"/>
      <c r="L369" s="1665" t="n"/>
      <c r="M369" s="1665" t="n"/>
      <c r="N369" s="1665" t="n"/>
      <c r="O369" s="1665" t="n"/>
      <c r="P369" s="1665" t="n"/>
      <c r="Q369" s="1665" t="n"/>
      <c r="R369" s="1665" t="n"/>
      <c r="S369" s="1665" t="n"/>
      <c r="T369" s="1665" t="n"/>
      <c r="U369" s="1665" t="n"/>
      <c r="V369" s="1665" t="n"/>
      <c r="W369" s="1665" t="n"/>
      <c r="X369" s="1665" t="n"/>
      <c r="Y369" s="1665" t="n"/>
      <c r="Z369" s="1665" t="n"/>
    </row>
    <row r="370" ht="15.75" customHeight="1" s="1666">
      <c r="G370" s="1665" t="n"/>
      <c r="H370" s="1665" t="n"/>
      <c r="I370" s="1665" t="n"/>
      <c r="J370" s="1665" t="n"/>
      <c r="K370" s="1665" t="n"/>
      <c r="L370" s="1665" t="n"/>
      <c r="M370" s="1665" t="n"/>
      <c r="N370" s="1665" t="n"/>
      <c r="O370" s="1665" t="n"/>
      <c r="P370" s="1665" t="n"/>
      <c r="Q370" s="1665" t="n"/>
      <c r="R370" s="1665" t="n"/>
      <c r="S370" s="1665" t="n"/>
      <c r="T370" s="1665" t="n"/>
      <c r="U370" s="1665" t="n"/>
      <c r="V370" s="1665" t="n"/>
      <c r="W370" s="1665" t="n"/>
      <c r="X370" s="1665" t="n"/>
      <c r="Y370" s="1665" t="n"/>
      <c r="Z370" s="1665" t="n"/>
    </row>
    <row r="371" ht="15.75" customHeight="1" s="1666">
      <c r="G371" s="1665" t="n"/>
      <c r="H371" s="1665" t="n"/>
      <c r="I371" s="1665" t="n"/>
      <c r="J371" s="1665" t="n"/>
      <c r="K371" s="1665" t="n"/>
      <c r="L371" s="1665" t="n"/>
      <c r="M371" s="1665" t="n"/>
      <c r="N371" s="1665" t="n"/>
      <c r="O371" s="1665" t="n"/>
      <c r="P371" s="1665" t="n"/>
      <c r="Q371" s="1665" t="n"/>
      <c r="R371" s="1665" t="n"/>
      <c r="S371" s="1665" t="n"/>
      <c r="T371" s="1665" t="n"/>
      <c r="U371" s="1665" t="n"/>
      <c r="V371" s="1665" t="n"/>
      <c r="W371" s="1665" t="n"/>
      <c r="X371" s="1665" t="n"/>
      <c r="Y371" s="1665" t="n"/>
      <c r="Z371" s="1665" t="n"/>
    </row>
    <row r="372" ht="15.75" customHeight="1" s="1666">
      <c r="G372" s="1665" t="n"/>
      <c r="H372" s="1665" t="n"/>
      <c r="I372" s="1665" t="n"/>
      <c r="J372" s="1665" t="n"/>
      <c r="K372" s="1665" t="n"/>
      <c r="L372" s="1665" t="n"/>
      <c r="M372" s="1665" t="n"/>
      <c r="N372" s="1665" t="n"/>
      <c r="O372" s="1665" t="n"/>
      <c r="P372" s="1665" t="n"/>
      <c r="Q372" s="1665" t="n"/>
      <c r="R372" s="1665" t="n"/>
      <c r="S372" s="1665" t="n"/>
      <c r="T372" s="1665" t="n"/>
      <c r="U372" s="1665" t="n"/>
      <c r="V372" s="1665" t="n"/>
      <c r="W372" s="1665" t="n"/>
      <c r="X372" s="1665" t="n"/>
      <c r="Y372" s="1665" t="n"/>
      <c r="Z372" s="1665" t="n"/>
    </row>
    <row r="373" ht="15.75" customHeight="1" s="1666">
      <c r="G373" s="1665" t="n"/>
      <c r="H373" s="1665" t="n"/>
      <c r="I373" s="1665" t="n"/>
      <c r="J373" s="1665" t="n"/>
      <c r="K373" s="1665" t="n"/>
      <c r="L373" s="1665" t="n"/>
      <c r="M373" s="1665" t="n"/>
      <c r="N373" s="1665" t="n"/>
      <c r="O373" s="1665" t="n"/>
      <c r="P373" s="1665" t="n"/>
      <c r="Q373" s="1665" t="n"/>
      <c r="R373" s="1665" t="n"/>
      <c r="S373" s="1665" t="n"/>
      <c r="T373" s="1665" t="n"/>
      <c r="U373" s="1665" t="n"/>
      <c r="V373" s="1665" t="n"/>
      <c r="W373" s="1665" t="n"/>
      <c r="X373" s="1665" t="n"/>
      <c r="Y373" s="1665" t="n"/>
      <c r="Z373" s="1665" t="n"/>
    </row>
    <row r="374" ht="15.75" customHeight="1" s="1666">
      <c r="G374" s="1665" t="n"/>
      <c r="H374" s="1665" t="n"/>
      <c r="I374" s="1665" t="n"/>
      <c r="J374" s="1665" t="n"/>
      <c r="K374" s="1665" t="n"/>
      <c r="L374" s="1665" t="n"/>
      <c r="M374" s="1665" t="n"/>
      <c r="N374" s="1665" t="n"/>
      <c r="O374" s="1665" t="n"/>
      <c r="P374" s="1665" t="n"/>
      <c r="Q374" s="1665" t="n"/>
      <c r="R374" s="1665" t="n"/>
      <c r="S374" s="1665" t="n"/>
      <c r="T374" s="1665" t="n"/>
      <c r="U374" s="1665" t="n"/>
      <c r="V374" s="1665" t="n"/>
      <c r="W374" s="1665" t="n"/>
      <c r="X374" s="1665" t="n"/>
      <c r="Y374" s="1665" t="n"/>
      <c r="Z374" s="1665" t="n"/>
    </row>
    <row r="375" ht="15.75" customHeight="1" s="1666">
      <c r="G375" s="1665" t="n"/>
      <c r="H375" s="1665" t="n"/>
      <c r="I375" s="1665" t="n"/>
      <c r="J375" s="1665" t="n"/>
      <c r="K375" s="1665" t="n"/>
      <c r="L375" s="1665" t="n"/>
      <c r="M375" s="1665" t="n"/>
      <c r="N375" s="1665" t="n"/>
      <c r="O375" s="1665" t="n"/>
      <c r="P375" s="1665" t="n"/>
      <c r="Q375" s="1665" t="n"/>
      <c r="R375" s="1665" t="n"/>
      <c r="S375" s="1665" t="n"/>
      <c r="T375" s="1665" t="n"/>
      <c r="U375" s="1665" t="n"/>
      <c r="V375" s="1665" t="n"/>
      <c r="W375" s="1665" t="n"/>
      <c r="X375" s="1665" t="n"/>
      <c r="Y375" s="1665" t="n"/>
      <c r="Z375" s="1665" t="n"/>
    </row>
    <row r="376" ht="15.75" customHeight="1" s="1666">
      <c r="G376" s="1665" t="n"/>
      <c r="H376" s="1665" t="n"/>
      <c r="I376" s="1665" t="n"/>
      <c r="J376" s="1665" t="n"/>
      <c r="K376" s="1665" t="n"/>
      <c r="L376" s="1665" t="n"/>
      <c r="M376" s="1665" t="n"/>
      <c r="N376" s="1665" t="n"/>
      <c r="O376" s="1665" t="n"/>
      <c r="P376" s="1665" t="n"/>
      <c r="Q376" s="1665" t="n"/>
      <c r="R376" s="1665" t="n"/>
      <c r="S376" s="1665" t="n"/>
      <c r="T376" s="1665" t="n"/>
      <c r="U376" s="1665" t="n"/>
      <c r="V376" s="1665" t="n"/>
      <c r="W376" s="1665" t="n"/>
      <c r="X376" s="1665" t="n"/>
      <c r="Y376" s="1665" t="n"/>
      <c r="Z376" s="1665" t="n"/>
    </row>
    <row r="377" ht="15.75" customHeight="1" s="1666">
      <c r="G377" s="1665" t="n"/>
      <c r="H377" s="1665" t="n"/>
      <c r="I377" s="1665" t="n"/>
      <c r="J377" s="1665" t="n"/>
      <c r="K377" s="1665" t="n"/>
      <c r="L377" s="1665" t="n"/>
      <c r="M377" s="1665" t="n"/>
      <c r="N377" s="1665" t="n"/>
      <c r="O377" s="1665" t="n"/>
      <c r="P377" s="1665" t="n"/>
      <c r="Q377" s="1665" t="n"/>
      <c r="R377" s="1665" t="n"/>
      <c r="S377" s="1665" t="n"/>
      <c r="T377" s="1665" t="n"/>
      <c r="U377" s="1665" t="n"/>
      <c r="V377" s="1665" t="n"/>
      <c r="W377" s="1665" t="n"/>
      <c r="X377" s="1665" t="n"/>
      <c r="Y377" s="1665" t="n"/>
      <c r="Z377" s="1665" t="n"/>
    </row>
    <row r="378" ht="15.75" customHeight="1" s="1666">
      <c r="G378" s="1665" t="n"/>
      <c r="H378" s="1665" t="n"/>
      <c r="I378" s="1665" t="n"/>
      <c r="J378" s="1665" t="n"/>
      <c r="K378" s="1665" t="n"/>
      <c r="L378" s="1665" t="n"/>
      <c r="M378" s="1665" t="n"/>
      <c r="N378" s="1665" t="n"/>
      <c r="O378" s="1665" t="n"/>
      <c r="P378" s="1665" t="n"/>
      <c r="Q378" s="1665" t="n"/>
      <c r="R378" s="1665" t="n"/>
      <c r="S378" s="1665" t="n"/>
      <c r="T378" s="1665" t="n"/>
      <c r="U378" s="1665" t="n"/>
      <c r="V378" s="1665" t="n"/>
      <c r="W378" s="1665" t="n"/>
      <c r="X378" s="1665" t="n"/>
      <c r="Y378" s="1665" t="n"/>
      <c r="Z378" s="1665" t="n"/>
    </row>
    <row r="379" ht="15.75" customHeight="1" s="1666">
      <c r="G379" s="1665" t="n"/>
      <c r="H379" s="1665" t="n"/>
      <c r="I379" s="1665" t="n"/>
      <c r="J379" s="1665" t="n"/>
      <c r="K379" s="1665" t="n"/>
      <c r="L379" s="1665" t="n"/>
      <c r="M379" s="1665" t="n"/>
      <c r="N379" s="1665" t="n"/>
      <c r="O379" s="1665" t="n"/>
      <c r="P379" s="1665" t="n"/>
      <c r="Q379" s="1665" t="n"/>
      <c r="R379" s="1665" t="n"/>
      <c r="S379" s="1665" t="n"/>
      <c r="T379" s="1665" t="n"/>
      <c r="U379" s="1665" t="n"/>
      <c r="V379" s="1665" t="n"/>
      <c r="W379" s="1665" t="n"/>
      <c r="X379" s="1665" t="n"/>
      <c r="Y379" s="1665" t="n"/>
      <c r="Z379" s="1665" t="n"/>
    </row>
    <row r="380" ht="15.75" customHeight="1" s="1666">
      <c r="G380" s="1665" t="n"/>
      <c r="H380" s="1665" t="n"/>
      <c r="I380" s="1665" t="n"/>
      <c r="J380" s="1665" t="n"/>
      <c r="K380" s="1665" t="n"/>
      <c r="L380" s="1665" t="n"/>
      <c r="M380" s="1665" t="n"/>
      <c r="N380" s="1665" t="n"/>
      <c r="O380" s="1665" t="n"/>
      <c r="P380" s="1665" t="n"/>
      <c r="Q380" s="1665" t="n"/>
      <c r="R380" s="1665" t="n"/>
      <c r="S380" s="1665" t="n"/>
      <c r="T380" s="1665" t="n"/>
      <c r="U380" s="1665" t="n"/>
      <c r="V380" s="1665" t="n"/>
      <c r="W380" s="1665" t="n"/>
      <c r="X380" s="1665" t="n"/>
      <c r="Y380" s="1665" t="n"/>
      <c r="Z380" s="1665" t="n"/>
    </row>
    <row r="381" ht="15.75" customHeight="1" s="1666">
      <c r="G381" s="1665" t="n"/>
      <c r="H381" s="1665" t="n"/>
      <c r="I381" s="1665" t="n"/>
      <c r="J381" s="1665" t="n"/>
      <c r="K381" s="1665" t="n"/>
      <c r="L381" s="1665" t="n"/>
      <c r="M381" s="1665" t="n"/>
      <c r="N381" s="1665" t="n"/>
      <c r="O381" s="1665" t="n"/>
      <c r="P381" s="1665" t="n"/>
      <c r="Q381" s="1665" t="n"/>
      <c r="R381" s="1665" t="n"/>
      <c r="S381" s="1665" t="n"/>
      <c r="T381" s="1665" t="n"/>
      <c r="U381" s="1665" t="n"/>
      <c r="V381" s="1665" t="n"/>
      <c r="W381" s="1665" t="n"/>
      <c r="X381" s="1665" t="n"/>
      <c r="Y381" s="1665" t="n"/>
      <c r="Z381" s="1665" t="n"/>
    </row>
    <row r="382" ht="15.75" customHeight="1" s="1666">
      <c r="G382" s="1665" t="n"/>
      <c r="H382" s="1665" t="n"/>
      <c r="I382" s="1665" t="n"/>
      <c r="J382" s="1665" t="n"/>
      <c r="K382" s="1665" t="n"/>
      <c r="L382" s="1665" t="n"/>
      <c r="M382" s="1665" t="n"/>
      <c r="N382" s="1665" t="n"/>
      <c r="O382" s="1665" t="n"/>
      <c r="P382" s="1665" t="n"/>
      <c r="Q382" s="1665" t="n"/>
      <c r="R382" s="1665" t="n"/>
      <c r="S382" s="1665" t="n"/>
      <c r="T382" s="1665" t="n"/>
      <c r="U382" s="1665" t="n"/>
      <c r="V382" s="1665" t="n"/>
      <c r="W382" s="1665" t="n"/>
      <c r="X382" s="1665" t="n"/>
      <c r="Y382" s="1665" t="n"/>
      <c r="Z382" s="1665" t="n"/>
    </row>
    <row r="383" ht="15.75" customHeight="1" s="1666">
      <c r="G383" s="1665" t="n"/>
      <c r="H383" s="1665" t="n"/>
      <c r="I383" s="1665" t="n"/>
      <c r="J383" s="1665" t="n"/>
      <c r="K383" s="1665" t="n"/>
      <c r="L383" s="1665" t="n"/>
      <c r="M383" s="1665" t="n"/>
      <c r="N383" s="1665" t="n"/>
      <c r="O383" s="1665" t="n"/>
      <c r="P383" s="1665" t="n"/>
      <c r="Q383" s="1665" t="n"/>
      <c r="R383" s="1665" t="n"/>
      <c r="S383" s="1665" t="n"/>
      <c r="T383" s="1665" t="n"/>
      <c r="U383" s="1665" t="n"/>
      <c r="V383" s="1665" t="n"/>
      <c r="W383" s="1665" t="n"/>
      <c r="X383" s="1665" t="n"/>
      <c r="Y383" s="1665" t="n"/>
      <c r="Z383" s="1665" t="n"/>
    </row>
    <row r="384" ht="15.75" customHeight="1" s="1666">
      <c r="G384" s="1665" t="n"/>
      <c r="H384" s="1665" t="n"/>
      <c r="I384" s="1665" t="n"/>
      <c r="J384" s="1665" t="n"/>
      <c r="K384" s="1665" t="n"/>
      <c r="L384" s="1665" t="n"/>
      <c r="M384" s="1665" t="n"/>
      <c r="N384" s="1665" t="n"/>
      <c r="O384" s="1665" t="n"/>
      <c r="P384" s="1665" t="n"/>
      <c r="Q384" s="1665" t="n"/>
      <c r="R384" s="1665" t="n"/>
      <c r="S384" s="1665" t="n"/>
      <c r="T384" s="1665" t="n"/>
      <c r="U384" s="1665" t="n"/>
      <c r="V384" s="1665" t="n"/>
      <c r="W384" s="1665" t="n"/>
      <c r="X384" s="1665" t="n"/>
      <c r="Y384" s="1665" t="n"/>
      <c r="Z384" s="1665" t="n"/>
    </row>
    <row r="385" ht="15.75" customHeight="1" s="1666">
      <c r="G385" s="1665" t="n"/>
      <c r="H385" s="1665" t="n"/>
      <c r="I385" s="1665" t="n"/>
      <c r="J385" s="1665" t="n"/>
      <c r="K385" s="1665" t="n"/>
      <c r="L385" s="1665" t="n"/>
      <c r="M385" s="1665" t="n"/>
      <c r="N385" s="1665" t="n"/>
      <c r="O385" s="1665" t="n"/>
      <c r="P385" s="1665" t="n"/>
      <c r="Q385" s="1665" t="n"/>
      <c r="R385" s="1665" t="n"/>
      <c r="S385" s="1665" t="n"/>
      <c r="T385" s="1665" t="n"/>
      <c r="U385" s="1665" t="n"/>
      <c r="V385" s="1665" t="n"/>
      <c r="W385" s="1665" t="n"/>
      <c r="X385" s="1665" t="n"/>
      <c r="Y385" s="1665" t="n"/>
      <c r="Z385" s="1665" t="n"/>
    </row>
    <row r="386" ht="15.75" customHeight="1" s="1666">
      <c r="G386" s="1665" t="n"/>
      <c r="H386" s="1665" t="n"/>
      <c r="I386" s="1665" t="n"/>
      <c r="J386" s="1665" t="n"/>
      <c r="K386" s="1665" t="n"/>
      <c r="L386" s="1665" t="n"/>
      <c r="M386" s="1665" t="n"/>
      <c r="N386" s="1665" t="n"/>
      <c r="O386" s="1665" t="n"/>
      <c r="P386" s="1665" t="n"/>
      <c r="Q386" s="1665" t="n"/>
      <c r="R386" s="1665" t="n"/>
      <c r="S386" s="1665" t="n"/>
      <c r="T386" s="1665" t="n"/>
      <c r="U386" s="1665" t="n"/>
      <c r="V386" s="1665" t="n"/>
      <c r="W386" s="1665" t="n"/>
      <c r="X386" s="1665" t="n"/>
      <c r="Y386" s="1665" t="n"/>
      <c r="Z386" s="1665" t="n"/>
    </row>
    <row r="387" ht="15.75" customHeight="1" s="1666">
      <c r="G387" s="1665" t="n"/>
      <c r="H387" s="1665" t="n"/>
      <c r="I387" s="1665" t="n"/>
      <c r="J387" s="1665" t="n"/>
      <c r="K387" s="1665" t="n"/>
      <c r="L387" s="1665" t="n"/>
      <c r="M387" s="1665" t="n"/>
      <c r="N387" s="1665" t="n"/>
      <c r="O387" s="1665" t="n"/>
      <c r="P387" s="1665" t="n"/>
      <c r="Q387" s="1665" t="n"/>
      <c r="R387" s="1665" t="n"/>
      <c r="S387" s="1665" t="n"/>
      <c r="T387" s="1665" t="n"/>
      <c r="U387" s="1665" t="n"/>
      <c r="V387" s="1665" t="n"/>
      <c r="W387" s="1665" t="n"/>
      <c r="X387" s="1665" t="n"/>
      <c r="Y387" s="1665" t="n"/>
      <c r="Z387" s="1665" t="n"/>
    </row>
    <row r="388" ht="15.75" customHeight="1" s="1666">
      <c r="G388" s="1665" t="n"/>
      <c r="H388" s="1665" t="n"/>
      <c r="I388" s="1665" t="n"/>
      <c r="J388" s="1665" t="n"/>
      <c r="K388" s="1665" t="n"/>
      <c r="L388" s="1665" t="n"/>
      <c r="M388" s="1665" t="n"/>
      <c r="N388" s="1665" t="n"/>
      <c r="O388" s="1665" t="n"/>
      <c r="P388" s="1665" t="n"/>
      <c r="Q388" s="1665" t="n"/>
      <c r="R388" s="1665" t="n"/>
      <c r="S388" s="1665" t="n"/>
      <c r="T388" s="1665" t="n"/>
      <c r="U388" s="1665" t="n"/>
      <c r="V388" s="1665" t="n"/>
      <c r="W388" s="1665" t="n"/>
      <c r="X388" s="1665" t="n"/>
      <c r="Y388" s="1665" t="n"/>
      <c r="Z388" s="1665" t="n"/>
    </row>
    <row r="389" ht="15.75" customHeight="1" s="1666">
      <c r="G389" s="1665" t="n"/>
      <c r="H389" s="1665" t="n"/>
      <c r="I389" s="1665" t="n"/>
      <c r="J389" s="1665" t="n"/>
      <c r="K389" s="1665" t="n"/>
      <c r="L389" s="1665" t="n"/>
      <c r="M389" s="1665" t="n"/>
      <c r="N389" s="1665" t="n"/>
      <c r="O389" s="1665" t="n"/>
      <c r="P389" s="1665" t="n"/>
      <c r="Q389" s="1665" t="n"/>
      <c r="R389" s="1665" t="n"/>
      <c r="S389" s="1665" t="n"/>
      <c r="T389" s="1665" t="n"/>
      <c r="U389" s="1665" t="n"/>
      <c r="V389" s="1665" t="n"/>
      <c r="W389" s="1665" t="n"/>
      <c r="X389" s="1665" t="n"/>
      <c r="Y389" s="1665" t="n"/>
      <c r="Z389" s="1665" t="n"/>
    </row>
    <row r="390" ht="15.75" customHeight="1" s="1666">
      <c r="G390" s="1665" t="n"/>
      <c r="H390" s="1665" t="n"/>
      <c r="I390" s="1665" t="n"/>
      <c r="J390" s="1665" t="n"/>
      <c r="K390" s="1665" t="n"/>
      <c r="L390" s="1665" t="n"/>
      <c r="M390" s="1665" t="n"/>
      <c r="N390" s="1665" t="n"/>
      <c r="O390" s="1665" t="n"/>
      <c r="P390" s="1665" t="n"/>
      <c r="Q390" s="1665" t="n"/>
      <c r="R390" s="1665" t="n"/>
      <c r="S390" s="1665" t="n"/>
      <c r="T390" s="1665" t="n"/>
      <c r="U390" s="1665" t="n"/>
      <c r="V390" s="1665" t="n"/>
      <c r="W390" s="1665" t="n"/>
      <c r="X390" s="1665" t="n"/>
      <c r="Y390" s="1665" t="n"/>
      <c r="Z390" s="1665" t="n"/>
    </row>
    <row r="391" ht="15.75" customHeight="1" s="1666">
      <c r="G391" s="1665" t="n"/>
      <c r="H391" s="1665" t="n"/>
      <c r="I391" s="1665" t="n"/>
      <c r="J391" s="1665" t="n"/>
      <c r="K391" s="1665" t="n"/>
      <c r="L391" s="1665" t="n"/>
      <c r="M391" s="1665" t="n"/>
      <c r="N391" s="1665" t="n"/>
      <c r="O391" s="1665" t="n"/>
      <c r="P391" s="1665" t="n"/>
      <c r="Q391" s="1665" t="n"/>
      <c r="R391" s="1665" t="n"/>
      <c r="S391" s="1665" t="n"/>
      <c r="T391" s="1665" t="n"/>
      <c r="U391" s="1665" t="n"/>
      <c r="V391" s="1665" t="n"/>
      <c r="W391" s="1665" t="n"/>
      <c r="X391" s="1665" t="n"/>
      <c r="Y391" s="1665" t="n"/>
      <c r="Z391" s="1665" t="n"/>
    </row>
    <row r="392" ht="15.75" customHeight="1" s="1666">
      <c r="G392" s="1665" t="n"/>
      <c r="H392" s="1665" t="n"/>
      <c r="I392" s="1665" t="n"/>
      <c r="J392" s="1665" t="n"/>
      <c r="K392" s="1665" t="n"/>
      <c r="L392" s="1665" t="n"/>
      <c r="M392" s="1665" t="n"/>
      <c r="N392" s="1665" t="n"/>
      <c r="O392" s="1665" t="n"/>
      <c r="P392" s="1665" t="n"/>
      <c r="Q392" s="1665" t="n"/>
      <c r="R392" s="1665" t="n"/>
      <c r="S392" s="1665" t="n"/>
      <c r="T392" s="1665" t="n"/>
      <c r="U392" s="1665" t="n"/>
      <c r="V392" s="1665" t="n"/>
      <c r="W392" s="1665" t="n"/>
      <c r="X392" s="1665" t="n"/>
      <c r="Y392" s="1665" t="n"/>
      <c r="Z392" s="1665" t="n"/>
    </row>
    <row r="393" ht="15.75" customHeight="1" s="1666">
      <c r="G393" s="1665" t="n"/>
      <c r="H393" s="1665" t="n"/>
      <c r="I393" s="1665" t="n"/>
      <c r="J393" s="1665" t="n"/>
      <c r="K393" s="1665" t="n"/>
      <c r="L393" s="1665" t="n"/>
      <c r="M393" s="1665" t="n"/>
      <c r="N393" s="1665" t="n"/>
      <c r="O393" s="1665" t="n"/>
      <c r="P393" s="1665" t="n"/>
      <c r="Q393" s="1665" t="n"/>
      <c r="R393" s="1665" t="n"/>
      <c r="S393" s="1665" t="n"/>
      <c r="T393" s="1665" t="n"/>
      <c r="U393" s="1665" t="n"/>
      <c r="V393" s="1665" t="n"/>
      <c r="W393" s="1665" t="n"/>
      <c r="X393" s="1665" t="n"/>
      <c r="Y393" s="1665" t="n"/>
      <c r="Z393" s="1665" t="n"/>
    </row>
    <row r="394" ht="15.75" customHeight="1" s="1666">
      <c r="G394" s="1665" t="n"/>
      <c r="H394" s="1665" t="n"/>
      <c r="I394" s="1665" t="n"/>
      <c r="J394" s="1665" t="n"/>
      <c r="K394" s="1665" t="n"/>
      <c r="L394" s="1665" t="n"/>
      <c r="M394" s="1665" t="n"/>
      <c r="N394" s="1665" t="n"/>
      <c r="O394" s="1665" t="n"/>
      <c r="P394" s="1665" t="n"/>
      <c r="Q394" s="1665" t="n"/>
      <c r="R394" s="1665" t="n"/>
      <c r="S394" s="1665" t="n"/>
      <c r="T394" s="1665" t="n"/>
      <c r="U394" s="1665" t="n"/>
      <c r="V394" s="1665" t="n"/>
      <c r="W394" s="1665" t="n"/>
      <c r="X394" s="1665" t="n"/>
      <c r="Y394" s="1665" t="n"/>
      <c r="Z394" s="1665" t="n"/>
    </row>
    <row r="395" ht="15.75" customHeight="1" s="1666">
      <c r="G395" s="1665" t="n"/>
      <c r="H395" s="1665" t="n"/>
      <c r="I395" s="1665" t="n"/>
      <c r="J395" s="1665" t="n"/>
      <c r="K395" s="1665" t="n"/>
      <c r="L395" s="1665" t="n"/>
      <c r="M395" s="1665" t="n"/>
      <c r="N395" s="1665" t="n"/>
      <c r="O395" s="1665" t="n"/>
      <c r="P395" s="1665" t="n"/>
      <c r="Q395" s="1665" t="n"/>
      <c r="R395" s="1665" t="n"/>
      <c r="S395" s="1665" t="n"/>
      <c r="T395" s="1665" t="n"/>
      <c r="U395" s="1665" t="n"/>
      <c r="V395" s="1665" t="n"/>
      <c r="W395" s="1665" t="n"/>
      <c r="X395" s="1665" t="n"/>
      <c r="Y395" s="1665" t="n"/>
      <c r="Z395" s="1665" t="n"/>
    </row>
    <row r="396" ht="15.75" customHeight="1" s="1666">
      <c r="G396" s="1665" t="n"/>
      <c r="H396" s="1665" t="n"/>
      <c r="I396" s="1665" t="n"/>
      <c r="J396" s="1665" t="n"/>
      <c r="K396" s="1665" t="n"/>
      <c r="L396" s="1665" t="n"/>
      <c r="M396" s="1665" t="n"/>
      <c r="N396" s="1665" t="n"/>
      <c r="O396" s="1665" t="n"/>
      <c r="P396" s="1665" t="n"/>
      <c r="Q396" s="1665" t="n"/>
      <c r="R396" s="1665" t="n"/>
      <c r="S396" s="1665" t="n"/>
      <c r="T396" s="1665" t="n"/>
      <c r="U396" s="1665" t="n"/>
      <c r="V396" s="1665" t="n"/>
      <c r="W396" s="1665" t="n"/>
      <c r="X396" s="1665" t="n"/>
      <c r="Y396" s="1665" t="n"/>
      <c r="Z396" s="1665" t="n"/>
    </row>
    <row r="397" ht="15.75" customHeight="1" s="1666">
      <c r="G397" s="1665" t="n"/>
      <c r="H397" s="1665" t="n"/>
      <c r="I397" s="1665" t="n"/>
      <c r="J397" s="1665" t="n"/>
      <c r="K397" s="1665" t="n"/>
      <c r="L397" s="1665" t="n"/>
      <c r="M397" s="1665" t="n"/>
      <c r="N397" s="1665" t="n"/>
      <c r="O397" s="1665" t="n"/>
      <c r="P397" s="1665" t="n"/>
      <c r="Q397" s="1665" t="n"/>
      <c r="R397" s="1665" t="n"/>
      <c r="S397" s="1665" t="n"/>
      <c r="T397" s="1665" t="n"/>
      <c r="U397" s="1665" t="n"/>
      <c r="V397" s="1665" t="n"/>
      <c r="W397" s="1665" t="n"/>
      <c r="X397" s="1665" t="n"/>
      <c r="Y397" s="1665" t="n"/>
      <c r="Z397" s="1665" t="n"/>
    </row>
    <row r="398" ht="15.75" customHeight="1" s="1666">
      <c r="G398" s="1665" t="n"/>
      <c r="H398" s="1665" t="n"/>
      <c r="I398" s="1665" t="n"/>
      <c r="J398" s="1665" t="n"/>
      <c r="K398" s="1665" t="n"/>
      <c r="L398" s="1665" t="n"/>
      <c r="M398" s="1665" t="n"/>
      <c r="N398" s="1665" t="n"/>
      <c r="O398" s="1665" t="n"/>
      <c r="P398" s="1665" t="n"/>
      <c r="Q398" s="1665" t="n"/>
      <c r="R398" s="1665" t="n"/>
      <c r="S398" s="1665" t="n"/>
      <c r="T398" s="1665" t="n"/>
      <c r="U398" s="1665" t="n"/>
      <c r="V398" s="1665" t="n"/>
      <c r="W398" s="1665" t="n"/>
      <c r="X398" s="1665" t="n"/>
      <c r="Y398" s="1665" t="n"/>
      <c r="Z398" s="1665" t="n"/>
    </row>
    <row r="399" ht="15.75" customHeight="1" s="1666">
      <c r="G399" s="1665" t="n"/>
      <c r="H399" s="1665" t="n"/>
      <c r="I399" s="1665" t="n"/>
      <c r="J399" s="1665" t="n"/>
      <c r="K399" s="1665" t="n"/>
      <c r="L399" s="1665" t="n"/>
      <c r="M399" s="1665" t="n"/>
      <c r="N399" s="1665" t="n"/>
      <c r="O399" s="1665" t="n"/>
      <c r="P399" s="1665" t="n"/>
      <c r="Q399" s="1665" t="n"/>
      <c r="R399" s="1665" t="n"/>
      <c r="S399" s="1665" t="n"/>
      <c r="T399" s="1665" t="n"/>
      <c r="U399" s="1665" t="n"/>
      <c r="V399" s="1665" t="n"/>
      <c r="W399" s="1665" t="n"/>
      <c r="X399" s="1665" t="n"/>
      <c r="Y399" s="1665" t="n"/>
      <c r="Z399" s="1665" t="n"/>
    </row>
    <row r="400" ht="15.75" customHeight="1" s="1666">
      <c r="G400" s="1665" t="n"/>
      <c r="H400" s="1665" t="n"/>
      <c r="I400" s="1665" t="n"/>
      <c r="J400" s="1665" t="n"/>
      <c r="K400" s="1665" t="n"/>
      <c r="L400" s="1665" t="n"/>
      <c r="M400" s="1665" t="n"/>
      <c r="N400" s="1665" t="n"/>
      <c r="O400" s="1665" t="n"/>
      <c r="P400" s="1665" t="n"/>
      <c r="Q400" s="1665" t="n"/>
      <c r="R400" s="1665" t="n"/>
      <c r="S400" s="1665" t="n"/>
      <c r="T400" s="1665" t="n"/>
      <c r="U400" s="1665" t="n"/>
      <c r="V400" s="1665" t="n"/>
      <c r="W400" s="1665" t="n"/>
      <c r="X400" s="1665" t="n"/>
      <c r="Y400" s="1665" t="n"/>
      <c r="Z400" s="1665" t="n"/>
    </row>
    <row r="401" ht="15.75" customHeight="1" s="1666">
      <c r="G401" s="1665" t="n"/>
      <c r="H401" s="1665" t="n"/>
      <c r="I401" s="1665" t="n"/>
      <c r="J401" s="1665" t="n"/>
      <c r="K401" s="1665" t="n"/>
      <c r="L401" s="1665" t="n"/>
      <c r="M401" s="1665" t="n"/>
      <c r="N401" s="1665" t="n"/>
      <c r="O401" s="1665" t="n"/>
      <c r="P401" s="1665" t="n"/>
      <c r="Q401" s="1665" t="n"/>
      <c r="R401" s="1665" t="n"/>
      <c r="S401" s="1665" t="n"/>
      <c r="T401" s="1665" t="n"/>
      <c r="U401" s="1665" t="n"/>
      <c r="V401" s="1665" t="n"/>
      <c r="W401" s="1665" t="n"/>
      <c r="X401" s="1665" t="n"/>
      <c r="Y401" s="1665" t="n"/>
      <c r="Z401" s="1665" t="n"/>
    </row>
    <row r="402" ht="15.75" customHeight="1" s="1666">
      <c r="G402" s="1665" t="n"/>
      <c r="H402" s="1665" t="n"/>
      <c r="I402" s="1665" t="n"/>
      <c r="J402" s="1665" t="n"/>
      <c r="K402" s="1665" t="n"/>
      <c r="L402" s="1665" t="n"/>
      <c r="M402" s="1665" t="n"/>
      <c r="N402" s="1665" t="n"/>
      <c r="O402" s="1665" t="n"/>
      <c r="P402" s="1665" t="n"/>
      <c r="Q402" s="1665" t="n"/>
      <c r="R402" s="1665" t="n"/>
      <c r="S402" s="1665" t="n"/>
      <c r="T402" s="1665" t="n"/>
      <c r="U402" s="1665" t="n"/>
      <c r="V402" s="1665" t="n"/>
      <c r="W402" s="1665" t="n"/>
      <c r="X402" s="1665" t="n"/>
      <c r="Y402" s="1665" t="n"/>
      <c r="Z402" s="1665" t="n"/>
    </row>
    <row r="403" ht="15.75" customHeight="1" s="1666">
      <c r="G403" s="1665" t="n"/>
      <c r="H403" s="1665" t="n"/>
      <c r="I403" s="1665" t="n"/>
      <c r="J403" s="1665" t="n"/>
      <c r="K403" s="1665" t="n"/>
      <c r="L403" s="1665" t="n"/>
      <c r="M403" s="1665" t="n"/>
      <c r="N403" s="1665" t="n"/>
      <c r="O403" s="1665" t="n"/>
      <c r="P403" s="1665" t="n"/>
      <c r="Q403" s="1665" t="n"/>
      <c r="R403" s="1665" t="n"/>
      <c r="S403" s="1665" t="n"/>
      <c r="T403" s="1665" t="n"/>
      <c r="U403" s="1665" t="n"/>
      <c r="V403" s="1665" t="n"/>
      <c r="W403" s="1665" t="n"/>
      <c r="X403" s="1665" t="n"/>
      <c r="Y403" s="1665" t="n"/>
      <c r="Z403" s="1665" t="n"/>
    </row>
    <row r="404" ht="15.75" customHeight="1" s="1666"/>
    <row r="405" ht="15.75" customHeight="1" s="1666"/>
    <row r="406" ht="15.75" customHeight="1" s="1666"/>
    <row r="407" ht="15.75" customHeight="1" s="1666"/>
    <row r="408" ht="15.75" customHeight="1" s="1666"/>
    <row r="409" ht="15.75" customHeight="1" s="1666"/>
    <row r="410" ht="15.75" customHeight="1" s="1666"/>
    <row r="411" ht="15.75" customHeight="1" s="1666"/>
    <row r="412" ht="15.75" customHeight="1" s="1666"/>
    <row r="413" ht="15.75" customHeight="1" s="1666"/>
    <row r="414" ht="15.75" customHeight="1" s="1666"/>
    <row r="415" ht="15.75" customHeight="1" s="1666"/>
    <row r="416" ht="15.75" customHeight="1" s="1666"/>
    <row r="417" ht="15.75" customHeight="1" s="1666"/>
    <row r="418" ht="15.75" customHeight="1" s="1666"/>
    <row r="419" ht="15.75" customHeight="1" s="1666"/>
    <row r="420" ht="15.75" customHeight="1" s="1666"/>
    <row r="421" ht="15.75" customHeight="1" s="1666"/>
    <row r="422" ht="15.75" customHeight="1" s="1666"/>
    <row r="423" ht="15.75" customHeight="1" s="1666"/>
    <row r="424" ht="15.75" customHeight="1" s="1666"/>
    <row r="425" ht="15.75" customHeight="1" s="1666"/>
    <row r="426" ht="15.75" customHeight="1" s="1666"/>
    <row r="427" ht="15.75" customHeight="1" s="1666"/>
    <row r="428" ht="15.75" customHeight="1" s="1666"/>
    <row r="429" ht="15.75" customHeight="1" s="1666"/>
    <row r="430" ht="15.75" customHeight="1" s="1666"/>
    <row r="431" ht="15.75" customHeight="1" s="1666"/>
    <row r="432" ht="15.75" customHeight="1" s="1666"/>
    <row r="433" ht="15.75" customHeight="1" s="1666"/>
    <row r="434" ht="15.75" customHeight="1" s="1666"/>
    <row r="435" ht="15.75" customHeight="1" s="1666"/>
    <row r="436" ht="15.75" customHeight="1" s="1666"/>
    <row r="437" ht="15.75" customHeight="1" s="1666"/>
    <row r="438" ht="15.75" customHeight="1" s="1666"/>
    <row r="439" ht="15.75" customHeight="1" s="1666"/>
    <row r="440" ht="15.75" customHeight="1" s="1666"/>
    <row r="441" ht="15.75" customHeight="1" s="1666"/>
    <row r="442" ht="15.75" customHeight="1" s="1666"/>
    <row r="443" ht="15.75" customHeight="1" s="1666"/>
    <row r="444" ht="15.75" customHeight="1" s="1666"/>
    <row r="445" ht="15.75" customHeight="1" s="1666"/>
    <row r="446" ht="15.75" customHeight="1" s="1666"/>
    <row r="447" ht="15.75" customHeight="1" s="1666"/>
    <row r="448" ht="15.75" customHeight="1" s="1666"/>
    <row r="449" ht="15.75" customHeight="1" s="1666"/>
    <row r="450" ht="15.75" customHeight="1" s="1666"/>
    <row r="451" ht="15.75" customHeight="1" s="1666"/>
    <row r="452" ht="15.75" customHeight="1" s="1666"/>
    <row r="453" ht="15.75" customHeight="1" s="1666"/>
    <row r="454" ht="15.75" customHeight="1" s="1666"/>
    <row r="455" ht="15.75" customHeight="1" s="1666"/>
    <row r="456" ht="15.75" customHeight="1" s="1666"/>
    <row r="457" ht="15.75" customHeight="1" s="1666"/>
    <row r="458" ht="15.75" customHeight="1" s="1666"/>
    <row r="459" ht="15.75" customHeight="1" s="1666"/>
    <row r="460" ht="15.75" customHeight="1" s="1666"/>
    <row r="461" ht="15.75" customHeight="1" s="1666"/>
    <row r="462" ht="15.75" customHeight="1" s="1666"/>
    <row r="463" ht="15.75" customHeight="1" s="1666"/>
    <row r="464" ht="15.75" customHeight="1" s="1666"/>
    <row r="465" ht="15.75" customHeight="1" s="1666"/>
    <row r="466" ht="15.75" customHeight="1" s="1666"/>
    <row r="467" ht="15.75" customHeight="1" s="1666"/>
    <row r="468" ht="15.75" customHeight="1" s="1666"/>
    <row r="469" ht="15.75" customHeight="1" s="1666"/>
    <row r="470" ht="15.75" customHeight="1" s="1666"/>
    <row r="471" ht="15.75" customHeight="1" s="1666"/>
    <row r="472" ht="15.75" customHeight="1" s="1666"/>
    <row r="473" ht="15.75" customHeight="1" s="1666"/>
    <row r="474" ht="15.75" customHeight="1" s="1666"/>
    <row r="475" ht="15.75" customHeight="1" s="1666"/>
    <row r="476" ht="15.75" customHeight="1" s="1666"/>
    <row r="477" ht="15.75" customHeight="1" s="1666"/>
    <row r="478" ht="15.75" customHeight="1" s="1666"/>
    <row r="479" ht="15.75" customHeight="1" s="1666"/>
    <row r="480" ht="15.75" customHeight="1" s="1666"/>
    <row r="481" ht="15.75" customHeight="1" s="1666"/>
    <row r="482" ht="15.75" customHeight="1" s="1666"/>
    <row r="483" ht="15.75" customHeight="1" s="1666"/>
    <row r="484" ht="15.75" customHeight="1" s="1666"/>
    <row r="485" ht="15.75" customHeight="1" s="1666"/>
    <row r="486" ht="15.75" customHeight="1" s="1666"/>
    <row r="487" ht="15.75" customHeight="1" s="1666"/>
    <row r="488" ht="15.75" customHeight="1" s="1666"/>
    <row r="489" ht="15.75" customHeight="1" s="1666"/>
    <row r="490" ht="15.75" customHeight="1" s="1666"/>
    <row r="491" ht="15.75" customHeight="1" s="1666"/>
    <row r="492" ht="15.75" customHeight="1" s="1666"/>
    <row r="493" ht="15.75" customHeight="1" s="1666"/>
    <row r="494" ht="15.75" customHeight="1" s="1666"/>
    <row r="495" ht="15.75" customHeight="1" s="1666"/>
    <row r="496" ht="15.75" customHeight="1" s="1666"/>
    <row r="497" ht="15.75" customHeight="1" s="1666"/>
    <row r="498" ht="15.75" customHeight="1" s="1666"/>
    <row r="499" ht="15.75" customHeight="1" s="1666"/>
    <row r="500" ht="15.75" customHeight="1" s="1666"/>
    <row r="501" ht="15.75" customHeight="1" s="1666"/>
    <row r="502" ht="15.75" customHeight="1" s="1666"/>
    <row r="503" ht="15.75" customHeight="1" s="1666"/>
    <row r="504" ht="15.75" customHeight="1" s="1666"/>
    <row r="505" ht="15.75" customHeight="1" s="1666"/>
    <row r="506" ht="15.75" customHeight="1" s="1666"/>
    <row r="507" ht="15.75" customHeight="1" s="1666"/>
    <row r="508" ht="15.75" customHeight="1" s="1666"/>
    <row r="509" ht="15.75" customHeight="1" s="1666"/>
    <row r="510" ht="15.75" customHeight="1" s="1666"/>
    <row r="511" ht="15.75" customHeight="1" s="1666"/>
    <row r="512" ht="15.75" customHeight="1" s="1666"/>
    <row r="513" ht="15.75" customHeight="1" s="1666"/>
    <row r="514" ht="15.75" customHeight="1" s="1666"/>
    <row r="515" ht="15.75" customHeight="1" s="1666"/>
    <row r="516" ht="15.75" customHeight="1" s="1666"/>
    <row r="517" ht="15.75" customHeight="1" s="1666"/>
    <row r="518" ht="15.75" customHeight="1" s="1666"/>
    <row r="519" ht="15.75" customHeight="1" s="1666"/>
    <row r="520" ht="15.75" customHeight="1" s="1666"/>
    <row r="521" ht="15.75" customHeight="1" s="1666"/>
    <row r="522" ht="15.75" customHeight="1" s="1666"/>
    <row r="523" ht="15.75" customHeight="1" s="1666"/>
    <row r="524" ht="15.75" customHeight="1" s="1666"/>
    <row r="525" ht="15.75" customHeight="1" s="1666"/>
    <row r="526" ht="15.75" customHeight="1" s="1666"/>
    <row r="527" ht="15.75" customHeight="1" s="1666"/>
    <row r="528" ht="15.75" customHeight="1" s="1666"/>
    <row r="529" ht="15.75" customHeight="1" s="1666"/>
    <row r="530" ht="15.75" customHeight="1" s="1666"/>
    <row r="531" ht="15.75" customHeight="1" s="1666"/>
    <row r="532" ht="15.75" customHeight="1" s="1666"/>
    <row r="533" ht="15.75" customHeight="1" s="1666"/>
    <row r="534" ht="15.75" customHeight="1" s="1666"/>
    <row r="535" ht="15.75" customHeight="1" s="1666"/>
    <row r="536" ht="15.75" customHeight="1" s="1666"/>
    <row r="537" ht="15.75" customHeight="1" s="1666"/>
    <row r="538" ht="15.75" customHeight="1" s="1666"/>
    <row r="539" ht="15.75" customHeight="1" s="1666"/>
    <row r="540" ht="15.75" customHeight="1" s="1666"/>
    <row r="541" ht="15.75" customHeight="1" s="1666"/>
    <row r="542" ht="15.75" customHeight="1" s="1666"/>
    <row r="543" ht="15.75" customHeight="1" s="1666"/>
    <row r="544" ht="15.75" customHeight="1" s="1666"/>
    <row r="545" ht="15.75" customHeight="1" s="1666"/>
    <row r="546" ht="15.75" customHeight="1" s="1666"/>
    <row r="547" ht="15.75" customHeight="1" s="1666"/>
    <row r="548" ht="15.75" customHeight="1" s="1666"/>
    <row r="549" ht="15.75" customHeight="1" s="1666"/>
    <row r="550" ht="15.75" customHeight="1" s="1666"/>
    <row r="551" ht="15.75" customHeight="1" s="1666"/>
    <row r="552" ht="15.75" customHeight="1" s="1666"/>
    <row r="553" ht="15.75" customHeight="1" s="1666"/>
    <row r="554" ht="15.75" customHeight="1" s="1666"/>
    <row r="555" ht="15.75" customHeight="1" s="1666"/>
    <row r="556" ht="15.75" customHeight="1" s="1666"/>
    <row r="557" ht="15.75" customHeight="1" s="1666"/>
    <row r="558" ht="15.75" customHeight="1" s="1666"/>
    <row r="559" ht="15.75" customHeight="1" s="1666"/>
    <row r="560" ht="15.75" customHeight="1" s="1666"/>
    <row r="561" ht="15.75" customHeight="1" s="1666"/>
    <row r="562" ht="15.75" customHeight="1" s="1666"/>
    <row r="563" ht="15.75" customHeight="1" s="1666"/>
    <row r="564" ht="15.75" customHeight="1" s="1666"/>
    <row r="565" ht="15.75" customHeight="1" s="1666"/>
    <row r="566" ht="15.75" customHeight="1" s="1666"/>
    <row r="567" ht="15.75" customHeight="1" s="1666"/>
    <row r="568" ht="15.75" customHeight="1" s="1666"/>
    <row r="569" ht="15.75" customHeight="1" s="1666"/>
    <row r="570" ht="15.75" customHeight="1" s="1666"/>
    <row r="571" ht="15.75" customHeight="1" s="1666"/>
    <row r="572" ht="15.75" customHeight="1" s="1666"/>
    <row r="573" ht="15.75" customHeight="1" s="1666"/>
    <row r="574" ht="15.75" customHeight="1" s="1666"/>
    <row r="575" ht="15.75" customHeight="1" s="1666"/>
    <row r="576" ht="15.75" customHeight="1" s="1666"/>
    <row r="577" ht="15.75" customHeight="1" s="1666"/>
    <row r="578" ht="15.75" customHeight="1" s="1666"/>
    <row r="579" ht="15.75" customHeight="1" s="1666"/>
    <row r="580" ht="15.75" customHeight="1" s="1666"/>
    <row r="581" ht="15.75" customHeight="1" s="1666"/>
    <row r="582" ht="15.75" customHeight="1" s="1666"/>
    <row r="583" ht="15.75" customHeight="1" s="1666"/>
    <row r="584" ht="15.75" customHeight="1" s="1666"/>
    <row r="585" ht="15.75" customHeight="1" s="1666"/>
    <row r="586" ht="15.75" customHeight="1" s="1666"/>
    <row r="587" ht="15.75" customHeight="1" s="1666"/>
    <row r="588" ht="15.75" customHeight="1" s="1666"/>
    <row r="589" ht="15.75" customHeight="1" s="1666"/>
    <row r="590" ht="15.75" customHeight="1" s="1666"/>
    <row r="591" ht="15.75" customHeight="1" s="1666"/>
    <row r="592" ht="15.75" customHeight="1" s="1666"/>
    <row r="593" ht="15.75" customHeight="1" s="1666"/>
    <row r="594" ht="15.75" customHeight="1" s="1666"/>
    <row r="595" ht="15.75" customHeight="1" s="1666"/>
    <row r="596" ht="15.75" customHeight="1" s="1666"/>
    <row r="597" ht="15.75" customHeight="1" s="1666"/>
    <row r="598" ht="15.75" customHeight="1" s="1666"/>
    <row r="599" ht="15.75" customHeight="1" s="1666"/>
    <row r="600" ht="15.75" customHeight="1" s="1666"/>
    <row r="601" ht="15.75" customHeight="1" s="1666"/>
    <row r="602" ht="15.75" customHeight="1" s="1666"/>
    <row r="603" ht="15.75" customHeight="1" s="1666"/>
    <row r="604" ht="15.75" customHeight="1" s="1666"/>
    <row r="605" ht="15.75" customHeight="1" s="1666"/>
    <row r="606" ht="15.75" customHeight="1" s="1666"/>
    <row r="607" ht="15.75" customHeight="1" s="1666"/>
    <row r="608" ht="15.75" customHeight="1" s="1666"/>
    <row r="609" ht="15.75" customHeight="1" s="1666"/>
    <row r="610" ht="15.75" customHeight="1" s="1666"/>
    <row r="611" ht="15.75" customHeight="1" s="1666"/>
    <row r="612" ht="15.75" customHeight="1" s="1666"/>
    <row r="613" ht="15.75" customHeight="1" s="1666"/>
    <row r="614" ht="15.75" customHeight="1" s="1666"/>
    <row r="615" ht="15.75" customHeight="1" s="1666"/>
    <row r="616" ht="15.75" customHeight="1" s="1666"/>
    <row r="617" ht="15.75" customHeight="1" s="1666"/>
    <row r="618" ht="15.75" customHeight="1" s="1666"/>
    <row r="619" ht="15.75" customHeight="1" s="1666"/>
    <row r="620" ht="15.75" customHeight="1" s="1666"/>
    <row r="621" ht="15.75" customHeight="1" s="1666"/>
    <row r="622" ht="15.75" customHeight="1" s="1666"/>
    <row r="623" ht="15.75" customHeight="1" s="1666"/>
    <row r="624" ht="15.75" customHeight="1" s="1666"/>
    <row r="625" ht="15.75" customHeight="1" s="1666"/>
    <row r="626" ht="15.75" customHeight="1" s="1666"/>
    <row r="627" ht="15.75" customHeight="1" s="1666"/>
    <row r="628" ht="15.75" customHeight="1" s="1666"/>
    <row r="629" ht="15.75" customHeight="1" s="1666"/>
    <row r="630" ht="15.75" customHeight="1" s="1666"/>
    <row r="631" ht="15.75" customHeight="1" s="1666"/>
    <row r="632" ht="15.75" customHeight="1" s="1666"/>
    <row r="633" ht="15.75" customHeight="1" s="1666"/>
    <row r="634" ht="15.75" customHeight="1" s="1666"/>
    <row r="635" ht="15.75" customHeight="1" s="1666"/>
    <row r="636" ht="15.75" customHeight="1" s="1666"/>
    <row r="637" ht="15.75" customHeight="1" s="1666"/>
    <row r="638" ht="15.75" customHeight="1" s="1666"/>
    <row r="639" ht="15.75" customHeight="1" s="1666"/>
    <row r="640" ht="15.75" customHeight="1" s="1666"/>
    <row r="641" ht="15.75" customHeight="1" s="1666"/>
    <row r="642" ht="15.75" customHeight="1" s="1666"/>
    <row r="643" ht="15.75" customHeight="1" s="1666"/>
    <row r="644" ht="15.75" customHeight="1" s="1666"/>
    <row r="645" ht="15.75" customHeight="1" s="1666"/>
    <row r="646" ht="15.75" customHeight="1" s="1666"/>
    <row r="647" ht="15.75" customHeight="1" s="1666"/>
    <row r="648" ht="15.75" customHeight="1" s="1666"/>
    <row r="649" ht="15.75" customHeight="1" s="1666"/>
    <row r="650" ht="15.75" customHeight="1" s="1666"/>
    <row r="651" ht="15.75" customHeight="1" s="1666"/>
    <row r="652" ht="15.75" customHeight="1" s="1666"/>
    <row r="653" ht="15.75" customHeight="1" s="1666"/>
    <row r="654" ht="15.75" customHeight="1" s="1666"/>
    <row r="655" ht="15.75" customHeight="1" s="1666"/>
    <row r="656" ht="15.75" customHeight="1" s="1666"/>
    <row r="657" ht="15.75" customHeight="1" s="1666"/>
    <row r="658" ht="15.75" customHeight="1" s="1666"/>
    <row r="659" ht="15.75" customHeight="1" s="1666"/>
    <row r="660" ht="15.75" customHeight="1" s="1666"/>
    <row r="661" ht="15.75" customHeight="1" s="1666"/>
    <row r="662" ht="15.75" customHeight="1" s="1666"/>
    <row r="663" ht="15.75" customHeight="1" s="1666"/>
    <row r="664" ht="15.75" customHeight="1" s="1666"/>
    <row r="665" ht="15.75" customHeight="1" s="1666"/>
    <row r="666" ht="15.75" customHeight="1" s="1666"/>
    <row r="667" ht="15.75" customHeight="1" s="1666"/>
    <row r="668" ht="15.75" customHeight="1" s="1666"/>
    <row r="669" ht="15.75" customHeight="1" s="1666"/>
    <row r="670" ht="15.75" customHeight="1" s="1666"/>
    <row r="671" ht="15.75" customHeight="1" s="1666"/>
    <row r="672" ht="15.75" customHeight="1" s="1666"/>
    <row r="673" ht="15.75" customHeight="1" s="1666"/>
    <row r="674" ht="15.75" customHeight="1" s="1666"/>
    <row r="675" ht="15.75" customHeight="1" s="1666"/>
    <row r="676" ht="15.75" customHeight="1" s="1666"/>
    <row r="677" ht="15.75" customHeight="1" s="1666"/>
    <row r="678" ht="15.75" customHeight="1" s="1666"/>
    <row r="679" ht="15.75" customHeight="1" s="1666"/>
    <row r="680" ht="15.75" customHeight="1" s="1666"/>
    <row r="681" ht="15.75" customHeight="1" s="1666"/>
    <row r="682" ht="15.75" customHeight="1" s="1666"/>
    <row r="683" ht="15.75" customHeight="1" s="1666"/>
    <row r="684" ht="15.75" customHeight="1" s="1666"/>
    <row r="685" ht="15.75" customHeight="1" s="1666"/>
    <row r="686" ht="15.75" customHeight="1" s="1666"/>
    <row r="687" ht="15.75" customHeight="1" s="1666"/>
    <row r="688" ht="15.75" customHeight="1" s="1666"/>
    <row r="689" ht="15.75" customHeight="1" s="1666"/>
    <row r="690" ht="15.75" customHeight="1" s="1666"/>
    <row r="691" ht="15.75" customHeight="1" s="1666"/>
    <row r="692" ht="15.75" customHeight="1" s="1666"/>
    <row r="693" ht="15.75" customHeight="1" s="1666"/>
    <row r="694" ht="15.75" customHeight="1" s="1666"/>
    <row r="695" ht="15.75" customHeight="1" s="1666"/>
    <row r="696" ht="15.75" customHeight="1" s="1666"/>
    <row r="697" ht="15.75" customHeight="1" s="1666"/>
    <row r="698" ht="15.75" customHeight="1" s="1666"/>
    <row r="699" ht="15.75" customHeight="1" s="1666"/>
    <row r="700" ht="15.75" customHeight="1" s="1666"/>
    <row r="701" ht="15.75" customHeight="1" s="1666"/>
    <row r="702" ht="15.75" customHeight="1" s="1666"/>
    <row r="703" ht="15.75" customHeight="1" s="1666"/>
    <row r="704" ht="15.75" customHeight="1" s="1666"/>
    <row r="705" ht="15.75" customHeight="1" s="1666"/>
    <row r="706" ht="15.75" customHeight="1" s="1666"/>
    <row r="707" ht="15.75" customHeight="1" s="1666"/>
    <row r="708" ht="15.75" customHeight="1" s="1666"/>
    <row r="709" ht="15.75" customHeight="1" s="1666"/>
    <row r="710" ht="15.75" customHeight="1" s="1666"/>
    <row r="711" ht="15.75" customHeight="1" s="1666"/>
    <row r="712" ht="15.75" customHeight="1" s="1666"/>
    <row r="713" ht="15.75" customHeight="1" s="1666"/>
    <row r="714" ht="15.75" customHeight="1" s="1666"/>
    <row r="715" ht="15.75" customHeight="1" s="1666"/>
    <row r="716" ht="15.75" customHeight="1" s="1666"/>
    <row r="717" ht="15.75" customHeight="1" s="1666"/>
    <row r="718" ht="15.75" customHeight="1" s="1666"/>
    <row r="719" ht="15.75" customHeight="1" s="1666"/>
    <row r="720" ht="15.75" customHeight="1" s="1666"/>
    <row r="721" ht="15.75" customHeight="1" s="1666"/>
    <row r="722" ht="15.75" customHeight="1" s="1666"/>
    <row r="723" ht="15.75" customHeight="1" s="1666"/>
    <row r="724" ht="15.75" customHeight="1" s="1666"/>
    <row r="725" ht="15.75" customHeight="1" s="1666"/>
    <row r="726" ht="15.75" customHeight="1" s="1666"/>
    <row r="727" ht="15.75" customHeight="1" s="1666"/>
    <row r="728" ht="15.75" customHeight="1" s="1666"/>
    <row r="729" ht="15.75" customHeight="1" s="1666"/>
    <row r="730" ht="15.75" customHeight="1" s="1666"/>
    <row r="731" ht="15.75" customHeight="1" s="1666"/>
    <row r="732" ht="15.75" customHeight="1" s="1666"/>
    <row r="733" ht="15.75" customHeight="1" s="1666"/>
    <row r="734" ht="15.75" customHeight="1" s="1666"/>
    <row r="735" ht="15.75" customHeight="1" s="1666"/>
    <row r="736" ht="15.75" customHeight="1" s="1666"/>
    <row r="737" ht="15.75" customHeight="1" s="1666"/>
    <row r="738" ht="15.75" customHeight="1" s="1666"/>
    <row r="739" ht="15.75" customHeight="1" s="1666"/>
    <row r="740" ht="15.75" customHeight="1" s="1666"/>
    <row r="741" ht="15.75" customHeight="1" s="1666"/>
    <row r="742" ht="15.75" customHeight="1" s="1666"/>
    <row r="743" ht="15.75" customHeight="1" s="1666"/>
    <row r="744" ht="15.75" customHeight="1" s="1666"/>
    <row r="745" ht="15.75" customHeight="1" s="1666"/>
    <row r="746" ht="15.75" customHeight="1" s="1666"/>
    <row r="747" ht="15.75" customHeight="1" s="1666"/>
    <row r="748" ht="15.75" customHeight="1" s="1666"/>
    <row r="749" ht="15.75" customHeight="1" s="1666"/>
    <row r="750" ht="15.75" customHeight="1" s="1666"/>
    <row r="751" ht="15.75" customHeight="1" s="1666"/>
    <row r="752" ht="15.75" customHeight="1" s="1666"/>
    <row r="753" ht="15.75" customHeight="1" s="1666"/>
    <row r="754" ht="15.75" customHeight="1" s="1666"/>
    <row r="755" ht="15.75" customHeight="1" s="1666"/>
    <row r="756" ht="15.75" customHeight="1" s="1666"/>
    <row r="757" ht="15.75" customHeight="1" s="1666"/>
    <row r="758" ht="15.75" customHeight="1" s="1666"/>
    <row r="759" ht="15.75" customHeight="1" s="1666"/>
    <row r="760" ht="15.75" customHeight="1" s="1666"/>
    <row r="761" ht="15.75" customHeight="1" s="1666"/>
    <row r="762" ht="15.75" customHeight="1" s="1666"/>
    <row r="763" ht="15.75" customHeight="1" s="1666"/>
    <row r="764" ht="15.75" customHeight="1" s="1666"/>
    <row r="765" ht="15.75" customHeight="1" s="1666"/>
    <row r="766" ht="15.75" customHeight="1" s="1666"/>
    <row r="767" ht="15.75" customHeight="1" s="1666"/>
    <row r="768" ht="15.75" customHeight="1" s="1666"/>
    <row r="769" ht="15.75" customHeight="1" s="1666"/>
    <row r="770" ht="15.75" customHeight="1" s="1666"/>
    <row r="771" ht="15.75" customHeight="1" s="1666"/>
    <row r="772" ht="15.75" customHeight="1" s="1666"/>
    <row r="773" ht="15.75" customHeight="1" s="1666"/>
    <row r="774" ht="15.75" customHeight="1" s="1666"/>
    <row r="775" ht="15.75" customHeight="1" s="1666"/>
    <row r="776" ht="15.75" customHeight="1" s="1666"/>
    <row r="777" ht="15.75" customHeight="1" s="1666"/>
    <row r="778" ht="15.75" customHeight="1" s="1666"/>
    <row r="779" ht="15.75" customHeight="1" s="1666"/>
    <row r="780" ht="15.75" customHeight="1" s="1666"/>
    <row r="781" ht="15.75" customHeight="1" s="1666"/>
    <row r="782" ht="15.75" customHeight="1" s="1666"/>
    <row r="783" ht="15.75" customHeight="1" s="1666"/>
    <row r="784" ht="15.75" customHeight="1" s="1666"/>
    <row r="785" ht="15.75" customHeight="1" s="1666"/>
    <row r="786" ht="15.75" customHeight="1" s="1666"/>
    <row r="787" ht="15.75" customHeight="1" s="1666"/>
    <row r="788" ht="15.75" customHeight="1" s="1666"/>
    <row r="789" ht="15.75" customHeight="1" s="1666"/>
    <row r="790" ht="15.75" customHeight="1" s="1666"/>
    <row r="791" ht="15.75" customHeight="1" s="1666"/>
    <row r="792" ht="15.75" customHeight="1" s="1666"/>
    <row r="793" ht="15.75" customHeight="1" s="1666"/>
    <row r="794" ht="15.75" customHeight="1" s="1666"/>
    <row r="795" ht="15.75" customHeight="1" s="1666"/>
    <row r="796" ht="15.75" customHeight="1" s="1666"/>
    <row r="797" ht="15.75" customHeight="1" s="1666"/>
    <row r="798" ht="15.75" customHeight="1" s="1666"/>
    <row r="799" ht="15.75" customHeight="1" s="1666"/>
    <row r="800" ht="15.75" customHeight="1" s="1666"/>
    <row r="801" ht="15.75" customHeight="1" s="1666"/>
    <row r="802" ht="15.75" customHeight="1" s="1666"/>
    <row r="803" ht="15.75" customHeight="1" s="1666"/>
    <row r="804" ht="15.75" customHeight="1" s="1666"/>
    <row r="805" ht="15.75" customHeight="1" s="1666"/>
    <row r="806" ht="15.75" customHeight="1" s="1666"/>
    <row r="807" ht="15.75" customHeight="1" s="1666"/>
    <row r="808" ht="15.75" customHeight="1" s="1666"/>
    <row r="809" ht="15.75" customHeight="1" s="1666"/>
    <row r="810" ht="15.75" customHeight="1" s="1666"/>
    <row r="811" ht="15.75" customHeight="1" s="1666"/>
    <row r="812" ht="15.75" customHeight="1" s="1666"/>
    <row r="813" ht="15.75" customHeight="1" s="1666"/>
    <row r="814" ht="15.75" customHeight="1" s="1666"/>
    <row r="815" ht="15.75" customHeight="1" s="1666"/>
    <row r="816" ht="15.75" customHeight="1" s="1666"/>
    <row r="817" ht="15.75" customHeight="1" s="1666"/>
    <row r="818" ht="15.75" customHeight="1" s="1666"/>
    <row r="819" ht="15.75" customHeight="1" s="1666"/>
    <row r="820" ht="15.75" customHeight="1" s="1666"/>
    <row r="821" ht="15.75" customHeight="1" s="1666"/>
    <row r="822" ht="15.75" customHeight="1" s="1666"/>
    <row r="823" ht="15.75" customHeight="1" s="1666"/>
    <row r="824" ht="15.75" customHeight="1" s="1666"/>
    <row r="825" ht="15.75" customHeight="1" s="1666"/>
    <row r="826" ht="15.75" customHeight="1" s="1666"/>
    <row r="827" ht="15.75" customHeight="1" s="1666"/>
    <row r="828" ht="15.75" customHeight="1" s="1666"/>
    <row r="829" ht="15.75" customHeight="1" s="1666"/>
    <row r="830" ht="15.75" customHeight="1" s="1666"/>
    <row r="831" ht="15.75" customHeight="1" s="1666"/>
    <row r="832" ht="15.75" customHeight="1" s="1666"/>
    <row r="833" ht="15.75" customHeight="1" s="1666"/>
    <row r="834" ht="15.75" customHeight="1" s="1666"/>
    <row r="835" ht="15.75" customHeight="1" s="1666"/>
    <row r="836" ht="15.75" customHeight="1" s="1666"/>
    <row r="837" ht="15.75" customHeight="1" s="1666"/>
    <row r="838" ht="15.75" customHeight="1" s="1666"/>
    <row r="839" ht="15.75" customHeight="1" s="1666"/>
    <row r="840" ht="15.75" customHeight="1" s="1666"/>
    <row r="841" ht="15.75" customHeight="1" s="1666"/>
    <row r="842" ht="15.75" customHeight="1" s="1666"/>
    <row r="843" ht="15.75" customHeight="1" s="1666"/>
    <row r="844" ht="15.75" customHeight="1" s="1666"/>
    <row r="845" ht="15.75" customHeight="1" s="1666"/>
    <row r="846" ht="15.75" customHeight="1" s="1666"/>
    <row r="847" ht="15.75" customHeight="1" s="1666"/>
    <row r="848" ht="15.75" customHeight="1" s="1666"/>
    <row r="849" ht="15.75" customHeight="1" s="1666"/>
    <row r="850" ht="15.75" customHeight="1" s="1666"/>
    <row r="851" ht="15.75" customHeight="1" s="1666"/>
    <row r="852" ht="15.75" customHeight="1" s="1666"/>
    <row r="853" ht="15.75" customHeight="1" s="1666"/>
    <row r="854" ht="15.75" customHeight="1" s="1666"/>
    <row r="855" ht="15.75" customHeight="1" s="1666"/>
    <row r="856" ht="15.75" customHeight="1" s="1666"/>
    <row r="857" ht="15.75" customHeight="1" s="1666"/>
    <row r="858" ht="15.75" customHeight="1" s="1666"/>
    <row r="859" ht="15.75" customHeight="1" s="1666"/>
    <row r="860" ht="15.75" customHeight="1" s="1666"/>
    <row r="861" ht="15.75" customHeight="1" s="1666"/>
    <row r="862" ht="15.75" customHeight="1" s="1666"/>
    <row r="863" ht="15.75" customHeight="1" s="1666"/>
    <row r="864" ht="15.75" customHeight="1" s="1666"/>
    <row r="865" ht="15.75" customHeight="1" s="1666"/>
    <row r="866" ht="15.75" customHeight="1" s="1666"/>
    <row r="867" ht="15.75" customHeight="1" s="1666"/>
    <row r="868" ht="15.75" customHeight="1" s="1666"/>
    <row r="869" ht="15.75" customHeight="1" s="1666"/>
    <row r="870" ht="15.75" customHeight="1" s="1666"/>
    <row r="871" ht="15.75" customHeight="1" s="1666"/>
    <row r="872" ht="15.75" customHeight="1" s="1666"/>
    <row r="873" ht="15.75" customHeight="1" s="1666"/>
    <row r="874" ht="15.75" customHeight="1" s="1666"/>
    <row r="875" ht="15.75" customHeight="1" s="1666"/>
    <row r="876" ht="15.75" customHeight="1" s="1666"/>
    <row r="877" ht="15.75" customHeight="1" s="1666"/>
    <row r="878" ht="15.75" customHeight="1" s="1666"/>
    <row r="879" ht="15.75" customHeight="1" s="1666"/>
    <row r="880" ht="15.75" customHeight="1" s="1666"/>
    <row r="881" ht="15.75" customHeight="1" s="1666"/>
    <row r="882" ht="15.75" customHeight="1" s="1666"/>
    <row r="883" ht="15.75" customHeight="1" s="1666"/>
    <row r="884" ht="15.75" customHeight="1" s="1666"/>
    <row r="885" ht="15.75" customHeight="1" s="1666"/>
    <row r="886" ht="15.75" customHeight="1" s="1666"/>
    <row r="887" ht="15.75" customHeight="1" s="1666"/>
    <row r="888" ht="15.75" customHeight="1" s="1666"/>
    <row r="889" ht="15.75" customHeight="1" s="1666"/>
    <row r="890" ht="15.75" customHeight="1" s="1666"/>
    <row r="891" ht="15.75" customHeight="1" s="1666"/>
    <row r="892" ht="15.75" customHeight="1" s="1666"/>
    <row r="893" ht="15.75" customHeight="1" s="1666"/>
    <row r="894" ht="15.75" customHeight="1" s="1666"/>
    <row r="895" ht="15.75" customHeight="1" s="1666"/>
    <row r="896" ht="15.75" customHeight="1" s="1666"/>
    <row r="897" ht="15.75" customHeight="1" s="1666"/>
    <row r="898" ht="15.75" customHeight="1" s="1666"/>
    <row r="899" ht="15.75" customHeight="1" s="1666"/>
    <row r="900" ht="15.75" customHeight="1" s="1666"/>
    <row r="901" ht="15.75" customHeight="1" s="1666"/>
    <row r="902" ht="15.75" customHeight="1" s="1666"/>
    <row r="903" ht="15.75" customHeight="1" s="1666"/>
    <row r="904" ht="15.75" customHeight="1" s="1666"/>
    <row r="905" ht="15.75" customHeight="1" s="1666"/>
    <row r="906" ht="15.75" customHeight="1" s="1666"/>
    <row r="907" ht="15.75" customHeight="1" s="1666"/>
    <row r="908" ht="15.75" customHeight="1" s="1666"/>
    <row r="909" ht="15.75" customHeight="1" s="1666"/>
    <row r="910" ht="15.75" customHeight="1" s="1666"/>
    <row r="911" ht="15.75" customHeight="1" s="1666"/>
    <row r="912" ht="15.75" customHeight="1" s="1666"/>
    <row r="913" ht="15.75" customHeight="1" s="1666"/>
    <row r="914" ht="15.75" customHeight="1" s="1666"/>
    <row r="915" ht="15.75" customHeight="1" s="1666"/>
    <row r="916" ht="15.75" customHeight="1" s="1666"/>
    <row r="917" ht="15.75" customHeight="1" s="1666"/>
    <row r="918" ht="15.75" customHeight="1" s="1666"/>
    <row r="919" ht="15.75" customHeight="1" s="1666"/>
    <row r="920" ht="15.75" customHeight="1" s="1666"/>
    <row r="921" ht="15.75" customHeight="1" s="1666"/>
    <row r="922" ht="15.75" customHeight="1" s="1666"/>
    <row r="923" ht="15.75" customHeight="1" s="1666"/>
    <row r="924" ht="15.75" customHeight="1" s="1666"/>
    <row r="925" ht="15.75" customHeight="1" s="1666"/>
    <row r="926" ht="15.75" customHeight="1" s="1666"/>
    <row r="927" ht="15.75" customHeight="1" s="1666"/>
    <row r="928" ht="15.75" customHeight="1" s="1666"/>
    <row r="929" ht="15.75" customHeight="1" s="1666"/>
    <row r="930" ht="15.75" customHeight="1" s="1666"/>
    <row r="931" ht="15.75" customHeight="1" s="1666"/>
    <row r="932" ht="15.75" customHeight="1" s="1666"/>
    <row r="933" ht="15.75" customHeight="1" s="1666"/>
    <row r="934" ht="15.75" customHeight="1" s="1666"/>
    <row r="935" ht="15.75" customHeight="1" s="1666"/>
    <row r="936" ht="15.75" customHeight="1" s="1666"/>
    <row r="937" ht="15.75" customHeight="1" s="1666"/>
    <row r="938" ht="15.75" customHeight="1" s="1666"/>
    <row r="939" ht="15.75" customHeight="1" s="1666"/>
    <row r="940" ht="15.75" customHeight="1" s="1666"/>
    <row r="941" ht="15.75" customHeight="1" s="1666"/>
    <row r="942" ht="15.75" customHeight="1" s="1666"/>
    <row r="943" ht="15.75" customHeight="1" s="1666"/>
    <row r="944" ht="15.75" customHeight="1" s="1666"/>
    <row r="945" ht="15.75" customHeight="1" s="1666"/>
    <row r="946" ht="15.75" customHeight="1" s="1666"/>
    <row r="947" ht="15.75" customHeight="1" s="1666"/>
    <row r="948" ht="15.75" customHeight="1" s="1666"/>
    <row r="949" ht="15.75" customHeight="1" s="1666"/>
    <row r="950" ht="15.75" customHeight="1" s="1666"/>
    <row r="951" ht="15.75" customHeight="1" s="1666"/>
    <row r="952" ht="15.75" customHeight="1" s="1666"/>
    <row r="953" ht="15.75" customHeight="1" s="1666"/>
    <row r="954" ht="15.75" customHeight="1" s="1666"/>
    <row r="955" ht="15.75" customHeight="1" s="1666"/>
    <row r="956" ht="15.75" customHeight="1" s="1666"/>
    <row r="957" ht="15.75" customHeight="1" s="1666"/>
    <row r="958" ht="15.75" customHeight="1" s="1666"/>
    <row r="959" ht="15.75" customHeight="1" s="1666"/>
    <row r="960" ht="15.75" customHeight="1" s="1666"/>
    <row r="961" ht="15.75" customHeight="1" s="1666"/>
    <row r="962" ht="15.75" customHeight="1" s="1666"/>
    <row r="963" ht="15.75" customHeight="1" s="1666"/>
    <row r="964" ht="15.75" customHeight="1" s="1666"/>
    <row r="965" ht="15.75" customHeight="1" s="1666"/>
    <row r="966" ht="15.75" customHeight="1" s="1666"/>
    <row r="967" ht="15.75" customHeight="1" s="1666"/>
    <row r="968" ht="15.75" customHeight="1" s="1666"/>
    <row r="969" ht="15.75" customHeight="1" s="1666"/>
    <row r="970" ht="15.75" customHeight="1" s="1666"/>
    <row r="971" ht="15.75" customHeight="1" s="1666"/>
    <row r="972" ht="15.75" customHeight="1" s="1666"/>
    <row r="973" ht="15.75" customHeight="1" s="1666"/>
    <row r="974" ht="15.75" customHeight="1" s="1666"/>
    <row r="975" ht="15.75" customHeight="1" s="1666"/>
    <row r="976" ht="15.75" customHeight="1" s="1666"/>
    <row r="977" ht="15.75" customHeight="1" s="1666"/>
    <row r="978" ht="15.75" customHeight="1" s="1666"/>
    <row r="979" ht="15.75" customHeight="1" s="1666"/>
    <row r="980" ht="15.75" customHeight="1" s="1666"/>
    <row r="981" ht="15.75" customHeight="1" s="1666"/>
    <row r="982" ht="15.75" customHeight="1" s="1666"/>
    <row r="983" ht="15.75" customHeight="1" s="1666"/>
    <row r="984" ht="15.75" customHeight="1" s="1666"/>
    <row r="985" ht="15.75" customHeight="1" s="1666"/>
    <row r="986" ht="15.75" customHeight="1" s="1666"/>
    <row r="987" ht="15.75" customHeight="1" s="1666"/>
    <row r="988" ht="15.75" customHeight="1" s="1666"/>
    <row r="989" ht="15.75" customHeight="1" s="1666"/>
    <row r="990" ht="15.75" customHeight="1" s="1666"/>
    <row r="991" ht="15.75" customHeight="1" s="1666"/>
    <row r="992" ht="15.75" customHeight="1" s="1666"/>
    <row r="993" ht="15.75" customHeight="1" s="1666"/>
    <row r="994" ht="15.75" customHeight="1" s="1666"/>
    <row r="995" ht="15.75" customHeight="1" s="1666"/>
    <row r="996" ht="15.75" customHeight="1" s="1666"/>
    <row r="997" ht="15.75" customHeight="1" s="1666"/>
    <row r="998" ht="15.75" customHeight="1" s="1666"/>
    <row r="999" ht="15.75" customHeight="1" s="1666"/>
    <row r="1000" ht="15.75" customHeight="1" s="1666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P2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665" min="1" max="1"/>
    <col width="12" customWidth="1" style="1665" min="2" max="2"/>
    <col width="16" customWidth="1" style="1665" min="3" max="3"/>
    <col width="12" customWidth="1" style="1665" min="4" max="4"/>
    <col width="16" customWidth="1" style="1665" min="5" max="5"/>
    <col width="12" customWidth="1" style="1665" min="6" max="6"/>
    <col width="16" customWidth="1" style="1665" min="7" max="7"/>
    <col width="12" customWidth="1" style="1665" min="8" max="8"/>
    <col width="16" customWidth="1" style="1665" min="9" max="9"/>
    <col width="12" customWidth="1" style="1665" min="10" max="10"/>
    <col width="16" customWidth="1" style="1665" min="11" max="11"/>
    <col width="12" customWidth="1" style="1665" min="12" max="12"/>
    <col width="10" customWidth="1" style="1665" min="13" max="13"/>
    <col width="13" customWidth="1" style="1665" min="14" max="14"/>
    <col width="15" customWidth="1" style="1665" min="15" max="16"/>
  </cols>
  <sheetData>
    <row r="1" ht="27.75" customHeight="1" s="1666">
      <c r="A1" s="3165" t="inlineStr">
        <is>
          <t>📚  INDICE 200 SOURCES FINANCIÈRES  ·  Style S&amp;P 500  ·  Portefeuille 2026  ·  Copilote Claude</t>
        </is>
      </c>
    </row>
    <row r="2" ht="18" customHeight="1" s="1666">
      <c r="A2" s="3166" t="inlineStr">
        <is>
          <t>🔄 Auto-ranking par score  ·  Entrées/Sorties selon fiabilité  ·  MAJ : 12/03/2026 — v2 (25 recalibrages CA: Globe &amp; Mail, Financial Post, Rational Reminder, Loonie Doctor +)  ·  S18</t>
        </is>
      </c>
    </row>
    <row r="3" ht="15.75" customHeight="1" s="1666">
      <c r="A3" s="3167" t="inlineStr">
        <is>
          <t xml:space="preserve">   AAA⭐⭐⭐ Score ≥97 · Source primaire absolue     |     AA⭐⭐ Score 93-96 · Source officielle fiable     |     A⭐ Score 85-92 · Source pro recommandée     |     B+ Score 75-84     |     B Score &lt;75</t>
        </is>
      </c>
    </row>
    <row r="4" ht="6" customHeight="1" s="1666"/>
    <row r="5" ht="31.5" customHeight="1" s="1666">
      <c r="A5" s="3168" t="inlineStr">
        <is>
          <t>RANG
DYN.</t>
        </is>
      </c>
      <c r="B5" s="3168" t="inlineStr">
        <is>
          <t>#
Orig.</t>
        </is>
      </c>
      <c r="C5" s="3168" t="inlineStr">
        <is>
          <t>NOM DE LA SOURCE</t>
        </is>
      </c>
      <c r="D5" s="3168" t="inlineStr">
        <is>
          <t>URL / LIEN</t>
        </is>
      </c>
      <c r="E5" s="3168" t="inlineStr">
        <is>
          <t>DOMAINE</t>
        </is>
      </c>
      <c r="F5" s="3168" t="inlineStr">
        <is>
          <t>TYPE</t>
        </is>
      </c>
      <c r="G5" s="3168" t="inlineStr">
        <is>
          <t>SCORE
/100</t>
        </is>
      </c>
      <c r="H5" s="3168" t="inlineStr">
        <is>
          <t>TIER
INDICE</t>
        </is>
      </c>
      <c r="I5" s="3168" t="inlineStr">
        <is>
          <t>ACCÈS</t>
        </is>
      </c>
      <c r="J5" s="3168" t="inlineStr">
        <is>
          <t>FRÉQ.
USAGE</t>
        </is>
      </c>
      <c r="K5" s="3168" t="inlineStr">
        <is>
          <t>DONNÉES CLÉS</t>
        </is>
      </c>
      <c r="L5" s="3168" t="inlineStr">
        <is>
          <t>UTILISATION PORTFOLIO</t>
        </is>
      </c>
      <c r="M5" s="3168" t="inlineStr">
        <is>
          <t>STATUT</t>
        </is>
      </c>
      <c r="N5" s="3168" t="inlineStr">
        <is>
          <t>DERNIÈRE
VALIDATION</t>
        </is>
      </c>
      <c r="O5" s="3168" t="inlineStr">
        <is>
          <t>NOTE
PERSO ✍️</t>
        </is>
      </c>
      <c r="P5" s="3168" t="inlineStr">
        <is>
          <t>VERDICT
J+30 📋</t>
        </is>
      </c>
    </row>
    <row r="6" ht="27.75" customHeight="1" s="1666">
      <c r="A6" s="3169" t="n">
        <v>1</v>
      </c>
      <c r="B6" s="3170" t="n">
        <v>1</v>
      </c>
      <c r="C6" s="3171" t="inlineStr">
        <is>
          <t>GOOGLEFINANCE (Google Sheets)</t>
        </is>
      </c>
      <c r="D6" s="3172" t="n"/>
      <c r="E6" s="3172" t="inlineStr">
        <is>
          <t>PRIX LIVE &amp; MARCHÉS</t>
        </is>
      </c>
      <c r="F6" s="3172" t="inlineStr">
        <is>
          <t>Live intégré</t>
        </is>
      </c>
      <c r="G6" s="3173" t="n">
        <v>99</v>
      </c>
      <c r="H6" s="3174" t="inlineStr">
        <is>
          <t>AAA ⭐⭐⭐</t>
        </is>
      </c>
      <c r="I6" s="3175" t="inlineStr">
        <is>
          <t>✅</t>
        </is>
      </c>
      <c r="J6" s="3176" t="inlineStr">
        <is>
          <t>Haute</t>
        </is>
      </c>
      <c r="K6" s="3172" t="inlineStr">
        <is>
          <t>Prix, vol, P/E, dividendes · TSX+US · 15min délai</t>
        </is>
      </c>
      <c r="L6" s="3176" t="inlineStr">
        <is>
          <t>Source principale 34 tickers · CONFIG!B3 USD/CAD</t>
        </is>
      </c>
      <c r="M6" s="3170" t="inlineStr">
        <is>
          <t>🟢 ACTIF</t>
        </is>
      </c>
      <c r="N6" s="3172" t="inlineStr">
        <is>
          <t>12/03/2026</t>
        </is>
      </c>
      <c r="O6" s="3177" t="n"/>
      <c r="P6" s="3177" t="n"/>
    </row>
    <row r="7" ht="27.75" customHeight="1" s="1666">
      <c r="A7" s="3178" t="n">
        <v>2</v>
      </c>
      <c r="B7" s="3179" t="n">
        <v>76</v>
      </c>
      <c r="C7" s="3180" t="inlineStr">
        <is>
          <t>ARC</t>
        </is>
      </c>
      <c r="D7" s="3181" t="inlineStr">
        <is>
          <t>REER/FHSA/TFSA</t>
        </is>
      </c>
      <c r="E7" s="3181" t="inlineStr">
        <is>
          <t>FISCALITÉ CANADA</t>
        </is>
      </c>
      <c r="F7" s="3181" t="inlineStr">
        <is>
          <t>Canada officiel</t>
        </is>
      </c>
      <c r="G7" s="3182" t="n">
        <v>99</v>
      </c>
      <c r="H7" s="3183" t="inlineStr">
        <is>
          <t>AAA ⭐⭐⭐</t>
        </is>
      </c>
      <c r="I7" s="3184" t="inlineStr">
        <is>
          <t>Annuel (jan)</t>
        </is>
      </c>
      <c r="J7" s="3185" t="inlineStr">
        <is>
          <t>Moyenne</t>
        </is>
      </c>
      <c r="K7" s="3181" t="inlineStr">
        <is>
          <t>Plafonds · règles RAP · délais FHSA · formulaires</t>
        </is>
      </c>
      <c r="L7" s="3185" t="inlineStr">
        <is>
          <t>⭐⭐⭐⭐⭐ Source primaire absolue · R8 règle auto</t>
        </is>
      </c>
      <c r="M7" s="3179" t="inlineStr">
        <is>
          <t>🟢 ACTIF</t>
        </is>
      </c>
      <c r="N7" s="3181" t="inlineStr">
        <is>
          <t>12/03/2026</t>
        </is>
      </c>
      <c r="O7" s="3177" t="n"/>
      <c r="P7" s="3177" t="n"/>
    </row>
    <row r="8" ht="27.75" customHeight="1" s="1666">
      <c r="A8" s="3169" t="n">
        <v>3</v>
      </c>
      <c r="B8" s="3170" t="n">
        <v>77</v>
      </c>
      <c r="C8" s="3171" t="inlineStr">
        <is>
          <t>Revenu Québec taux 2026</t>
        </is>
      </c>
      <c r="D8" s="3172" t="inlineStr">
        <is>
          <t>revenuquebec.ca</t>
        </is>
      </c>
      <c r="E8" s="3172" t="inlineStr">
        <is>
          <t>FISCALITÉ CANADA</t>
        </is>
      </c>
      <c r="F8" s="3172" t="inlineStr">
        <is>
          <t>Québec officiel</t>
        </is>
      </c>
      <c r="G8" s="3173" t="n">
        <v>99</v>
      </c>
      <c r="H8" s="3174" t="inlineStr">
        <is>
          <t>AAA ⭐⭐⭐</t>
        </is>
      </c>
      <c r="I8" s="3186" t="inlineStr">
        <is>
          <t>Annuel</t>
        </is>
      </c>
      <c r="J8" s="3176" t="inlineStr">
        <is>
          <t>Moyenne</t>
        </is>
      </c>
      <c r="K8" s="3172" t="inlineStr">
        <is>
          <t>Taux marginaux combinés QC+CA · tranches 2026</t>
        </is>
      </c>
      <c r="L8" s="3176" t="inlineStr">
        <is>
          <t>CONFIG!B11=0.5298 · économie REER $1,060/mois</t>
        </is>
      </c>
      <c r="M8" s="3170" t="inlineStr">
        <is>
          <t>🟢 ACTIF</t>
        </is>
      </c>
      <c r="N8" s="3172" t="inlineStr">
        <is>
          <t>12/03/2026</t>
        </is>
      </c>
      <c r="O8" s="3177" t="n"/>
      <c r="P8" s="3177" t="n"/>
    </row>
    <row r="9" ht="27.75" customHeight="1" s="1666">
      <c r="A9" s="3178" t="n">
        <v>4</v>
      </c>
      <c r="B9" s="3179" t="n">
        <v>116</v>
      </c>
      <c r="C9" s="3180" t="inlineStr">
        <is>
          <t>Google Sheets GOOGLEFINANCE Docs</t>
        </is>
      </c>
      <c r="D9" s="3181" t="inlineStr">
        <is>
          <t>support.google.com/docs/answer/3093281</t>
        </is>
      </c>
      <c r="E9" s="3181" t="inlineStr">
        <is>
          <t>GOOGLE SHEETS PRO</t>
        </is>
      </c>
      <c r="F9" s="3181" t="inlineStr">
        <is>
          <t>Documentation officielle</t>
        </is>
      </c>
      <c r="G9" s="3182" t="n">
        <v>99</v>
      </c>
      <c r="H9" s="3183" t="inlineStr">
        <is>
          <t>AAA ⭐⭐⭐</t>
        </is>
      </c>
      <c r="I9" s="3187" t="inlineStr">
        <is>
          <t>✅</t>
        </is>
      </c>
      <c r="J9" s="3185" t="inlineStr">
        <is>
          <t>Sélective</t>
        </is>
      </c>
      <c r="K9" s="3181" t="inlineStr">
        <is>
          <t>Liste complète 50+ attributs · syntaxe · exemples · limites</t>
        </is>
      </c>
      <c r="L9" s="3185" t="inlineStr">
        <is>
          <t>Référence absolue attributs GOOGLEFINANCE · TSE:ticker</t>
        </is>
      </c>
      <c r="M9" s="3179" t="inlineStr">
        <is>
          <t>🟢 ACTIF</t>
        </is>
      </c>
      <c r="N9" s="3181" t="inlineStr">
        <is>
          <t>12/03/2026</t>
        </is>
      </c>
      <c r="O9" s="3177" t="n"/>
      <c r="P9" s="3177" t="n"/>
    </row>
    <row r="10" ht="27.75" customHeight="1" s="1666">
      <c r="A10" s="3169" t="n">
        <v>5</v>
      </c>
      <c r="B10" s="3170" t="n">
        <v>3</v>
      </c>
      <c r="C10" s="3171" t="inlineStr">
        <is>
          <t>Google Finance</t>
        </is>
      </c>
      <c r="D10" s="3172" t="inlineStr">
        <is>
          <t>google.com/finance</t>
        </is>
      </c>
      <c r="E10" s="3172" t="inlineStr">
        <is>
          <t>PRIX LIVE &amp; MARCHÉS</t>
        </is>
      </c>
      <c r="F10" s="3172" t="inlineStr">
        <is>
          <t>Live gratuit</t>
        </is>
      </c>
      <c r="G10" s="3173" t="n">
        <v>98</v>
      </c>
      <c r="H10" s="3174" t="inlineStr">
        <is>
          <t>AAA ⭐⭐⭐</t>
        </is>
      </c>
      <c r="I10" s="3175" t="inlineStr">
        <is>
          <t>✅</t>
        </is>
      </c>
      <c r="J10" s="3176" t="inlineStr">
        <is>
          <t>Haute</t>
        </is>
      </c>
      <c r="K10" s="3172" t="inlineStr">
        <is>
          <t>Prix rapide · graphique interactif · nouvelles intégrées</t>
        </is>
      </c>
      <c r="L10" s="3176" t="inlineStr">
        <is>
          <t>Vérification express tickers TSX/NYSE/NASDAQ</t>
        </is>
      </c>
      <c r="M10" s="3170" t="inlineStr">
        <is>
          <t>🟢 ACTIF</t>
        </is>
      </c>
      <c r="N10" s="3172" t="inlineStr">
        <is>
          <t>12/03/2026</t>
        </is>
      </c>
      <c r="O10" s="3177" t="n"/>
      <c r="P10" s="3177" t="n"/>
    </row>
    <row r="11" ht="27.75" customHeight="1" s="1666">
      <c r="A11" s="3178" t="n">
        <v>6</v>
      </c>
      <c r="B11" s="3179" t="n">
        <v>78</v>
      </c>
      <c r="C11" s="3180" t="inlineStr">
        <is>
          <t>ARC Mon Dossier</t>
        </is>
      </c>
      <c r="D11" s="3181" t="inlineStr">
        <is>
          <t>canada.ca/mon-dossier-arc</t>
        </is>
      </c>
      <c r="E11" s="3181" t="inlineStr">
        <is>
          <t>FISCALITÉ CANADA</t>
        </is>
      </c>
      <c r="F11" s="3181" t="inlineStr">
        <is>
          <t>Canada officiel</t>
        </is>
      </c>
      <c r="G11" s="3182" t="n">
        <v>98</v>
      </c>
      <c r="H11" s="3183" t="inlineStr">
        <is>
          <t>AAA ⭐⭐⭐</t>
        </is>
      </c>
      <c r="I11" s="3184" t="inlineStr">
        <is>
          <t>Continu</t>
        </is>
      </c>
      <c r="J11" s="3185" t="inlineStr">
        <is>
          <t>Moyenne</t>
        </is>
      </c>
      <c r="K11" s="3181" t="inlineStr">
        <is>
          <t>Droits REER réels · avis cotisation · T4 · FHSA room</t>
        </is>
      </c>
      <c r="L11" s="3185" t="inlineStr">
        <is>
          <t>Vérifier avant cotisation REER &gt;$10K · R8</t>
        </is>
      </c>
      <c r="M11" s="3179" t="inlineStr">
        <is>
          <t>🟢 ACTIF</t>
        </is>
      </c>
      <c r="N11" s="3181" t="inlineStr">
        <is>
          <t>12/03/2026</t>
        </is>
      </c>
      <c r="O11" s="3177" t="n"/>
      <c r="P11" s="3177" t="n"/>
    </row>
    <row r="12" ht="27.75" customHeight="1" s="1666">
      <c r="A12" s="3169" t="n">
        <v>7</v>
      </c>
      <c r="B12" s="3170" t="n">
        <v>79</v>
      </c>
      <c r="C12" s="3171" t="inlineStr">
        <is>
          <t>FHSA Guide officiel</t>
        </is>
      </c>
      <c r="D12" s="3172" t="inlineStr">
        <is>
          <t>canada.ca/fr/agence-revenu/services/impot/fhsa</t>
        </is>
      </c>
      <c r="E12" s="3172" t="inlineStr">
        <is>
          <t>FISCALITÉ CANADA</t>
        </is>
      </c>
      <c r="F12" s="3172" t="inlineStr">
        <is>
          <t>Canada officiel</t>
        </is>
      </c>
      <c r="G12" s="3173" t="n">
        <v>98</v>
      </c>
      <c r="H12" s="3174" t="inlineStr">
        <is>
          <t>AAA ⭐⭐⭐</t>
        </is>
      </c>
      <c r="I12" s="3186" t="inlineStr">
        <is>
          <t>Continu</t>
        </is>
      </c>
      <c r="J12" s="3176" t="inlineStr">
        <is>
          <t>Moyenne</t>
        </is>
      </c>
      <c r="K12" s="3172" t="inlineStr">
        <is>
          <t>Règles FHSA · $8K/an · cumul $40K · RAP combiné · retraits</t>
        </is>
      </c>
      <c r="L12" s="3176" t="inlineStr">
        <is>
          <t>FHSA $1K/mois VFV · $40K cible 2030</t>
        </is>
      </c>
      <c r="M12" s="3170" t="inlineStr">
        <is>
          <t>🟢 ACTIF</t>
        </is>
      </c>
      <c r="N12" s="3172" t="inlineStr">
        <is>
          <t>12/03/2026</t>
        </is>
      </c>
      <c r="O12" s="3177" t="n"/>
      <c r="P12" s="3177" t="n"/>
    </row>
    <row r="13" ht="27.75" customHeight="1" s="1666">
      <c r="A13" s="3178" t="n">
        <v>8</v>
      </c>
      <c r="B13" s="3179" t="n">
        <v>2</v>
      </c>
      <c r="C13" s="3180" t="inlineStr">
        <is>
          <t>Yahoo Finance</t>
        </is>
      </c>
      <c r="D13" s="3181" t="inlineStr">
        <is>
          <t>yahoo.com/finance</t>
        </is>
      </c>
      <c r="E13" s="3181" t="inlineStr">
        <is>
          <t>PRIX LIVE &amp; MARCHÉS</t>
        </is>
      </c>
      <c r="F13" s="3181" t="inlineStr">
        <is>
          <t>Live gratuit</t>
        </is>
      </c>
      <c r="G13" s="3182" t="n">
        <v>97</v>
      </c>
      <c r="H13" s="3183" t="inlineStr">
        <is>
          <t>AAA ⭐⭐⭐</t>
        </is>
      </c>
      <c r="I13" s="3187" t="inlineStr">
        <is>
          <t>✅</t>
        </is>
      </c>
      <c r="J13" s="3185" t="inlineStr">
        <is>
          <t>Haute</t>
        </is>
      </c>
      <c r="K13" s="3181" t="inlineStr">
        <is>
          <t>Prix · historique · news · earnings · analyst ratings</t>
        </is>
      </c>
      <c r="L13" s="3185" t="inlineStr">
        <is>
          <t>Vérification avant achat · earnings calendar</t>
        </is>
      </c>
      <c r="M13" s="3179" t="inlineStr">
        <is>
          <t>🟢 ACTIF</t>
        </is>
      </c>
      <c r="N13" s="3181" t="inlineStr">
        <is>
          <t>12/03/2026</t>
        </is>
      </c>
      <c r="O13" s="3177" t="n"/>
      <c r="P13" s="3177" t="n"/>
    </row>
    <row r="14" ht="27.75" customHeight="1" s="1666">
      <c r="A14" s="3169" t="n">
        <v>9</v>
      </c>
      <c r="B14" s="3170" t="n">
        <v>5</v>
      </c>
      <c r="C14" s="3171" t="inlineStr">
        <is>
          <t>TradingView</t>
        </is>
      </c>
      <c r="D14" s="3172" t="inlineStr">
        <is>
          <t>tradingview.com</t>
        </is>
      </c>
      <c r="E14" s="3172" t="inlineStr">
        <is>
          <t>PRIX LIVE &amp; MARCHÉS</t>
        </is>
      </c>
      <c r="F14" s="3172" t="inlineStr">
        <is>
          <t>Analyse technique</t>
        </is>
      </c>
      <c r="G14" s="3173" t="n">
        <v>97</v>
      </c>
      <c r="H14" s="3174" t="inlineStr">
        <is>
          <t>AAA ⭐⭐⭐</t>
        </is>
      </c>
      <c r="I14" s="3186" t="inlineStr">
        <is>
          <t>⚠️ Limité</t>
        </is>
      </c>
      <c r="J14" s="3176" t="inlineStr">
        <is>
          <t>Moyenne</t>
        </is>
      </c>
      <c r="K14" s="3172" t="inlineStr">
        <is>
          <t>Graphiques avancés · indicateurs · alertes · screener</t>
        </is>
      </c>
      <c r="L14" s="3176" t="inlineStr">
        <is>
          <t>Analyse graphique T1 avant achat · supports/résistances</t>
        </is>
      </c>
      <c r="M14" s="3170" t="inlineStr">
        <is>
          <t>🟢 ACTIF</t>
        </is>
      </c>
      <c r="N14" s="3172" t="inlineStr">
        <is>
          <t>12/03/2026</t>
        </is>
      </c>
      <c r="O14" s="3177" t="n"/>
      <c r="P14" s="3177" t="n"/>
    </row>
    <row r="15" ht="27.75" customHeight="1" s="1666">
      <c r="A15" s="3178" t="n">
        <v>10</v>
      </c>
      <c r="B15" s="3179" t="n">
        <v>27</v>
      </c>
      <c r="C15" s="3180" t="inlineStr">
        <is>
          <t>Broadcom IR</t>
        </is>
      </c>
      <c r="D15" s="3181" t="inlineStr">
        <is>
          <t>investors.broadcom.com</t>
        </is>
      </c>
      <c r="E15" s="3181" t="inlineStr">
        <is>
          <t>ANALYSE FONDAMENTALE</t>
        </is>
      </c>
      <c r="F15" s="3181" t="inlineStr">
        <is>
          <t>AVGO (officiel)</t>
        </is>
      </c>
      <c r="G15" s="3182" t="n">
        <v>97</v>
      </c>
      <c r="H15" s="3183" t="inlineStr">
        <is>
          <t>AAA ⭐⭐⭐</t>
        </is>
      </c>
      <c r="I15" s="3187" t="inlineStr">
        <is>
          <t>✅</t>
        </is>
      </c>
      <c r="J15" s="3185" t="inlineStr">
        <is>
          <t>Haute</t>
        </is>
      </c>
      <c r="K15" s="3181" t="inlineStr">
        <is>
          <t>Résultats trimestriels · guidance · AI revenue · transcript</t>
        </is>
      </c>
      <c r="L15" s="3185" t="inlineStr">
        <is>
          <t>Source primaire AVGO · prochains résultats: 4 juin 2026</t>
        </is>
      </c>
      <c r="M15" s="3179" t="inlineStr">
        <is>
          <t>🟢 ACTIF</t>
        </is>
      </c>
      <c r="N15" s="3181" t="inlineStr">
        <is>
          <t>12/03/2026</t>
        </is>
      </c>
      <c r="O15" s="3177" t="n"/>
      <c r="P15" s="3177" t="n"/>
    </row>
    <row r="16" ht="27.75" customHeight="1" s="1666">
      <c r="A16" s="3169" t="n">
        <v>11</v>
      </c>
      <c r="B16" s="3170" t="n">
        <v>28</v>
      </c>
      <c r="C16" s="3171" t="inlineStr">
        <is>
          <t>GE Vernova IR</t>
        </is>
      </c>
      <c r="D16" s="3172" t="inlineStr">
        <is>
          <t>gevernova.com/investors</t>
        </is>
      </c>
      <c r="E16" s="3172" t="inlineStr">
        <is>
          <t>ANALYSE FONDAMENTALE</t>
        </is>
      </c>
      <c r="F16" s="3172" t="inlineStr">
        <is>
          <t>GEV (officiel)</t>
        </is>
      </c>
      <c r="G16" s="3173" t="n">
        <v>97</v>
      </c>
      <c r="H16" s="3174" t="inlineStr">
        <is>
          <t>AAA ⭐⭐⭐</t>
        </is>
      </c>
      <c r="I16" s="3175" t="inlineStr">
        <is>
          <t>✅</t>
        </is>
      </c>
      <c r="J16" s="3176" t="inlineStr">
        <is>
          <t>Haute</t>
        </is>
      </c>
      <c r="K16" s="3172" t="inlineStr">
        <is>
          <t>Résultats · guidance énergie · AI infrastructure · backlog</t>
        </is>
      </c>
      <c r="L16" s="3176" t="inlineStr">
        <is>
          <t>Source primaire GEV · thèse grid+AI infrastructure</t>
        </is>
      </c>
      <c r="M16" s="3170" t="inlineStr">
        <is>
          <t>🟢 ACTIF</t>
        </is>
      </c>
      <c r="N16" s="3172" t="inlineStr">
        <is>
          <t>12/03/2026</t>
        </is>
      </c>
      <c r="O16" s="3177" t="n"/>
      <c r="P16" s="3177" t="n"/>
    </row>
    <row r="17" ht="27.75" customHeight="1" s="1666">
      <c r="A17" s="3178" t="n">
        <v>12</v>
      </c>
      <c r="B17" s="3179" t="n">
        <v>29</v>
      </c>
      <c r="C17" s="3180" t="inlineStr">
        <is>
          <t>Alphabet IR</t>
        </is>
      </c>
      <c r="D17" s="3181" t="inlineStr">
        <is>
          <t>abc.xyz/investor</t>
        </is>
      </c>
      <c r="E17" s="3181" t="inlineStr">
        <is>
          <t>ANALYSE FONDAMENTALE</t>
        </is>
      </c>
      <c r="F17" s="3181" t="inlineStr">
        <is>
          <t>GOOG (officiel)</t>
        </is>
      </c>
      <c r="G17" s="3182" t="n">
        <v>97</v>
      </c>
      <c r="H17" s="3183" t="inlineStr">
        <is>
          <t>AAA ⭐⭐⭐</t>
        </is>
      </c>
      <c r="I17" s="3187" t="inlineStr">
        <is>
          <t>✅</t>
        </is>
      </c>
      <c r="J17" s="3185" t="inlineStr">
        <is>
          <t>Haute</t>
        </is>
      </c>
      <c r="K17" s="3181" t="inlineStr">
        <is>
          <t>Résultats · segments · cloud · AI · YouTube · capex</t>
        </is>
      </c>
      <c r="L17" s="3185" t="inlineStr">
        <is>
          <t>Source primaire GOOG · cloud vs AWS/Azure</t>
        </is>
      </c>
      <c r="M17" s="3179" t="inlineStr">
        <is>
          <t>🟢 ACTIF</t>
        </is>
      </c>
      <c r="N17" s="3181" t="inlineStr">
        <is>
          <t>12/03/2026</t>
        </is>
      </c>
      <c r="O17" s="3177" t="n"/>
      <c r="P17" s="3177" t="n"/>
    </row>
    <row r="18" ht="27.75" customHeight="1" s="1666">
      <c r="A18" s="3169" t="n">
        <v>13</v>
      </c>
      <c r="B18" s="3170" t="n">
        <v>30</v>
      </c>
      <c r="C18" s="3171" t="inlineStr">
        <is>
          <t>Amazon IR</t>
        </is>
      </c>
      <c r="D18" s="3172" t="inlineStr">
        <is>
          <t>ir.aboutamazon.com</t>
        </is>
      </c>
      <c r="E18" s="3172" t="inlineStr">
        <is>
          <t>ANALYSE FONDAMENTALE</t>
        </is>
      </c>
      <c r="F18" s="3172" t="inlineStr">
        <is>
          <t>AMZN (officiel)</t>
        </is>
      </c>
      <c r="G18" s="3173" t="n">
        <v>97</v>
      </c>
      <c r="H18" s="3174" t="inlineStr">
        <is>
          <t>AAA ⭐⭐⭐</t>
        </is>
      </c>
      <c r="I18" s="3175" t="inlineStr">
        <is>
          <t>✅</t>
        </is>
      </c>
      <c r="J18" s="3176" t="inlineStr">
        <is>
          <t>Haute</t>
        </is>
      </c>
      <c r="K18" s="3172" t="inlineStr">
        <is>
          <t>Résultats · AWS · retail · margins · capex AI</t>
        </is>
      </c>
      <c r="L18" s="3176" t="inlineStr">
        <is>
          <t>Source primaire AMZN · AWS = moteur profit</t>
        </is>
      </c>
      <c r="M18" s="3170" t="inlineStr">
        <is>
          <t>🟢 ACTIF</t>
        </is>
      </c>
      <c r="N18" s="3172" t="inlineStr">
        <is>
          <t>12/03/2026</t>
        </is>
      </c>
      <c r="O18" s="3177" t="n"/>
      <c r="P18" s="3177" t="n"/>
    </row>
    <row r="19" ht="27.75" customHeight="1" s="1666">
      <c r="A19" s="3178" t="n">
        <v>14</v>
      </c>
      <c r="B19" s="3179" t="n">
        <v>31</v>
      </c>
      <c r="C19" s="3180" t="inlineStr">
        <is>
          <t>Meta IR</t>
        </is>
      </c>
      <c r="D19" s="3181" t="inlineStr">
        <is>
          <t>investor.fb.com</t>
        </is>
      </c>
      <c r="E19" s="3181" t="inlineStr">
        <is>
          <t>ANALYSE FONDAMENTALE</t>
        </is>
      </c>
      <c r="F19" s="3181" t="inlineStr">
        <is>
          <t>META (officiel)</t>
        </is>
      </c>
      <c r="G19" s="3182" t="n">
        <v>97</v>
      </c>
      <c r="H19" s="3183" t="inlineStr">
        <is>
          <t>AAA ⭐⭐⭐</t>
        </is>
      </c>
      <c r="I19" s="3187" t="inlineStr">
        <is>
          <t>✅</t>
        </is>
      </c>
      <c r="J19" s="3185" t="inlineStr">
        <is>
          <t>Haute</t>
        </is>
      </c>
      <c r="K19" s="3181" t="inlineStr">
        <is>
          <t>Résultats · MAU · ARPU · AI capex · metaverse</t>
        </is>
      </c>
      <c r="L19" s="3185" t="inlineStr">
        <is>
          <t>Source primaire META · no-buy: 21-28 avr</t>
        </is>
      </c>
      <c r="M19" s="3179" t="inlineStr">
        <is>
          <t>🟢 ACTIF</t>
        </is>
      </c>
      <c r="N19" s="3181" t="inlineStr">
        <is>
          <t>12/03/2026</t>
        </is>
      </c>
      <c r="O19" s="3177" t="n"/>
      <c r="P19" s="3177" t="n"/>
    </row>
    <row r="20" ht="27.75" customHeight="1" s="1666">
      <c r="A20" s="3169" t="n">
        <v>15</v>
      </c>
      <c r="B20" s="3170" t="n">
        <v>32</v>
      </c>
      <c r="C20" s="3171" t="inlineStr">
        <is>
          <t>NVIDIA IR</t>
        </is>
      </c>
      <c r="D20" s="3172" t="inlineStr">
        <is>
          <t>investor.nvidia.com</t>
        </is>
      </c>
      <c r="E20" s="3172" t="inlineStr">
        <is>
          <t>ANALYSE FONDAMENTALE</t>
        </is>
      </c>
      <c r="F20" s="3172" t="inlineStr">
        <is>
          <t>NVDA (officiel)</t>
        </is>
      </c>
      <c r="G20" s="3173" t="n">
        <v>97</v>
      </c>
      <c r="H20" s="3174" t="inlineStr">
        <is>
          <t>AAA ⭐⭐⭐</t>
        </is>
      </c>
      <c r="I20" s="3175" t="inlineStr">
        <is>
          <t>✅</t>
        </is>
      </c>
      <c r="J20" s="3176" t="inlineStr">
        <is>
          <t>Haute</t>
        </is>
      </c>
      <c r="K20" s="3172" t="inlineStr">
        <is>
          <t>Résultats · data center · gaming · AI guidance</t>
        </is>
      </c>
      <c r="L20" s="3176" t="inlineStr">
        <is>
          <t>Source primaire NVDA · no-buy: 21-28 mai</t>
        </is>
      </c>
      <c r="M20" s="3170" t="inlineStr">
        <is>
          <t>🟢 ACTIF</t>
        </is>
      </c>
      <c r="N20" s="3172" t="inlineStr">
        <is>
          <t>12/03/2026</t>
        </is>
      </c>
      <c r="O20" s="3177" t="n"/>
      <c r="P20" s="3177" t="n"/>
    </row>
    <row r="21" ht="27.75" customHeight="1" s="1666">
      <c r="A21" s="3178" t="n">
        <v>16</v>
      </c>
      <c r="B21" s="3179" t="n">
        <v>52</v>
      </c>
      <c r="C21" s="3180" t="inlineStr">
        <is>
          <t>Bank of Canada</t>
        </is>
      </c>
      <c r="D21" s="3181" t="inlineStr">
        <is>
          <t>bankofcanada.ca/rates/</t>
        </is>
      </c>
      <c r="E21" s="3181" t="inlineStr">
        <is>
          <t>CALENDRIERS &amp; ÉVÉNEMENTS</t>
        </is>
      </c>
      <c r="F21" s="3181" t="inlineStr">
        <is>
          <t>Officiel CA</t>
        </is>
      </c>
      <c r="G21" s="3182" t="n">
        <v>97</v>
      </c>
      <c r="H21" s="3183" t="inlineStr">
        <is>
          <t>AAA ⭐⭐⭐</t>
        </is>
      </c>
      <c r="I21" s="3187" t="inlineStr">
        <is>
          <t>✅</t>
        </is>
      </c>
      <c r="J21" s="3185" t="inlineStr">
        <is>
          <t>Haute</t>
        </is>
      </c>
      <c r="K21" s="3181" t="inlineStr">
        <is>
          <t>Calendrier 8 décisions/an · MPR trimestriel · 9h45 HNE</t>
        </is>
      </c>
      <c r="L21" s="3185" t="inlineStr">
        <is>
          <t>Timing achats post-BdC: ZRE/XIC/VDU · 18 mars</t>
        </is>
      </c>
      <c r="M21" s="3179" t="inlineStr">
        <is>
          <t>🟢 ACTIF</t>
        </is>
      </c>
      <c r="N21" s="3181" t="inlineStr">
        <is>
          <t>12/03/2026</t>
        </is>
      </c>
      <c r="O21" s="3177" t="n"/>
      <c r="P21" s="3177" t="n"/>
    </row>
    <row r="22" ht="27.75" customHeight="1" s="1666">
      <c r="A22" s="3169" t="n">
        <v>17</v>
      </c>
      <c r="B22" s="3170" t="n">
        <v>53</v>
      </c>
      <c r="C22" s="3171" t="inlineStr">
        <is>
          <t>Federal Reserve FOMC</t>
        </is>
      </c>
      <c r="D22" s="3172" t="inlineStr">
        <is>
          <t>federalreserve.gov/monetarypolicy/fomccalendars.htm</t>
        </is>
      </c>
      <c r="E22" s="3172" t="inlineStr">
        <is>
          <t>CALENDRIERS &amp; ÉVÉNEMENTS</t>
        </is>
      </c>
      <c r="F22" s="3172" t="inlineStr">
        <is>
          <t>Officiel US</t>
        </is>
      </c>
      <c r="G22" s="3173" t="n">
        <v>97</v>
      </c>
      <c r="H22" s="3174" t="inlineStr">
        <is>
          <t>AAA ⭐⭐⭐</t>
        </is>
      </c>
      <c r="I22" s="3175" t="inlineStr">
        <is>
          <t>✅</t>
        </is>
      </c>
      <c r="J22" s="3176" t="inlineStr">
        <is>
          <t>Haute</t>
        </is>
      </c>
      <c r="K22" s="3172" t="inlineStr">
        <is>
          <t>8 décisions/an · dot plot · SEP · communiqué 14h00 ET</t>
        </is>
      </c>
      <c r="L22" s="3176" t="inlineStr">
        <is>
          <t>Impact USD/CAD · timing achats USD · 18-19 mars</t>
        </is>
      </c>
      <c r="M22" s="3170" t="inlineStr">
        <is>
          <t>🟢 ACTIF</t>
        </is>
      </c>
      <c r="N22" s="3172" t="inlineStr">
        <is>
          <t>12/03/2026</t>
        </is>
      </c>
      <c r="O22" s="3177" t="n"/>
      <c r="P22" s="3177" t="n"/>
    </row>
    <row r="23" ht="27.75" customHeight="1" s="1666">
      <c r="A23" s="3178" t="n">
        <v>18</v>
      </c>
      <c r="B23" s="3179" t="n">
        <v>80</v>
      </c>
      <c r="C23" s="3180" t="inlineStr">
        <is>
          <t>PlanifRetraite.ca</t>
        </is>
      </c>
      <c r="D23" s="3181" t="n"/>
      <c r="E23" s="3181" t="inlineStr">
        <is>
          <t>FISCALITÉ CANADA</t>
        </is>
      </c>
      <c r="F23" s="3181" t="inlineStr">
        <is>
          <t>QC / FIRE</t>
        </is>
      </c>
      <c r="G23" s="3182" t="n">
        <v>97</v>
      </c>
      <c r="H23" s="3183" t="inlineStr">
        <is>
          <t>AAA ⭐⭐⭐</t>
        </is>
      </c>
      <c r="I23" s="3184" t="inlineStr">
        <is>
          <t>Continu</t>
        </is>
      </c>
      <c r="J23" s="3185" t="inlineStr">
        <is>
          <t>Moyenne</t>
        </is>
      </c>
      <c r="K23" s="3181" t="inlineStr">
        <is>
          <t>Calculateurs REER · projections fiscales · RAP · FI QC</t>
        </is>
      </c>
      <c r="L23" s="3185" t="inlineStr">
        <is>
          <t>Projections FI $2.1M · taux retrait REER à 55 ans</t>
        </is>
      </c>
      <c r="M23" s="3179" t="inlineStr">
        <is>
          <t>🟢 ACTIF</t>
        </is>
      </c>
      <c r="N23" s="3181" t="inlineStr">
        <is>
          <t>12/03/2026</t>
        </is>
      </c>
      <c r="O23" s="3177" t="n"/>
      <c r="P23" s="3177" t="n"/>
    </row>
    <row r="24" ht="27.75" customHeight="1" s="1666">
      <c r="A24" s="3169" t="n">
        <v>19</v>
      </c>
      <c r="B24" s="3170" t="n">
        <v>186</v>
      </c>
      <c r="C24" s="3171" t="inlineStr">
        <is>
          <t>EQ Bank</t>
        </is>
      </c>
      <c r="D24" s="3172" t="inlineStr">
        <is>
          <t>eqbank.ca</t>
        </is>
      </c>
      <c r="E24" s="3172" t="inlineStr">
        <is>
          <t>BANQUE &amp; MAISON 2030</t>
        </is>
      </c>
      <c r="F24" s="3172" t="inlineStr">
        <is>
          <t>Banque HISA</t>
        </is>
      </c>
      <c r="G24" s="3173" t="n">
        <v>97</v>
      </c>
      <c r="H24" s="3174" t="inlineStr">
        <is>
          <t>AAA ⭐⭐⭐</t>
        </is>
      </c>
      <c r="I24" s="3175" t="inlineStr">
        <is>
          <t>✅</t>
        </is>
      </c>
      <c r="J24" s="3176" t="inlineStr">
        <is>
          <t>Sélective</t>
        </is>
      </c>
      <c r="K24" s="3172" t="inlineStr">
        <is>
          <t>Taux HISA ~4% · conditions · CDIC $100K · FHSA · REER</t>
        </is>
      </c>
      <c r="L24" s="3176" t="inlineStr">
        <is>
          <t>🔴 CRITIQUE: Ouvrir HISA $1,500/mois · fonds urgence $15K</t>
        </is>
      </c>
      <c r="M24" s="3170" t="inlineStr">
        <is>
          <t>🟢 ACTIF</t>
        </is>
      </c>
      <c r="N24" s="3172" t="inlineStr">
        <is>
          <t>12/03/2026</t>
        </is>
      </c>
      <c r="O24" s="3177" t="n"/>
      <c r="P24" s="3177" t="n"/>
    </row>
    <row r="25" ht="27.75" customHeight="1" s="1666">
      <c r="A25" s="3188" t="n">
        <v>20</v>
      </c>
      <c r="B25" s="3189" t="n">
        <v>21</v>
      </c>
      <c r="C25" s="3190" t="inlineStr">
        <is>
          <t>StockAnalysis.com</t>
        </is>
      </c>
      <c r="D25" s="3191" t="inlineStr">
        <is>
          <t>stockanalysis.com</t>
        </is>
      </c>
      <c r="E25" s="3191" t="inlineStr">
        <is>
          <t>ANALYSE FONDAMENTALE</t>
        </is>
      </c>
      <c r="F25" s="3191" t="inlineStr">
        <is>
          <t>US+CA</t>
        </is>
      </c>
      <c r="G25" s="3192" t="n">
        <v>96</v>
      </c>
      <c r="H25" s="3193" t="inlineStr">
        <is>
          <t>AA ⭐⭐</t>
        </is>
      </c>
      <c r="I25" s="3194" t="inlineStr">
        <is>
          <t>✅</t>
        </is>
      </c>
      <c r="J25" s="3195" t="inlineStr">
        <is>
          <t>Haute</t>
        </is>
      </c>
      <c r="K25" s="3191" t="inlineStr">
        <is>
          <t>EPS · revenue · marges · P/E · P/S · analyst ratings · historique</t>
        </is>
      </c>
      <c r="L25" s="3195" t="inlineStr">
        <is>
          <t>Source principale analyse T1/T2 · tous tickers</t>
        </is>
      </c>
      <c r="M25" s="3189" t="inlineStr">
        <is>
          <t>🟢 ACTIF</t>
        </is>
      </c>
      <c r="N25" s="3191" t="inlineStr">
        <is>
          <t>12/03/2026</t>
        </is>
      </c>
      <c r="O25" s="3177" t="n"/>
      <c r="P25" s="3177" t="n"/>
    </row>
    <row r="26" ht="27.75" customHeight="1" s="1666">
      <c r="A26" s="3196" t="n">
        <v>21</v>
      </c>
      <c r="B26" s="3197" t="n">
        <v>36</v>
      </c>
      <c r="C26" s="3198" t="inlineStr">
        <is>
          <t>Schwab SCHD</t>
        </is>
      </c>
      <c r="D26" s="3199" t="inlineStr">
        <is>
          <t>schwab.com/.../SCHD</t>
        </is>
      </c>
      <c r="E26" s="3199" t="inlineStr">
        <is>
          <t>ANALYSE FONDAMENTALE</t>
        </is>
      </c>
      <c r="F26" s="3199" t="inlineStr">
        <is>
          <t>SCHD (officiel)</t>
        </is>
      </c>
      <c r="G26" s="3200" t="n">
        <v>96</v>
      </c>
      <c r="H26" s="3201" t="inlineStr">
        <is>
          <t>AA ⭐⭐</t>
        </is>
      </c>
      <c r="I26" s="3202" t="inlineStr">
        <is>
          <t>✅</t>
        </is>
      </c>
      <c r="J26" s="3203" t="inlineStr">
        <is>
          <t>Haute</t>
        </is>
      </c>
      <c r="K26" s="3199" t="inlineStr">
        <is>
          <t>Yield · composition · dividende historique · screening</t>
        </is>
      </c>
      <c r="L26" s="3203" t="inlineStr">
        <is>
          <t>Source primaire SCHD · suivi dividende REER snowball</t>
        </is>
      </c>
      <c r="M26" s="3197" t="inlineStr">
        <is>
          <t>🟢 ACTIF</t>
        </is>
      </c>
      <c r="N26" s="3199" t="inlineStr">
        <is>
          <t>12/03/2026</t>
        </is>
      </c>
      <c r="O26" s="3177" t="n"/>
      <c r="P26" s="3177" t="n"/>
    </row>
    <row r="27" ht="27.75" customHeight="1" s="1666">
      <c r="A27" s="3188" t="n">
        <v>22</v>
      </c>
      <c r="B27" s="3189" t="n">
        <v>37</v>
      </c>
      <c r="C27" s="3190" t="inlineStr">
        <is>
          <t>Vanguard VFV</t>
        </is>
      </c>
      <c r="D27" s="3191" t="inlineStr">
        <is>
          <t>vanguard.ca/.../VFV</t>
        </is>
      </c>
      <c r="E27" s="3191" t="inlineStr">
        <is>
          <t>ANALYSE FONDAMENTALE</t>
        </is>
      </c>
      <c r="F27" s="3191" t="inlineStr">
        <is>
          <t>VFV.TO (officiel)</t>
        </is>
      </c>
      <c r="G27" s="3192" t="n">
        <v>96</v>
      </c>
      <c r="H27" s="3193" t="inlineStr">
        <is>
          <t>AA ⭐⭐</t>
        </is>
      </c>
      <c r="I27" s="3194" t="inlineStr">
        <is>
          <t>✅</t>
        </is>
      </c>
      <c r="J27" s="3195" t="inlineStr">
        <is>
          <t>Haute</t>
        </is>
      </c>
      <c r="K27" s="3191" t="inlineStr">
        <is>
          <t>NAV · composition S&amp;P500 · frais · rendement</t>
        </is>
      </c>
      <c r="L27" s="3195" t="inlineStr">
        <is>
          <t>Source primaire VFV · core FHSA + TFSA</t>
        </is>
      </c>
      <c r="M27" s="3189" t="inlineStr">
        <is>
          <t>🟢 ACTIF</t>
        </is>
      </c>
      <c r="N27" s="3191" t="inlineStr">
        <is>
          <t>12/03/2026</t>
        </is>
      </c>
      <c r="O27" s="3177" t="n"/>
      <c r="P27" s="3177" t="n"/>
    </row>
    <row r="28" ht="27.75" customHeight="1" s="1666">
      <c r="A28" s="3196" t="n">
        <v>23</v>
      </c>
      <c r="B28" s="3197" t="n">
        <v>38</v>
      </c>
      <c r="C28" s="3198" t="inlineStr">
        <is>
          <t>iShares XEQT</t>
        </is>
      </c>
      <c r="D28" s="3199" t="inlineStr">
        <is>
          <t>blackrock.com/ca/.../XEQT</t>
        </is>
      </c>
      <c r="E28" s="3199" t="inlineStr">
        <is>
          <t>ANALYSE FONDAMENTALE</t>
        </is>
      </c>
      <c r="F28" s="3199" t="inlineStr">
        <is>
          <t>XEQT.TO (officiel)</t>
        </is>
      </c>
      <c r="G28" s="3200" t="n">
        <v>96</v>
      </c>
      <c r="H28" s="3201" t="inlineStr">
        <is>
          <t>AA ⭐⭐</t>
        </is>
      </c>
      <c r="I28" s="3202" t="inlineStr">
        <is>
          <t>✅</t>
        </is>
      </c>
      <c r="J28" s="3203" t="inlineStr">
        <is>
          <t>Haute</t>
        </is>
      </c>
      <c r="K28" s="3199" t="inlineStr">
        <is>
          <t>Composition · 4 régions · frais 0.20% · NAV</t>
        </is>
      </c>
      <c r="L28" s="3203" t="inlineStr">
        <is>
          <t>Source primaire XEQT · suivi FHSA diversification</t>
        </is>
      </c>
      <c r="M28" s="3197" t="inlineStr">
        <is>
          <t>🟢 ACTIF</t>
        </is>
      </c>
      <c r="N28" s="3199" t="inlineStr">
        <is>
          <t>12/03/2026</t>
        </is>
      </c>
      <c r="O28" s="3177" t="n"/>
      <c r="P28" s="3177" t="n"/>
    </row>
    <row r="29" ht="27.75" customHeight="1" s="1666">
      <c r="A29" s="3188" t="n">
        <v>24</v>
      </c>
      <c r="B29" s="3189" t="n">
        <v>39</v>
      </c>
      <c r="C29" s="3190" t="inlineStr">
        <is>
          <t>Enbridge IR</t>
        </is>
      </c>
      <c r="D29" s="3191" t="inlineStr">
        <is>
          <t>investor.enbridge.com</t>
        </is>
      </c>
      <c r="E29" s="3191" t="inlineStr">
        <is>
          <t>ANALYSE FONDAMENTALE</t>
        </is>
      </c>
      <c r="F29" s="3191" t="inlineStr">
        <is>
          <t>ENB.TO (officiel)</t>
        </is>
      </c>
      <c r="G29" s="3192" t="n">
        <v>96</v>
      </c>
      <c r="H29" s="3193" t="inlineStr">
        <is>
          <t>AA ⭐⭐</t>
        </is>
      </c>
      <c r="I29" s="3194" t="inlineStr">
        <is>
          <t>✅</t>
        </is>
      </c>
      <c r="J29" s="3195" t="inlineStr">
        <is>
          <t>Haute</t>
        </is>
      </c>
      <c r="K29" s="3191" t="inlineStr">
        <is>
          <t>Résultats · pipeline · dividende · dette · guidance</t>
        </is>
      </c>
      <c r="L29" s="3195" t="inlineStr">
        <is>
          <t>Source primaire ENB · yield ~7% · croissance dividende</t>
        </is>
      </c>
      <c r="M29" s="3189" t="inlineStr">
        <is>
          <t>🟢 ACTIF</t>
        </is>
      </c>
      <c r="N29" s="3191" t="inlineStr">
        <is>
          <t>12/03/2026</t>
        </is>
      </c>
      <c r="O29" s="3177" t="n"/>
      <c r="P29" s="3177" t="n"/>
    </row>
    <row r="30" ht="27.75" customHeight="1" s="1666">
      <c r="A30" s="3196" t="n">
        <v>25</v>
      </c>
      <c r="B30" s="3197" t="n">
        <v>46</v>
      </c>
      <c r="C30" s="3198" t="inlineStr">
        <is>
          <t>Yahoo Finance Earnings</t>
        </is>
      </c>
      <c r="D30" s="3199" t="inlineStr">
        <is>
          <t>finance.yahoo.com/calendar/earnings</t>
        </is>
      </c>
      <c r="E30" s="3199" t="inlineStr">
        <is>
          <t>CALENDRIERS &amp; ÉVÉNEMENTS</t>
        </is>
      </c>
      <c r="F30" s="3199" t="inlineStr">
        <is>
          <t>Calendrier</t>
        </is>
      </c>
      <c r="G30" s="3200" t="n">
        <v>96</v>
      </c>
      <c r="H30" s="3201" t="inlineStr">
        <is>
          <t>AA ⭐⭐</t>
        </is>
      </c>
      <c r="I30" s="3202" t="inlineStr">
        <is>
          <t>✅</t>
        </is>
      </c>
      <c r="J30" s="3203" t="inlineStr">
        <is>
          <t>Haute</t>
        </is>
      </c>
      <c r="K30" s="3199" t="inlineStr">
        <is>
          <t>Date · EPS estimé vs réel · surprise% · heure</t>
        </is>
      </c>
      <c r="L30" s="3203" t="inlineStr">
        <is>
          <t>Règle R9: no-buy -7j avant earnings T1/T2</t>
        </is>
      </c>
      <c r="M30" s="3197" t="inlineStr">
        <is>
          <t>🟢 ACTIF</t>
        </is>
      </c>
      <c r="N30" s="3199" t="inlineStr">
        <is>
          <t>12/03/2026</t>
        </is>
      </c>
      <c r="O30" s="3177" t="n"/>
      <c r="P30" s="3177" t="n"/>
    </row>
    <row r="31" ht="27.75" customHeight="1" s="1666">
      <c r="A31" s="3188" t="n">
        <v>26</v>
      </c>
      <c r="B31" s="3189" t="n">
        <v>47</v>
      </c>
      <c r="C31" s="3190" t="inlineStr">
        <is>
          <t>Nasdaq Earnings</t>
        </is>
      </c>
      <c r="D31" s="3191" t="inlineStr">
        <is>
          <t>nasdaq.com/market-activity/earnings</t>
        </is>
      </c>
      <c r="E31" s="3191" t="inlineStr">
        <is>
          <t>CALENDRIERS &amp; ÉVÉNEMENTS</t>
        </is>
      </c>
      <c r="F31" s="3191" t="inlineStr">
        <is>
          <t>Officiel</t>
        </is>
      </c>
      <c r="G31" s="3192" t="n">
        <v>96</v>
      </c>
      <c r="H31" s="3193" t="inlineStr">
        <is>
          <t>AA ⭐⭐</t>
        </is>
      </c>
      <c r="I31" s="3194" t="inlineStr">
        <is>
          <t>✅</t>
        </is>
      </c>
      <c r="J31" s="3195" t="inlineStr">
        <is>
          <t>Haute</t>
        </is>
      </c>
      <c r="K31" s="3191" t="inlineStr">
        <is>
          <t>Dates officielles · historique EPS · surprise %</t>
        </is>
      </c>
      <c r="L31" s="3195" t="inlineStr">
        <is>
          <t>Source primaire calendrier earnings US · AVGO/GOOG</t>
        </is>
      </c>
      <c r="M31" s="3189" t="inlineStr">
        <is>
          <t>🟢 ACTIF</t>
        </is>
      </c>
      <c r="N31" s="3191" t="inlineStr">
        <is>
          <t>12/03/2026</t>
        </is>
      </c>
      <c r="O31" s="3177" t="n"/>
      <c r="P31" s="3177" t="n"/>
    </row>
    <row r="32" ht="27.75" customHeight="1" s="1666">
      <c r="A32" s="3196" t="n">
        <v>27</v>
      </c>
      <c r="B32" s="3197" t="n">
        <v>57</v>
      </c>
      <c r="C32" s="3198" t="inlineStr">
        <is>
          <t>TSX Dividend Calendar</t>
        </is>
      </c>
      <c r="D32" s="3199" t="inlineStr">
        <is>
          <t>money.tmx.com</t>
        </is>
      </c>
      <c r="E32" s="3199" t="inlineStr">
        <is>
          <t>CALENDRIERS &amp; ÉVÉNEMENTS</t>
        </is>
      </c>
      <c r="F32" s="3199" t="inlineStr">
        <is>
          <t>Officiel CA</t>
        </is>
      </c>
      <c r="G32" s="3200" t="n">
        <v>96</v>
      </c>
      <c r="H32" s="3201" t="inlineStr">
        <is>
          <t>AA ⭐⭐</t>
        </is>
      </c>
      <c r="I32" s="3202" t="inlineStr">
        <is>
          <t>✅</t>
        </is>
      </c>
      <c r="J32" s="3203" t="inlineStr">
        <is>
          <t>Haute</t>
        </is>
      </c>
      <c r="K32" s="3199" t="inlineStr">
        <is>
          <t>Ex-dates · record dates · paiements tickers TSX</t>
        </is>
      </c>
      <c r="L32" s="3203" t="inlineStr">
        <is>
          <t>Calendrier dividendes CA: ENB/TD/XEI/ZRE/MFC</t>
        </is>
      </c>
      <c r="M32" s="3197" t="inlineStr">
        <is>
          <t>🟢 ACTIF</t>
        </is>
      </c>
      <c r="N32" s="3199" t="inlineStr">
        <is>
          <t>12/03/2026</t>
        </is>
      </c>
      <c r="O32" s="3177" t="n"/>
      <c r="P32" s="3177" t="n"/>
    </row>
    <row r="33" ht="27.75" customHeight="1" s="1666">
      <c r="A33" s="3188" t="n">
        <v>28</v>
      </c>
      <c r="B33" s="3189" t="n">
        <v>58</v>
      </c>
      <c r="C33" s="3190" t="inlineStr">
        <is>
          <t>BofA Global Research Events</t>
        </is>
      </c>
      <c r="D33" s="3191" t="n"/>
      <c r="E33" s="3191" t="inlineStr">
        <is>
          <t>CALENDRIERS &amp; ÉVÉNEMENTS</t>
        </is>
      </c>
      <c r="F33" s="3191" t="inlineStr">
        <is>
          <t>Conférences</t>
        </is>
      </c>
      <c r="G33" s="3192" t="n">
        <v>96</v>
      </c>
      <c r="H33" s="3193" t="inlineStr">
        <is>
          <t>AA ⭐⭐</t>
        </is>
      </c>
      <c r="I33" s="3204" t="inlineStr">
        <is>
          <t>⚠️ Pro</t>
        </is>
      </c>
      <c r="J33" s="3195" t="inlineStr">
        <is>
          <t>Moyenne</t>
        </is>
      </c>
      <c r="K33" s="3191" t="inlineStr">
        <is>
          <t>Calendrier conférences sectorielles · CEO presentations</t>
        </is>
      </c>
      <c r="L33" s="3195" t="inlineStr">
        <is>
          <t>Contexte guidance CEO AVGO/GEV/SPGI conférences</t>
        </is>
      </c>
      <c r="M33" s="3189" t="inlineStr">
        <is>
          <t>🟢 ACTIF</t>
        </is>
      </c>
      <c r="N33" s="3191" t="inlineStr">
        <is>
          <t>12/03/2026</t>
        </is>
      </c>
      <c r="O33" s="3177" t="n"/>
      <c r="P33" s="3177" t="n"/>
    </row>
    <row r="34" ht="27.75" customHeight="1" s="1666">
      <c r="A34" s="3196" t="n">
        <v>29</v>
      </c>
      <c r="B34" s="3197" t="n">
        <v>64</v>
      </c>
      <c r="C34" s="3198" t="inlineStr">
        <is>
          <t>BdC MPR</t>
        </is>
      </c>
      <c r="D34" s="3199" t="inlineStr">
        <is>
          <t>bankofcanada.ca/publications/mpr/</t>
        </is>
      </c>
      <c r="E34" s="3199" t="inlineStr">
        <is>
          <t>MACROÉCONOMIE</t>
        </is>
      </c>
      <c r="F34" s="3199" t="inlineStr">
        <is>
          <t>Canada officiel</t>
        </is>
      </c>
      <c r="G34" s="3200" t="n">
        <v>96</v>
      </c>
      <c r="H34" s="3201" t="inlineStr">
        <is>
          <t>AA ⭐⭐</t>
        </is>
      </c>
      <c r="I34" s="3205" t="inlineStr">
        <is>
          <t>Trimestriel</t>
        </is>
      </c>
      <c r="J34" s="3203" t="inlineStr">
        <is>
          <t>Moyenne</t>
        </is>
      </c>
      <c r="K34" s="3199" t="inlineStr">
        <is>
          <t>Projection PIB 2026-2027 · scénarios risques · inflation</t>
        </is>
      </c>
      <c r="L34" s="3203" t="inlineStr">
        <is>
          <t>Contexte macro décisions BdC · timing FHSA/REER</t>
        </is>
      </c>
      <c r="M34" s="3197" t="inlineStr">
        <is>
          <t>🟢 ACTIF</t>
        </is>
      </c>
      <c r="N34" s="3199" t="inlineStr">
        <is>
          <t>12/03/2026</t>
        </is>
      </c>
      <c r="O34" s="3177" t="n"/>
      <c r="P34" s="3177" t="n"/>
    </row>
    <row r="35" ht="27.75" customHeight="1" s="1666">
      <c r="A35" s="3188" t="n">
        <v>30</v>
      </c>
      <c r="B35" s="3189" t="n">
        <v>81</v>
      </c>
      <c r="C35" s="3190" t="inlineStr">
        <is>
          <t>Financial Post Tax Guide</t>
        </is>
      </c>
      <c r="D35" s="3191" t="inlineStr">
        <is>
          <t>financialpost.com</t>
        </is>
      </c>
      <c r="E35" s="3191" t="inlineStr">
        <is>
          <t>FISCALITÉ CANADA</t>
        </is>
      </c>
      <c r="F35" s="3191" t="inlineStr">
        <is>
          <t>Canada</t>
        </is>
      </c>
      <c r="G35" s="3192" t="n">
        <v>96</v>
      </c>
      <c r="H35" s="3193" t="inlineStr">
        <is>
          <t>AA ⭐⭐</t>
        </is>
      </c>
      <c r="I35" s="3204" t="inlineStr">
        <is>
          <t>Annuel</t>
        </is>
      </c>
      <c r="J35" s="3195" t="inlineStr">
        <is>
          <t>Moyenne</t>
        </is>
      </c>
      <c r="K35" s="3191" t="inlineStr">
        <is>
          <t>Stratégies fiscales · REER tardif · optimisation · TFSA tricks</t>
        </is>
      </c>
      <c r="L35" s="3195" t="inlineStr">
        <is>
          <t>Stratégies avancées: fractionnement revenu retraite</t>
        </is>
      </c>
      <c r="M35" s="3189" t="inlineStr">
        <is>
          <t>🟢 ACTIF</t>
        </is>
      </c>
      <c r="N35" s="3191" t="inlineStr">
        <is>
          <t>12/03/2026</t>
        </is>
      </c>
      <c r="O35" s="3177" t="n"/>
      <c r="P35" s="3177" t="n"/>
    </row>
    <row r="36" ht="27.75" customHeight="1" s="1666">
      <c r="A36" s="3196" t="n">
        <v>31</v>
      </c>
      <c r="B36" s="3197" t="n">
        <v>10</v>
      </c>
      <c r="C36" s="3198" t="inlineStr">
        <is>
          <t>Bloomberg Markets</t>
        </is>
      </c>
      <c r="D36" s="3199" t="inlineStr">
        <is>
          <t>bloomberg.com/markets</t>
        </is>
      </c>
      <c r="E36" s="3199" t="inlineStr">
        <is>
          <t>PRIX LIVE &amp; MARCHÉS</t>
        </is>
      </c>
      <c r="F36" s="3199" t="inlineStr">
        <is>
          <t>Pro</t>
        </is>
      </c>
      <c r="G36" s="3200" t="n">
        <v>95</v>
      </c>
      <c r="H36" s="3201" t="inlineStr">
        <is>
          <t>AA ⭐⭐</t>
        </is>
      </c>
      <c r="I36" s="3205" t="inlineStr">
        <is>
          <t>⚠️ Certains payants</t>
        </is>
      </c>
      <c r="J36" s="3203" t="inlineStr">
        <is>
          <t>Moyenne</t>
        </is>
      </c>
      <c r="K36" s="3199" t="inlineStr">
        <is>
          <t>Macro · taux · devises · commodités · analyses</t>
        </is>
      </c>
      <c r="L36" s="3203" t="inlineStr">
        <is>
          <t>Contexte macro profond · USD/CAD · taux G7</t>
        </is>
      </c>
      <c r="M36" s="3197" t="inlineStr">
        <is>
          <t>🟢 ACTIF</t>
        </is>
      </c>
      <c r="N36" s="3199" t="inlineStr">
        <is>
          <t>12/03/2026</t>
        </is>
      </c>
      <c r="O36" s="3177" t="n"/>
      <c r="P36" s="3177" t="n"/>
    </row>
    <row r="37" ht="27.75" customHeight="1" s="1666">
      <c r="A37" s="3188" t="n">
        <v>32</v>
      </c>
      <c r="B37" s="3189" t="n">
        <v>22</v>
      </c>
      <c r="C37" s="3190" t="inlineStr">
        <is>
          <t>Macrotrends</t>
        </is>
      </c>
      <c r="D37" s="3191" t="inlineStr">
        <is>
          <t>macrotrends.net</t>
        </is>
      </c>
      <c r="E37" s="3191" t="inlineStr">
        <is>
          <t>ANALYSE FONDAMENTALE</t>
        </is>
      </c>
      <c r="F37" s="3191" t="inlineStr">
        <is>
          <t>US</t>
        </is>
      </c>
      <c r="G37" s="3192" t="n">
        <v>95</v>
      </c>
      <c r="H37" s="3193" t="inlineStr">
        <is>
          <t>AA ⭐⭐</t>
        </is>
      </c>
      <c r="I37" s="3194" t="inlineStr">
        <is>
          <t>✅</t>
        </is>
      </c>
      <c r="J37" s="3195" t="inlineStr">
        <is>
          <t>Haute</t>
        </is>
      </c>
      <c r="K37" s="3191" t="inlineStr">
        <is>
          <t>Historique 20 ans revenue/EPS/marges · P/E historique</t>
        </is>
      </c>
      <c r="L37" s="3195" t="inlineStr">
        <is>
          <t>Contexte long-terme AVGO/GOOG/AMZN/META/MSFT</t>
        </is>
      </c>
      <c r="M37" s="3189" t="inlineStr">
        <is>
          <t>🟢 ACTIF</t>
        </is>
      </c>
      <c r="N37" s="3191" t="inlineStr">
        <is>
          <t>12/03/2026</t>
        </is>
      </c>
      <c r="O37" s="3177" t="n"/>
      <c r="P37" s="3177" t="n"/>
    </row>
    <row r="38" ht="27.75" customHeight="1" s="1666">
      <c r="A38" s="3196" t="n">
        <v>33</v>
      </c>
      <c r="B38" s="3197" t="n">
        <v>61</v>
      </c>
      <c r="C38" s="3198" t="inlineStr">
        <is>
          <t>FRED St-Louis Fed</t>
        </is>
      </c>
      <c r="D38" s="3199" t="inlineStr">
        <is>
          <t>fred.stlouisfed.org</t>
        </is>
      </c>
      <c r="E38" s="3199" t="inlineStr">
        <is>
          <t>MACROÉCONOMIE</t>
        </is>
      </c>
      <c r="F38" s="3199" t="inlineStr">
        <is>
          <t>US + Global</t>
        </is>
      </c>
      <c r="G38" s="3200" t="n">
        <v>95</v>
      </c>
      <c r="H38" s="3201" t="inlineStr">
        <is>
          <t>AA ⭐⭐</t>
        </is>
      </c>
      <c r="I38" s="3205" t="inlineStr">
        <is>
          <t>Mensuel/continu</t>
        </is>
      </c>
      <c r="J38" s="3203" t="inlineStr">
        <is>
          <t>Moyenne</t>
        </is>
      </c>
      <c r="K38" s="3199" t="inlineStr">
        <is>
          <t>PIB · CPI · taux · emploi · M2 · Yield Curve · 800K+ séries</t>
        </is>
      </c>
      <c r="L38" s="3203" t="inlineStr">
        <is>
          <t>Contexte macro profond · taux réels · signaux récession</t>
        </is>
      </c>
      <c r="M38" s="3197" t="inlineStr">
        <is>
          <t>🟢 ACTIF</t>
        </is>
      </c>
      <c r="N38" s="3199" t="inlineStr">
        <is>
          <t>12/03/2026</t>
        </is>
      </c>
      <c r="O38" s="3177" t="n"/>
      <c r="P38" s="3177" t="n"/>
    </row>
    <row r="39" ht="27.75" customHeight="1" s="1666">
      <c r="A39" s="3188" t="n">
        <v>34</v>
      </c>
      <c r="B39" s="3189" t="n">
        <v>91</v>
      </c>
      <c r="C39" s="3190" t="inlineStr">
        <is>
          <t>iShares Canada</t>
        </is>
      </c>
      <c r="D39" s="3191" t="inlineStr">
        <is>
          <t>blackrock.com/ca</t>
        </is>
      </c>
      <c r="E39" s="3191" t="inlineStr">
        <is>
          <t>ETFs CANADA</t>
        </is>
      </c>
      <c r="F39" s="3191" t="inlineStr">
        <is>
          <t>Émetteur officiel</t>
        </is>
      </c>
      <c r="G39" s="3192" t="n">
        <v>95</v>
      </c>
      <c r="H39" s="3193" t="inlineStr">
        <is>
          <t>AA ⭐⭐</t>
        </is>
      </c>
      <c r="I39" s="3194" t="inlineStr">
        <is>
          <t>✅</t>
        </is>
      </c>
      <c r="J39" s="3195" t="inlineStr">
        <is>
          <t>Moyenne</t>
        </is>
      </c>
      <c r="K39" s="3191" t="inlineStr">
        <is>
          <t>XEI · XIC · XEQT · XBAL · ZLB · factsheets · NAV</t>
        </is>
      </c>
      <c r="L39" s="3195" t="inlineStr">
        <is>
          <t>Source officielle XEQT/XEI/XIC/ZLB FHSA+TFSA</t>
        </is>
      </c>
      <c r="M39" s="3189" t="inlineStr">
        <is>
          <t>🟢 ACTIF</t>
        </is>
      </c>
      <c r="N39" s="3191" t="inlineStr">
        <is>
          <t>12/03/2026</t>
        </is>
      </c>
      <c r="O39" s="3177" t="n"/>
      <c r="P39" s="3177" t="n"/>
    </row>
    <row r="40" ht="27.75" customHeight="1" s="1666">
      <c r="A40" s="3196" t="n">
        <v>35</v>
      </c>
      <c r="B40" s="3197" t="n">
        <v>92</v>
      </c>
      <c r="C40" s="3198" t="inlineStr">
        <is>
          <t>Vanguard Canada</t>
        </is>
      </c>
      <c r="D40" s="3199" t="inlineStr">
        <is>
          <t>vanguard.ca</t>
        </is>
      </c>
      <c r="E40" s="3199" t="inlineStr">
        <is>
          <t>ETFs CANADA</t>
        </is>
      </c>
      <c r="F40" s="3199" t="inlineStr">
        <is>
          <t>Émetteur officiel</t>
        </is>
      </c>
      <c r="G40" s="3200" t="n">
        <v>95</v>
      </c>
      <c r="H40" s="3201" t="inlineStr">
        <is>
          <t>AA ⭐⭐</t>
        </is>
      </c>
      <c r="I40" s="3202" t="inlineStr">
        <is>
          <t>✅</t>
        </is>
      </c>
      <c r="J40" s="3203" t="inlineStr">
        <is>
          <t>Moyenne</t>
        </is>
      </c>
      <c r="K40" s="3199" t="inlineStr">
        <is>
          <t>VFV · VEQT · VDU · VDY · VBAL · frais · composition</t>
        </is>
      </c>
      <c r="L40" s="3203" t="inlineStr">
        <is>
          <t>Source officielle VFV/VDU · core FHSA/TFSA</t>
        </is>
      </c>
      <c r="M40" s="3197" t="inlineStr">
        <is>
          <t>🟢 ACTIF</t>
        </is>
      </c>
      <c r="N40" s="3199" t="inlineStr">
        <is>
          <t>12/03/2026</t>
        </is>
      </c>
      <c r="O40" s="3177" t="n"/>
      <c r="P40" s="3177" t="n"/>
    </row>
    <row r="41" ht="27.75" customHeight="1" s="1666">
      <c r="A41" s="3188" t="n">
        <v>36</v>
      </c>
      <c r="B41" s="3189" t="n">
        <v>65</v>
      </c>
      <c r="C41" s="3190" t="inlineStr">
        <is>
          <t>CME FedWatch</t>
        </is>
      </c>
      <c r="D41" s="3191" t="inlineStr">
        <is>
          <t>cmegroup.com/markets/interest-rates/cme-fedwatch-tool.html</t>
        </is>
      </c>
      <c r="E41" s="3191" t="inlineStr">
        <is>
          <t>MACROÉCONOMIE</t>
        </is>
      </c>
      <c r="F41" s="3191" t="inlineStr">
        <is>
          <t>US</t>
        </is>
      </c>
      <c r="G41" s="3192" t="n">
        <v>94</v>
      </c>
      <c r="H41" s="3193" t="inlineStr">
        <is>
          <t>AA ⭐⭐</t>
        </is>
      </c>
      <c r="I41" s="3204" t="inlineStr">
        <is>
          <t>Temps réel</t>
        </is>
      </c>
      <c r="J41" s="3195" t="inlineStr">
        <is>
          <t>Moyenne</t>
        </is>
      </c>
      <c r="K41" s="3191" t="inlineStr">
        <is>
          <t>Probabilités Fed rate futures · dot plot implicite</t>
        </is>
      </c>
      <c r="L41" s="3195" t="inlineStr">
        <is>
          <t>Anticiper USD/CAD · timing achats USD (SCHD/AVGO)</t>
        </is>
      </c>
      <c r="M41" s="3189" t="inlineStr">
        <is>
          <t>🟢 ACTIF</t>
        </is>
      </c>
      <c r="N41" s="3191" t="inlineStr">
        <is>
          <t>12/03/2026</t>
        </is>
      </c>
      <c r="O41" s="3177" t="n"/>
      <c r="P41" s="3177" t="n"/>
    </row>
    <row r="42" ht="27.75" customHeight="1" s="1666">
      <c r="A42" s="3196" t="n">
        <v>37</v>
      </c>
      <c r="B42" s="3197" t="n">
        <v>93</v>
      </c>
      <c r="C42" s="3198" t="inlineStr">
        <is>
          <t>BMO ETFs</t>
        </is>
      </c>
      <c r="D42" s="3199" t="inlineStr">
        <is>
          <t>bmo.com/etfs</t>
        </is>
      </c>
      <c r="E42" s="3199" t="inlineStr">
        <is>
          <t>ETFs CANADA</t>
        </is>
      </c>
      <c r="F42" s="3199" t="inlineStr">
        <is>
          <t>Émetteur officiel</t>
        </is>
      </c>
      <c r="G42" s="3200" t="n">
        <v>94</v>
      </c>
      <c r="H42" s="3201" t="inlineStr">
        <is>
          <t>AA ⭐⭐</t>
        </is>
      </c>
      <c r="I42" s="3202" t="inlineStr">
        <is>
          <t>✅</t>
        </is>
      </c>
      <c r="J42" s="3203" t="inlineStr">
        <is>
          <t>Moyenne</t>
        </is>
      </c>
      <c r="K42" s="3199" t="inlineStr">
        <is>
          <t>ZRE · ZLB · ZEQT · ZEB · ZAG · rendement · RFG</t>
        </is>
      </c>
      <c r="L42" s="3203" t="inlineStr">
        <is>
          <t>Source officielle ZRE/ZLB · T4 surveillance</t>
        </is>
      </c>
      <c r="M42" s="3197" t="inlineStr">
        <is>
          <t>🟢 ACTIF</t>
        </is>
      </c>
      <c r="N42" s="3199" t="inlineStr">
        <is>
          <t>12/03/2026</t>
        </is>
      </c>
      <c r="O42" s="3177" t="n"/>
      <c r="P42" s="3177" t="n"/>
    </row>
    <row r="43" ht="27.75" customHeight="1" s="1666">
      <c r="A43" s="3188" t="n">
        <v>38</v>
      </c>
      <c r="B43" s="3189" t="n">
        <v>45</v>
      </c>
      <c r="C43" s="3190" t="inlineStr">
        <is>
          <t>EDGAR SEC</t>
        </is>
      </c>
      <c r="D43" s="3191" t="inlineStr">
        <is>
          <t>sec.gov/cgi-bin/browse-edgar</t>
        </is>
      </c>
      <c r="E43" s="3191" t="inlineStr">
        <is>
          <t>ANALYSE FONDAMENTALE</t>
        </is>
      </c>
      <c r="F43" s="3191" t="inlineStr">
        <is>
          <t>US officiel</t>
        </is>
      </c>
      <c r="G43" s="3192" t="n">
        <v>93</v>
      </c>
      <c r="H43" s="3193" t="inlineStr">
        <is>
          <t>AA ⭐⭐</t>
        </is>
      </c>
      <c r="I43" s="3194" t="inlineStr">
        <is>
          <t>✅</t>
        </is>
      </c>
      <c r="J43" s="3195" t="inlineStr">
        <is>
          <t>Haute</t>
        </is>
      </c>
      <c r="K43" s="3191" t="inlineStr">
        <is>
          <t>10-K · 10-Q · 8-K · proxy · insider forms</t>
        </is>
      </c>
      <c r="L43" s="3195" t="inlineStr">
        <is>
          <t>Documents officiels titres US si analyse profonde</t>
        </is>
      </c>
      <c r="M43" s="3189" t="inlineStr">
        <is>
          <t>🟢 ACTIF</t>
        </is>
      </c>
      <c r="N43" s="3191" t="inlineStr">
        <is>
          <t>12/03/2026</t>
        </is>
      </c>
      <c r="O43" s="3177" t="n"/>
      <c r="P43" s="3177" t="n"/>
    </row>
    <row r="44" ht="27.75" customHeight="1" s="1666">
      <c r="A44" s="3196" t="n">
        <v>39</v>
      </c>
      <c r="B44" s="3197" t="n">
        <v>106</v>
      </c>
      <c r="C44" s="3198" t="inlineStr">
        <is>
          <t>Rational Reminder Podcast</t>
        </is>
      </c>
      <c r="D44" s="3199" t="inlineStr">
        <is>
          <t>rationalreminder.ca</t>
        </is>
      </c>
      <c r="E44" s="3199" t="inlineStr">
        <is>
          <t>FIRE &amp; PSYCHOLOGIE</t>
        </is>
      </c>
      <c r="F44" s="3199" t="inlineStr">
        <is>
          <t>Podcast CA</t>
        </is>
      </c>
      <c r="G44" s="3200" t="n">
        <v>93</v>
      </c>
      <c r="H44" s="3201" t="inlineStr">
        <is>
          <t>AA ⭐⭐</t>
        </is>
      </c>
      <c r="I44" s="3202" t="inlineStr">
        <is>
          <t>✅</t>
        </is>
      </c>
      <c r="J44" s="3203" t="inlineStr">
        <is>
          <t>Sélective</t>
        </is>
      </c>
      <c r="K44" s="3199" t="inlineStr">
        <is>
          <t>Evidence-based · Ben Felix (PWL) · comportement · facteurs</t>
        </is>
      </c>
      <c r="L44" s="3203" t="inlineStr">
        <is>
          <t>⭐⭐⭐⭐⭐ Meilleur podcast CA · biais comportementaux</t>
        </is>
      </c>
      <c r="M44" s="3197" t="inlineStr">
        <is>
          <t>🟢 ACTIF</t>
        </is>
      </c>
      <c r="N44" s="3199" t="inlineStr">
        <is>
          <t>12/03/2026</t>
        </is>
      </c>
      <c r="O44" s="3177" t="n"/>
      <c r="P44" s="3177" t="n"/>
    </row>
    <row r="45" ht="27.75" customHeight="1" s="1666">
      <c r="A45" s="3206" t="n">
        <v>40</v>
      </c>
      <c r="B45" s="3207" t="n">
        <v>161</v>
      </c>
      <c r="C45" s="3208" t="inlineStr">
        <is>
          <t>Rational Reminder Podcast</t>
        </is>
      </c>
      <c r="D45" s="3209" t="inlineStr">
        <is>
          <t>rationalreminder.ca</t>
        </is>
      </c>
      <c r="E45" s="3209" t="inlineStr">
        <is>
          <t>PODCASTS &amp; MÉDIAS</t>
        </is>
      </c>
      <c r="F45" s="3209" t="inlineStr">
        <is>
          <t>Podcast CA #1</t>
        </is>
      </c>
      <c r="G45" s="3210" t="n">
        <v>91</v>
      </c>
      <c r="H45" s="3211" t="inlineStr">
        <is>
          <t>A ⭐</t>
        </is>
      </c>
      <c r="I45" s="3212" t="inlineStr">
        <is>
          <t>✅</t>
        </is>
      </c>
      <c r="J45" s="3213" t="inlineStr">
        <is>
          <t>Sélective</t>
        </is>
      </c>
      <c r="K45" s="3209" t="inlineStr">
        <is>
          <t>Evidence-based · facteurs · comportement · Ben Felix</t>
        </is>
      </c>
      <c r="L45" s="3213" t="inlineStr">
        <is>
          <t>Meilleur CA · aucun biais product · recherche pure</t>
        </is>
      </c>
      <c r="M45" s="3207" t="inlineStr">
        <is>
          <t>🟢 ACTIF</t>
        </is>
      </c>
      <c r="N45" s="3209" t="inlineStr">
        <is>
          <t>12/03/2026</t>
        </is>
      </c>
      <c r="O45" s="3177" t="n"/>
      <c r="P45" s="3177" t="n"/>
    </row>
    <row r="46" ht="27.75" customHeight="1" s="1666">
      <c r="A46" s="3214" t="n">
        <v>41</v>
      </c>
      <c r="B46" s="3215" t="n">
        <v>7</v>
      </c>
      <c r="C46" s="3216" t="inlineStr">
        <is>
          <t>MarketWatch</t>
        </is>
      </c>
      <c r="D46" s="3217" t="inlineStr">
        <is>
          <t>marketwatch.com</t>
        </is>
      </c>
      <c r="E46" s="3217" t="inlineStr">
        <is>
          <t>PRIX LIVE &amp; MARCHÉS</t>
        </is>
      </c>
      <c r="F46" s="3217" t="inlineStr">
        <is>
          <t>Actualités + prix</t>
        </is>
      </c>
      <c r="G46" s="3218" t="n">
        <v>90</v>
      </c>
      <c r="H46" s="3219" t="inlineStr">
        <is>
          <t>A ⭐</t>
        </is>
      </c>
      <c r="I46" s="3220" t="inlineStr">
        <is>
          <t>✅</t>
        </is>
      </c>
      <c r="J46" s="3221" t="inlineStr">
        <is>
          <t>Haute</t>
        </is>
      </c>
      <c r="K46" s="3217" t="inlineStr">
        <is>
          <t>Marchés US · news en direct · S&amp;P500 · TSX · forex</t>
        </is>
      </c>
      <c r="L46" s="3221" t="inlineStr">
        <is>
          <t>Suivi macro intraday · mouvements sectoriels</t>
        </is>
      </c>
      <c r="M46" s="3215" t="inlineStr">
        <is>
          <t>🟢 ACTIF</t>
        </is>
      </c>
      <c r="N46" s="3217" t="inlineStr">
        <is>
          <t>12/03/2026</t>
        </is>
      </c>
      <c r="O46" s="3177" t="n"/>
      <c r="P46" s="3177" t="n"/>
    </row>
    <row r="47" ht="27.75" customHeight="1" s="1666">
      <c r="A47" s="3206" t="n">
        <v>42</v>
      </c>
      <c r="B47" s="3207" t="n">
        <v>8</v>
      </c>
      <c r="C47" s="3208" t="inlineStr">
        <is>
          <t>CBOE VIX</t>
        </is>
      </c>
      <c r="D47" s="3209" t="inlineStr">
        <is>
          <t>cboe.com/vix</t>
        </is>
      </c>
      <c r="E47" s="3209" t="inlineStr">
        <is>
          <t>PRIX LIVE &amp; MARCHÉS</t>
        </is>
      </c>
      <c r="F47" s="3209" t="inlineStr">
        <is>
          <t>Indicateur peur</t>
        </is>
      </c>
      <c r="G47" s="3210" t="n">
        <v>90</v>
      </c>
      <c r="H47" s="3211" t="inlineStr">
        <is>
          <t>A ⭐</t>
        </is>
      </c>
      <c r="I47" s="3212" t="inlineStr">
        <is>
          <t>✅</t>
        </is>
      </c>
      <c r="J47" s="3213" t="inlineStr">
        <is>
          <t>Haute</t>
        </is>
      </c>
      <c r="K47" s="3209" t="inlineStr">
        <is>
          <t>VIX en temps réel · historique · term structure</t>
        </is>
      </c>
      <c r="L47" s="3213" t="inlineStr">
        <is>
          <t>Signal buy: VIX&gt;25=acheter · VIX&gt;30=agressif</t>
        </is>
      </c>
      <c r="M47" s="3207" t="inlineStr">
        <is>
          <t>🟢 ACTIF</t>
        </is>
      </c>
      <c r="N47" s="3209" t="inlineStr">
        <is>
          <t>12/03/2026</t>
        </is>
      </c>
      <c r="O47" s="3177" t="n"/>
      <c r="P47" s="3177" t="n"/>
    </row>
    <row r="48" ht="27.75" customHeight="1" s="1666">
      <c r="A48" s="3214" t="n">
        <v>43</v>
      </c>
      <c r="B48" s="3215" t="n">
        <v>9</v>
      </c>
      <c r="C48" s="3216" t="inlineStr">
        <is>
          <t>Investing.com</t>
        </is>
      </c>
      <c r="D48" s="3217" t="inlineStr">
        <is>
          <t>investing.com</t>
        </is>
      </c>
      <c r="E48" s="3217" t="inlineStr">
        <is>
          <t>PRIX LIVE &amp; MARCHÉS</t>
        </is>
      </c>
      <c r="F48" s="3217" t="inlineStr">
        <is>
          <t>Agrégateur complet</t>
        </is>
      </c>
      <c r="G48" s="3218" t="n">
        <v>90</v>
      </c>
      <c r="H48" s="3219" t="inlineStr">
        <is>
          <t>A ⭐</t>
        </is>
      </c>
      <c r="I48" s="3220" t="inlineStr">
        <is>
          <t>✅</t>
        </is>
      </c>
      <c r="J48" s="3221" t="inlineStr">
        <is>
          <t>Haute</t>
        </is>
      </c>
      <c r="K48" s="3217" t="inlineStr">
        <is>
          <t>Prix · calendrier éco · earnings · forex · crypto</t>
        </is>
      </c>
      <c r="L48" s="3221" t="inlineStr">
        <is>
          <t>Calendrier BdC/Fed · earnings dates T1/T2</t>
        </is>
      </c>
      <c r="M48" s="3215" t="inlineStr">
        <is>
          <t>🟢 ACTIF</t>
        </is>
      </c>
      <c r="N48" s="3217" t="inlineStr">
        <is>
          <t>12/03/2026</t>
        </is>
      </c>
      <c r="O48" s="3177" t="n"/>
      <c r="P48" s="3177" t="n"/>
    </row>
    <row r="49" ht="27.75" customHeight="1" s="1666">
      <c r="A49" s="3206" t="n">
        <v>44</v>
      </c>
      <c r="B49" s="3207" t="n">
        <v>11</v>
      </c>
      <c r="C49" s="3208" t="inlineStr">
        <is>
          <t>Reuters Markets</t>
        </is>
      </c>
      <c r="D49" s="3209" t="inlineStr">
        <is>
          <t>reuters.com/markets</t>
        </is>
      </c>
      <c r="E49" s="3209" t="inlineStr">
        <is>
          <t>PRIX LIVE &amp; MARCHÉS</t>
        </is>
      </c>
      <c r="F49" s="3209" t="inlineStr">
        <is>
          <t>Actualités</t>
        </is>
      </c>
      <c r="G49" s="3210" t="n">
        <v>90</v>
      </c>
      <c r="H49" s="3211" t="inlineStr">
        <is>
          <t>A ⭐</t>
        </is>
      </c>
      <c r="I49" s="3212" t="inlineStr">
        <is>
          <t>✅</t>
        </is>
      </c>
      <c r="J49" s="3213" t="inlineStr">
        <is>
          <t>Haute</t>
        </is>
      </c>
      <c r="K49" s="3209" t="inlineStr">
        <is>
          <t>News mondiales · marchés · macro · géopolitique</t>
        </is>
      </c>
      <c r="L49" s="3213" t="inlineStr">
        <is>
          <t>Contexte géopolitique impactant US/CA marché</t>
        </is>
      </c>
      <c r="M49" s="3207" t="inlineStr">
        <is>
          <t>🟢 ACTIF</t>
        </is>
      </c>
      <c r="N49" s="3209" t="inlineStr">
        <is>
          <t>12/03/2026</t>
        </is>
      </c>
      <c r="O49" s="3177" t="n"/>
      <c r="P49" s="3177" t="n"/>
    </row>
    <row r="50" ht="27.75" customHeight="1" s="1666">
      <c r="A50" s="3214" t="n">
        <v>45</v>
      </c>
      <c r="B50" s="3215" t="n">
        <v>12</v>
      </c>
      <c r="C50" s="3216" t="inlineStr">
        <is>
          <t>CNBC</t>
        </is>
      </c>
      <c r="D50" s="3217" t="inlineStr">
        <is>
          <t>cnbc.com/markets</t>
        </is>
      </c>
      <c r="E50" s="3217" t="inlineStr">
        <is>
          <t>PRIX LIVE &amp; MARCHÉS</t>
        </is>
      </c>
      <c r="F50" s="3217" t="inlineStr">
        <is>
          <t>TV + web</t>
        </is>
      </c>
      <c r="G50" s="3218" t="n">
        <v>90</v>
      </c>
      <c r="H50" s="3219" t="inlineStr">
        <is>
          <t>A ⭐</t>
        </is>
      </c>
      <c r="I50" s="3220" t="inlineStr">
        <is>
          <t>✅</t>
        </is>
      </c>
      <c r="J50" s="3221" t="inlineStr">
        <is>
          <t>Haute</t>
        </is>
      </c>
      <c r="K50" s="3217" t="inlineStr">
        <is>
          <t>News US · analyses · earnings · secteurs · technos</t>
        </is>
      </c>
      <c r="L50" s="3221" t="inlineStr">
        <is>
          <t>Breaking news T1 (AVGO/GEV/SMH) avant achat</t>
        </is>
      </c>
      <c r="M50" s="3215" t="inlineStr">
        <is>
          <t>🟢 ACTIF</t>
        </is>
      </c>
      <c r="N50" s="3217" t="inlineStr">
        <is>
          <t>12/03/2026</t>
        </is>
      </c>
      <c r="O50" s="3177" t="n"/>
      <c r="P50" s="3177" t="n"/>
    </row>
    <row r="51" ht="27.75" customHeight="1" s="1666">
      <c r="A51" s="3206" t="n">
        <v>46</v>
      </c>
      <c r="B51" s="3207" t="n">
        <v>13</v>
      </c>
      <c r="C51" s="3208" t="inlineStr">
        <is>
          <t>TMX Money</t>
        </is>
      </c>
      <c r="D51" s="3209" t="inlineStr">
        <is>
          <t>money.tmx.com</t>
        </is>
      </c>
      <c r="E51" s="3209" t="inlineStr">
        <is>
          <t>PRIX LIVE &amp; MARCHÉS</t>
        </is>
      </c>
      <c r="F51" s="3209" t="inlineStr">
        <is>
          <t>Officiel TSX</t>
        </is>
      </c>
      <c r="G51" s="3210" t="n">
        <v>90</v>
      </c>
      <c r="H51" s="3211" t="inlineStr">
        <is>
          <t>A ⭐</t>
        </is>
      </c>
      <c r="I51" s="3212" t="inlineStr">
        <is>
          <t>✅</t>
        </is>
      </c>
      <c r="J51" s="3213" t="inlineStr">
        <is>
          <t>Haute</t>
        </is>
      </c>
      <c r="K51" s="3209" t="inlineStr">
        <is>
          <t>Prix TSX/TSXV officiels · données EOD gratuites</t>
        </is>
      </c>
      <c r="L51" s="3213" t="inlineStr">
        <is>
          <t>Source officielle tickers CA · historique TSX</t>
        </is>
      </c>
      <c r="M51" s="3207" t="inlineStr">
        <is>
          <t>🟢 ACTIF</t>
        </is>
      </c>
      <c r="N51" s="3209" t="inlineStr">
        <is>
          <t>12/03/2026</t>
        </is>
      </c>
      <c r="O51" s="3177" t="n"/>
      <c r="P51" s="3177" t="n"/>
    </row>
    <row r="52" ht="27.75" customHeight="1" s="1666">
      <c r="A52" s="3214" t="n">
        <v>47</v>
      </c>
      <c r="B52" s="3215" t="n">
        <v>15</v>
      </c>
      <c r="C52" s="3216" t="inlineStr">
        <is>
          <t>Finviz</t>
        </is>
      </c>
      <c r="D52" s="3217" t="inlineStr">
        <is>
          <t>finviz.com</t>
        </is>
      </c>
      <c r="E52" s="3217" t="inlineStr">
        <is>
          <t>PRIX LIVE &amp; MARCHÉS</t>
        </is>
      </c>
      <c r="F52" s="3217" t="inlineStr">
        <is>
          <t>Screener US</t>
        </is>
      </c>
      <c r="G52" s="3218" t="n">
        <v>89</v>
      </c>
      <c r="H52" s="3219" t="inlineStr">
        <is>
          <t>A ⭐</t>
        </is>
      </c>
      <c r="I52" s="3220" t="inlineStr">
        <is>
          <t>✅</t>
        </is>
      </c>
      <c r="J52" s="3221" t="inlineStr">
        <is>
          <t>Haute</t>
        </is>
      </c>
      <c r="K52" s="3217" t="inlineStr">
        <is>
          <t>Screener actions US · heat maps · insider trades</t>
        </is>
      </c>
      <c r="L52" s="3221" t="inlineStr">
        <is>
          <t>Heatmap sectorielle · identifier dips sectoriels</t>
        </is>
      </c>
      <c r="M52" s="3215" t="inlineStr">
        <is>
          <t>🟢 ACTIF</t>
        </is>
      </c>
      <c r="N52" s="3217" t="inlineStr">
        <is>
          <t>12/03/2026</t>
        </is>
      </c>
      <c r="O52" s="3177" t="n"/>
      <c r="P52" s="3177" t="n"/>
    </row>
    <row r="53" ht="27.75" customHeight="1" s="1666">
      <c r="A53" s="3206" t="n">
        <v>48</v>
      </c>
      <c r="B53" s="3207" t="n">
        <v>18</v>
      </c>
      <c r="C53" s="3208" t="inlineStr">
        <is>
          <t>Currency Converter XE</t>
        </is>
      </c>
      <c r="D53" s="3209" t="inlineStr">
        <is>
          <t>xe.com</t>
        </is>
      </c>
      <c r="E53" s="3209" t="inlineStr">
        <is>
          <t>PRIX LIVE &amp; MARCHÉS</t>
        </is>
      </c>
      <c r="F53" s="3209" t="inlineStr">
        <is>
          <t>Forex</t>
        </is>
      </c>
      <c r="G53" s="3210" t="n">
        <v>89</v>
      </c>
      <c r="H53" s="3211" t="inlineStr">
        <is>
          <t>A ⭐</t>
        </is>
      </c>
      <c r="I53" s="3212" t="inlineStr">
        <is>
          <t>✅</t>
        </is>
      </c>
      <c r="J53" s="3213" t="inlineStr">
        <is>
          <t>Haute</t>
        </is>
      </c>
      <c r="K53" s="3209" t="inlineStr">
        <is>
          <t>USD/CAD live · historique · convertisseur · graphique</t>
        </is>
      </c>
      <c r="L53" s="3213" t="inlineStr">
        <is>
          <t>Vérification USD/CAD avant achat &gt;$500 USD</t>
        </is>
      </c>
      <c r="M53" s="3207" t="inlineStr">
        <is>
          <t>🟢 ACTIF</t>
        </is>
      </c>
      <c r="N53" s="3209" t="inlineStr">
        <is>
          <t>12/03/2026</t>
        </is>
      </c>
      <c r="O53" s="3177" t="n"/>
      <c r="P53" s="3177" t="n"/>
    </row>
    <row r="54" ht="27.75" customHeight="1" s="1666">
      <c r="A54" s="3214" t="n">
        <v>49</v>
      </c>
      <c r="B54" s="3215" t="n">
        <v>19</v>
      </c>
      <c r="C54" s="3216" t="inlineStr">
        <is>
          <t>Bank of Canada FX</t>
        </is>
      </c>
      <c r="D54" s="3217" t="inlineStr">
        <is>
          <t>bankofcanada.ca/rates/exchange</t>
        </is>
      </c>
      <c r="E54" s="3217" t="inlineStr">
        <is>
          <t>PRIX LIVE &amp; MARCHÉS</t>
        </is>
      </c>
      <c r="F54" s="3217" t="inlineStr">
        <is>
          <t>Officiel</t>
        </is>
      </c>
      <c r="G54" s="3218" t="n">
        <v>89</v>
      </c>
      <c r="H54" s="3219" t="inlineStr">
        <is>
          <t>A ⭐</t>
        </is>
      </c>
      <c r="I54" s="3220" t="inlineStr">
        <is>
          <t>✅</t>
        </is>
      </c>
      <c r="J54" s="3221" t="inlineStr">
        <is>
          <t>Haute</t>
        </is>
      </c>
      <c r="K54" s="3217" t="inlineStr">
        <is>
          <t>Taux officiels BdC · historique · JSON téléchargeable</t>
        </is>
      </c>
      <c r="L54" s="3221" t="inlineStr">
        <is>
          <t>Source officielle USD/CAD si GOOGLEFINANCE défaillant</t>
        </is>
      </c>
      <c r="M54" s="3215" t="inlineStr">
        <is>
          <t>🟢 ACTIF</t>
        </is>
      </c>
      <c r="N54" s="3217" t="inlineStr">
        <is>
          <t>12/03/2026</t>
        </is>
      </c>
      <c r="O54" s="3177" t="n"/>
      <c r="P54" s="3177" t="n"/>
    </row>
    <row r="55" ht="27.75" customHeight="1" s="1666">
      <c r="A55" s="3206" t="n">
        <v>50</v>
      </c>
      <c r="B55" s="3207" t="n">
        <v>33</v>
      </c>
      <c r="C55" s="3208" t="inlineStr">
        <is>
          <t>Microsoft IR</t>
        </is>
      </c>
      <c r="D55" s="3209" t="inlineStr">
        <is>
          <t>microsoft.com/en-us/investor</t>
        </is>
      </c>
      <c r="E55" s="3209" t="inlineStr">
        <is>
          <t>ANALYSE FONDAMENTALE</t>
        </is>
      </c>
      <c r="F55" s="3209" t="inlineStr">
        <is>
          <t>MSFT (officiel)</t>
        </is>
      </c>
      <c r="G55" s="3210" t="n">
        <v>88</v>
      </c>
      <c r="H55" s="3211" t="inlineStr">
        <is>
          <t>A ⭐</t>
        </is>
      </c>
      <c r="I55" s="3212" t="inlineStr">
        <is>
          <t>✅</t>
        </is>
      </c>
      <c r="J55" s="3213" t="inlineStr">
        <is>
          <t>Haute</t>
        </is>
      </c>
      <c r="K55" s="3209" t="inlineStr">
        <is>
          <t>Résultats · Azure · Copilot · gaming · cloud</t>
        </is>
      </c>
      <c r="L55" s="3213" t="inlineStr">
        <is>
          <t>Source primaire MSFT · suivi Azure growth</t>
        </is>
      </c>
      <c r="M55" s="3207" t="inlineStr">
        <is>
          <t>🟢 ACTIF</t>
        </is>
      </c>
      <c r="N55" s="3209" t="inlineStr">
        <is>
          <t>12/03/2026</t>
        </is>
      </c>
      <c r="O55" s="3177" t="n"/>
      <c r="P55" s="3177" t="n"/>
    </row>
    <row r="56" ht="27.75" customHeight="1" s="1666">
      <c r="A56" s="3214" t="n">
        <v>51</v>
      </c>
      <c r="B56" s="3215" t="n">
        <v>34</v>
      </c>
      <c r="C56" s="3216" t="inlineStr">
        <is>
          <t>SPGI IR</t>
        </is>
      </c>
      <c r="D56" s="3217" t="inlineStr">
        <is>
          <t>investor.spglobal.com</t>
        </is>
      </c>
      <c r="E56" s="3217" t="inlineStr">
        <is>
          <t>ANALYSE FONDAMENTALE</t>
        </is>
      </c>
      <c r="F56" s="3217" t="inlineStr">
        <is>
          <t>SPGI (officiel)</t>
        </is>
      </c>
      <c r="G56" s="3218" t="n">
        <v>88</v>
      </c>
      <c r="H56" s="3219" t="inlineStr">
        <is>
          <t>A ⭐</t>
        </is>
      </c>
      <c r="I56" s="3220" t="inlineStr">
        <is>
          <t>✅</t>
        </is>
      </c>
      <c r="J56" s="3221" t="inlineStr">
        <is>
          <t>Haute</t>
        </is>
      </c>
      <c r="K56" s="3217" t="inlineStr">
        <is>
          <t>Résultats · Platts · Ratings · data solutions · margins</t>
        </is>
      </c>
      <c r="L56" s="3221" t="inlineStr">
        <is>
          <t>Source primaire SPGI · moat données financières</t>
        </is>
      </c>
      <c r="M56" s="3215" t="inlineStr">
        <is>
          <t>🟢 ACTIF</t>
        </is>
      </c>
      <c r="N56" s="3217" t="inlineStr">
        <is>
          <t>12/03/2026</t>
        </is>
      </c>
      <c r="O56" s="3177" t="n"/>
      <c r="P56" s="3177" t="n"/>
    </row>
    <row r="57" ht="27.75" customHeight="1" s="1666">
      <c r="A57" s="3206" t="n">
        <v>52</v>
      </c>
      <c r="B57" s="3207" t="n">
        <v>35</v>
      </c>
      <c r="C57" s="3208" t="inlineStr">
        <is>
          <t>VanEck SMH</t>
        </is>
      </c>
      <c r="D57" s="3209" t="inlineStr">
        <is>
          <t>vaneck.com/us/en/.../smh</t>
        </is>
      </c>
      <c r="E57" s="3209" t="inlineStr">
        <is>
          <t>ANALYSE FONDAMENTALE</t>
        </is>
      </c>
      <c r="F57" s="3209" t="inlineStr">
        <is>
          <t>SMH (officiel)</t>
        </is>
      </c>
      <c r="G57" s="3210" t="n">
        <v>88</v>
      </c>
      <c r="H57" s="3211" t="inlineStr">
        <is>
          <t>A ⭐</t>
        </is>
      </c>
      <c r="I57" s="3212" t="inlineStr">
        <is>
          <t>✅</t>
        </is>
      </c>
      <c r="J57" s="3213" t="inlineStr">
        <is>
          <t>Haute</t>
        </is>
      </c>
      <c r="K57" s="3209" t="inlineStr">
        <is>
          <t>Composition · top holdings · performance · rebalancement</t>
        </is>
      </c>
      <c r="L57" s="3213" t="inlineStr">
        <is>
          <t>Source primaire SMH · vérifier exposition semis</t>
        </is>
      </c>
      <c r="M57" s="3207" t="inlineStr">
        <is>
          <t>🟢 ACTIF</t>
        </is>
      </c>
      <c r="N57" s="3209" t="inlineStr">
        <is>
          <t>12/03/2026</t>
        </is>
      </c>
      <c r="O57" s="3177" t="n"/>
      <c r="P57" s="3177" t="n"/>
    </row>
    <row r="58" ht="27.75" customHeight="1" s="1666">
      <c r="A58" s="3214" t="n">
        <v>53</v>
      </c>
      <c r="B58" s="3215" t="n">
        <v>40</v>
      </c>
      <c r="C58" s="3216" t="inlineStr">
        <is>
          <t>TD Bank IR</t>
        </is>
      </c>
      <c r="D58" s="3217" t="inlineStr">
        <is>
          <t>td.com/ca/en/investor-relations</t>
        </is>
      </c>
      <c r="E58" s="3217" t="inlineStr">
        <is>
          <t>ANALYSE FONDAMENTALE</t>
        </is>
      </c>
      <c r="F58" s="3217" t="inlineStr">
        <is>
          <t>TD.TO (officiel)</t>
        </is>
      </c>
      <c r="G58" s="3218" t="n">
        <v>88</v>
      </c>
      <c r="H58" s="3219" t="inlineStr">
        <is>
          <t>A ⭐</t>
        </is>
      </c>
      <c r="I58" s="3220" t="inlineStr">
        <is>
          <t>✅</t>
        </is>
      </c>
      <c r="J58" s="3221" t="inlineStr">
        <is>
          <t>Haute</t>
        </is>
      </c>
      <c r="K58" s="3217" t="inlineStr">
        <is>
          <t>Résultats bancaires · provision · CET1 · dividende</t>
        </is>
      </c>
      <c r="L58" s="3221" t="inlineStr">
        <is>
          <t>Source primaire TD · T3 TFSA/FHSA · surveillance</t>
        </is>
      </c>
      <c r="M58" s="3215" t="inlineStr">
        <is>
          <t>🟢 ACTIF</t>
        </is>
      </c>
      <c r="N58" s="3217" t="inlineStr">
        <is>
          <t>12/03/2026</t>
        </is>
      </c>
      <c r="O58" s="3177" t="n"/>
      <c r="P58" s="3177" t="n"/>
    </row>
    <row r="59" ht="27.75" customHeight="1" s="1666">
      <c r="A59" s="3206" t="n">
        <v>54</v>
      </c>
      <c r="B59" s="3207" t="n">
        <v>85</v>
      </c>
      <c r="C59" s="3208" t="inlineStr">
        <is>
          <t>Loonie Doctor</t>
        </is>
      </c>
      <c r="D59" s="3209" t="inlineStr">
        <is>
          <t>looniedoctor.ca</t>
        </is>
      </c>
      <c r="E59" s="3209" t="inlineStr">
        <is>
          <t>FISCALITÉ CANADA</t>
        </is>
      </c>
      <c r="F59" s="3209" t="inlineStr">
        <is>
          <t>Canada FIRE</t>
        </is>
      </c>
      <c r="G59" s="3210" t="n">
        <v>88</v>
      </c>
      <c r="H59" s="3211" t="inlineStr">
        <is>
          <t>A ⭐</t>
        </is>
      </c>
      <c r="I59" s="3222" t="inlineStr">
        <is>
          <t>Mensuel</t>
        </is>
      </c>
      <c r="J59" s="3213" t="inlineStr">
        <is>
          <t>Moyenne</t>
        </is>
      </c>
      <c r="K59" s="3209" t="inlineStr">
        <is>
          <t>Optimisation fiscale · REER · TFSA · médecins mais applicable</t>
        </is>
      </c>
      <c r="L59" s="3213" t="inlineStr">
        <is>
          <t>Stratégies avancées retraite anticipée · décaissement</t>
        </is>
      </c>
      <c r="M59" s="3207" t="inlineStr">
        <is>
          <t>🟢 ACTIF</t>
        </is>
      </c>
      <c r="N59" s="3209" t="inlineStr">
        <is>
          <t>12/03/2026</t>
        </is>
      </c>
      <c r="O59" s="3177" t="n"/>
      <c r="P59" s="3177" t="n"/>
    </row>
    <row r="60" ht="27.75" customHeight="1" s="1666">
      <c r="A60" s="3214" t="n">
        <v>55</v>
      </c>
      <c r="B60" s="3215" t="n">
        <v>111</v>
      </c>
      <c r="C60" s="3216" t="inlineStr">
        <is>
          <t>Loonie Doctor</t>
        </is>
      </c>
      <c r="D60" s="3217" t="inlineStr">
        <is>
          <t>looniedoctor.ca</t>
        </is>
      </c>
      <c r="E60" s="3217" t="inlineStr">
        <is>
          <t>FIRE &amp; PSYCHOLOGIE</t>
        </is>
      </c>
      <c r="F60" s="3217" t="inlineStr">
        <is>
          <t>Blog CA FI avancé</t>
        </is>
      </c>
      <c r="G60" s="3218" t="n">
        <v>88</v>
      </c>
      <c r="H60" s="3219" t="inlineStr">
        <is>
          <t>A ⭐</t>
        </is>
      </c>
      <c r="I60" s="3220" t="inlineStr">
        <is>
          <t>✅</t>
        </is>
      </c>
      <c r="J60" s="3221" t="inlineStr">
        <is>
          <t>Sélective</t>
        </is>
      </c>
      <c r="K60" s="3217" t="inlineStr">
        <is>
          <t>Décaissement optimal · ordre retraits REER/TFSA · séquence</t>
        </is>
      </c>
      <c r="L60" s="3221" t="inlineStr">
        <is>
          <t>Stratégie décaissement 55 ans · ordre REER vs TFSA</t>
        </is>
      </c>
      <c r="M60" s="3215" t="inlineStr">
        <is>
          <t>🟢 ACTIF</t>
        </is>
      </c>
      <c r="N60" s="3217" t="inlineStr">
        <is>
          <t>12/03/2026</t>
        </is>
      </c>
      <c r="O60" s="3177" t="n"/>
      <c r="P60" s="3177" t="n"/>
    </row>
    <row r="61" ht="27.75" customHeight="1" s="1666">
      <c r="A61" s="3206" t="n">
        <v>56</v>
      </c>
      <c r="B61" s="3207" t="n">
        <v>195</v>
      </c>
      <c r="C61" s="3208" t="inlineStr">
        <is>
          <t>Justin Bender Tax Calculator</t>
        </is>
      </c>
      <c r="D61" s="3209" t="inlineStr">
        <is>
          <t>canadianportfoliomanagerblog.com</t>
        </is>
      </c>
      <c r="E61" s="3209" t="inlineStr">
        <is>
          <t>BANQUE &amp; MAISON 2030</t>
        </is>
      </c>
      <c r="F61" s="3209" t="inlineStr">
        <is>
          <t>Outil CA</t>
        </is>
      </c>
      <c r="G61" s="3210" t="n">
        <v>88</v>
      </c>
      <c r="H61" s="3211" t="inlineStr">
        <is>
          <t>A ⭐</t>
        </is>
      </c>
      <c r="I61" s="3212" t="inlineStr">
        <is>
          <t>✅</t>
        </is>
      </c>
      <c r="J61" s="3213" t="inlineStr">
        <is>
          <t>Sélective</t>
        </is>
      </c>
      <c r="K61" s="3209" t="inlineStr">
        <is>
          <t>Friction fiscale ETF · retenues · compte optimal</t>
        </is>
      </c>
      <c r="L61" s="3213" t="inlineStr">
        <is>
          <t>Optimisation: SCHD dans REER pas TFSA (US dividendes)</t>
        </is>
      </c>
      <c r="M61" s="3207" t="inlineStr">
        <is>
          <t>🟢 ACTIF</t>
        </is>
      </c>
      <c r="N61" s="3209" t="inlineStr">
        <is>
          <t>12/03/2026</t>
        </is>
      </c>
      <c r="O61" s="3177" t="n"/>
      <c r="P61" s="3177" t="n"/>
    </row>
    <row r="62" ht="27.75" customHeight="1" s="1666">
      <c r="A62" s="3214" t="n">
        <v>57</v>
      </c>
      <c r="B62" s="3215" t="n">
        <v>166</v>
      </c>
      <c r="C62" s="3216" t="inlineStr">
        <is>
          <t>The Globe and Mail Investing</t>
        </is>
      </c>
      <c r="D62" s="3217" t="inlineStr">
        <is>
          <t>theglobeandmail.com/investing</t>
        </is>
      </c>
      <c r="E62" s="3217" t="inlineStr">
        <is>
          <t>PODCASTS &amp; MÉDIAS</t>
        </is>
      </c>
      <c r="F62" s="3217" t="inlineStr">
        <is>
          <t>Média CA #1</t>
        </is>
      </c>
      <c r="G62" s="3218" t="n">
        <v>87</v>
      </c>
      <c r="H62" s="3219" t="inlineStr">
        <is>
          <t>A ⭐</t>
        </is>
      </c>
      <c r="I62" s="3223" t="inlineStr">
        <is>
          <t>⚠️ Limité</t>
        </is>
      </c>
      <c r="J62" s="3221" t="inlineStr">
        <is>
          <t>Sélective</t>
        </is>
      </c>
      <c r="K62" s="3217" t="inlineStr">
        <is>
          <t>Analyses CA · dividendes · REITs · banques · TSX</t>
        </is>
      </c>
      <c r="L62" s="3221" t="inlineStr">
        <is>
          <t>Source CA sérieuse · Globe Dividend All-Stars annuel</t>
        </is>
      </c>
      <c r="M62" s="3215" t="inlineStr">
        <is>
          <t>🟢 ACTIF</t>
        </is>
      </c>
      <c r="N62" s="3217" t="inlineStr">
        <is>
          <t>12/03/2026</t>
        </is>
      </c>
      <c r="O62" s="3177" t="n"/>
      <c r="P62" s="3177" t="n"/>
    </row>
    <row r="63" ht="27.75" customHeight="1" s="1666">
      <c r="A63" s="3206" t="n">
        <v>58</v>
      </c>
      <c r="B63" s="3207" t="n">
        <v>4</v>
      </c>
      <c r="C63" s="3208" t="inlineStr">
        <is>
          <t>Questrade</t>
        </is>
      </c>
      <c r="D63" s="3209" t="inlineStr">
        <is>
          <t>app.questrade.com</t>
        </is>
      </c>
      <c r="E63" s="3209" t="inlineStr">
        <is>
          <t>PRIX LIVE &amp; MARCHÉS</t>
        </is>
      </c>
      <c r="F63" s="3209" t="inlineStr">
        <is>
          <t>Temps réel</t>
        </is>
      </c>
      <c r="G63" s="3210" t="n">
        <v>85</v>
      </c>
      <c r="H63" s="3211" t="inlineStr">
        <is>
          <t>A ⭐</t>
        </is>
      </c>
      <c r="I63" s="3212" t="inlineStr">
        <is>
          <t>✅ (client)</t>
        </is>
      </c>
      <c r="J63" s="3213" t="inlineStr">
        <is>
          <t>Haute</t>
        </is>
      </c>
      <c r="K63" s="3209" t="inlineStr">
        <is>
          <t>Prix réels · P&amp;L · positions · cash · ordres</t>
        </is>
      </c>
      <c r="L63" s="3213" t="inlineStr">
        <is>
          <t>Source de vérité comptes · dump début session</t>
        </is>
      </c>
      <c r="M63" s="3207" t="inlineStr">
        <is>
          <t>🟢 ACTIF</t>
        </is>
      </c>
      <c r="N63" s="3209" t="inlineStr">
        <is>
          <t>12/03/2026</t>
        </is>
      </c>
      <c r="O63" s="3177" t="n"/>
      <c r="P63" s="3177" t="n"/>
    </row>
    <row r="64" ht="27.75" customHeight="1" s="1666">
      <c r="A64" s="3214" t="n">
        <v>59</v>
      </c>
      <c r="B64" s="3215" t="n">
        <v>6</v>
      </c>
      <c r="C64" s="3216" t="inlineStr">
        <is>
          <t>Barchart</t>
        </is>
      </c>
      <c r="D64" s="3217" t="inlineStr">
        <is>
          <t>barchart.com</t>
        </is>
      </c>
      <c r="E64" s="3217" t="inlineStr">
        <is>
          <t>PRIX LIVE &amp; MARCHÉS</t>
        </is>
      </c>
      <c r="F64" s="3217" t="inlineStr">
        <is>
          <t>Live + options</t>
        </is>
      </c>
      <c r="G64" s="3218" t="n">
        <v>85</v>
      </c>
      <c r="H64" s="3219" t="inlineStr">
        <is>
          <t>A ⭐</t>
        </is>
      </c>
      <c r="I64" s="3223" t="inlineStr">
        <is>
          <t>⚠️ Limité</t>
        </is>
      </c>
      <c r="J64" s="3221" t="inlineStr">
        <is>
          <t>Moyenne</t>
        </is>
      </c>
      <c r="K64" s="3217" t="inlineStr">
        <is>
          <t>Prix · options chains · futures · screener · indices</t>
        </is>
      </c>
      <c r="L64" s="3221" t="inlineStr">
        <is>
          <t>Analyse volatilité implicite AVGO/NVDA pre-earnings</t>
        </is>
      </c>
      <c r="M64" s="3215" t="inlineStr">
        <is>
          <t>🟢 ACTIF</t>
        </is>
      </c>
      <c r="N64" s="3217" t="inlineStr">
        <is>
          <t>12/03/2026</t>
        </is>
      </c>
      <c r="O64" s="3177" t="n"/>
      <c r="P64" s="3177" t="n"/>
    </row>
    <row r="65" ht="27.75" customHeight="1" s="1666">
      <c r="A65" s="3206" t="n">
        <v>60</v>
      </c>
      <c r="B65" s="3207" t="n">
        <v>14</v>
      </c>
      <c r="C65" s="3208" t="inlineStr">
        <is>
          <t>Stockcharts</t>
        </is>
      </c>
      <c r="D65" s="3209" t="inlineStr">
        <is>
          <t>stockcharts.com</t>
        </is>
      </c>
      <c r="E65" s="3209" t="inlineStr">
        <is>
          <t>PRIX LIVE &amp; MARCHÉS</t>
        </is>
      </c>
      <c r="F65" s="3209" t="inlineStr">
        <is>
          <t>Technique avancé</t>
        </is>
      </c>
      <c r="G65" s="3210" t="n">
        <v>85</v>
      </c>
      <c r="H65" s="3211" t="inlineStr">
        <is>
          <t>A ⭐</t>
        </is>
      </c>
      <c r="I65" s="3222" t="inlineStr">
        <is>
          <t>⚠️ Limité</t>
        </is>
      </c>
      <c r="J65" s="3213" t="inlineStr">
        <is>
          <t>Moyenne</t>
        </is>
      </c>
      <c r="K65" s="3209" t="inlineStr">
        <is>
          <t>Graphiques interactifs · indicateurs · Point &amp; Figure</t>
        </is>
      </c>
      <c r="L65" s="3213" t="inlineStr">
        <is>
          <t>Analyse technique approfondie T1 avant gros achat</t>
        </is>
      </c>
      <c r="M65" s="3207" t="inlineStr">
        <is>
          <t>🟢 ACTIF</t>
        </is>
      </c>
      <c r="N65" s="3209" t="inlineStr">
        <is>
          <t>12/03/2026</t>
        </is>
      </c>
      <c r="O65" s="3177" t="n"/>
      <c r="P65" s="3177" t="n"/>
    </row>
    <row r="66" ht="27.75" customHeight="1" s="1666">
      <c r="A66" s="3214" t="n">
        <v>61</v>
      </c>
      <c r="B66" s="3215" t="n">
        <v>48</v>
      </c>
      <c r="C66" s="3216" t="inlineStr">
        <is>
          <t>Investing.com Earnings Calendar</t>
        </is>
      </c>
      <c r="D66" s="3217" t="inlineStr">
        <is>
          <t>investing.com/earnings-calendar</t>
        </is>
      </c>
      <c r="E66" s="3217" t="inlineStr">
        <is>
          <t>CALENDRIERS &amp; ÉVÉNEMENTS</t>
        </is>
      </c>
      <c r="F66" s="3217" t="inlineStr">
        <is>
          <t>Agrégateur</t>
        </is>
      </c>
      <c r="G66" s="3218" t="n">
        <v>85</v>
      </c>
      <c r="H66" s="3219" t="inlineStr">
        <is>
          <t>A ⭐</t>
        </is>
      </c>
      <c r="I66" s="3220" t="inlineStr">
        <is>
          <t>✅</t>
        </is>
      </c>
      <c r="J66" s="3221" t="inlineStr">
        <is>
          <t>Haute</t>
        </is>
      </c>
      <c r="K66" s="3217" t="inlineStr">
        <is>
          <t>US+CA+Global · EPS consensus · revenue forecast</t>
        </is>
      </c>
      <c r="L66" s="3221" t="inlineStr">
        <is>
          <t>Vérification croisée dates earnings · BdC inclus</t>
        </is>
      </c>
      <c r="M66" s="3215" t="inlineStr">
        <is>
          <t>🟢 ACTIF</t>
        </is>
      </c>
      <c r="N66" s="3217" t="inlineStr">
        <is>
          <t>12/03/2026</t>
        </is>
      </c>
      <c r="O66" s="3177" t="n"/>
      <c r="P66" s="3177" t="n"/>
    </row>
    <row r="67" ht="27.75" customHeight="1" s="1666">
      <c r="A67" s="3206" t="n">
        <v>62</v>
      </c>
      <c r="B67" s="3207" t="n">
        <v>51</v>
      </c>
      <c r="C67" s="3208" t="inlineStr">
        <is>
          <t>Zacks Earnings Calendar</t>
        </is>
      </c>
      <c r="D67" s="3209" t="inlineStr">
        <is>
          <t>zacks.com/earnings/earnings-calendar</t>
        </is>
      </c>
      <c r="E67" s="3209" t="inlineStr">
        <is>
          <t>CALENDRIERS &amp; ÉVÉNEMENTS</t>
        </is>
      </c>
      <c r="F67" s="3209" t="inlineStr">
        <is>
          <t>Analyse</t>
        </is>
      </c>
      <c r="G67" s="3210" t="n">
        <v>85</v>
      </c>
      <c r="H67" s="3211" t="inlineStr">
        <is>
          <t>A ⭐</t>
        </is>
      </c>
      <c r="I67" s="3212" t="inlineStr">
        <is>
          <t>✅</t>
        </is>
      </c>
      <c r="J67" s="3213" t="inlineStr">
        <is>
          <t>Haute</t>
        </is>
      </c>
      <c r="K67" s="3209" t="inlineStr">
        <is>
          <t>Earnings dates · EPS estimates · Zacks rank</t>
        </is>
      </c>
      <c r="L67" s="3213" t="inlineStr">
        <is>
          <t>Cross-validation dates AVGO (prochain: 4 juin 2026)</t>
        </is>
      </c>
      <c r="M67" s="3207" t="inlineStr">
        <is>
          <t>🟢 ACTIF</t>
        </is>
      </c>
      <c r="N67" s="3209" t="inlineStr">
        <is>
          <t>12/03/2026</t>
        </is>
      </c>
      <c r="O67" s="3177" t="n"/>
      <c r="P67" s="3177" t="n"/>
    </row>
    <row r="68" ht="27.75" customHeight="1" s="1666">
      <c r="A68" s="3214" t="n">
        <v>63</v>
      </c>
      <c r="B68" s="3215" t="n">
        <v>54</v>
      </c>
      <c r="C68" s="3216" t="inlineStr">
        <is>
          <t>Economic Calendar Investing.com</t>
        </is>
      </c>
      <c r="D68" s="3217" t="inlineStr">
        <is>
          <t>investing.com/economic-calendar</t>
        </is>
      </c>
      <c r="E68" s="3217" t="inlineStr">
        <is>
          <t>CALENDRIERS &amp; ÉVÉNEMENTS</t>
        </is>
      </c>
      <c r="F68" s="3217" t="inlineStr">
        <is>
          <t>Macro</t>
        </is>
      </c>
      <c r="G68" s="3218" t="n">
        <v>85</v>
      </c>
      <c r="H68" s="3219" t="inlineStr">
        <is>
          <t>A ⭐</t>
        </is>
      </c>
      <c r="I68" s="3220" t="inlineStr">
        <is>
          <t>✅</t>
        </is>
      </c>
      <c r="J68" s="3221" t="inlineStr">
        <is>
          <t>Haute</t>
        </is>
      </c>
      <c r="K68" s="3217" t="inlineStr">
        <is>
          <t>CPI · PIB · emplois · ISM · annonces BdC/Fed/BCE</t>
        </is>
      </c>
      <c r="L68" s="3221" t="inlineStr">
        <is>
          <t>Contexte macro avant gros achats T1 &gt;$2K</t>
        </is>
      </c>
      <c r="M68" s="3215" t="inlineStr">
        <is>
          <t>🟢 ACTIF</t>
        </is>
      </c>
      <c r="N68" s="3217" t="inlineStr">
        <is>
          <t>12/03/2026</t>
        </is>
      </c>
      <c r="O68" s="3177" t="n"/>
      <c r="P68" s="3177" t="n"/>
    </row>
    <row r="69" ht="27.75" customHeight="1" s="1666">
      <c r="A69" s="3206" t="n">
        <v>64</v>
      </c>
      <c r="B69" s="3207" t="n">
        <v>55</v>
      </c>
      <c r="C69" s="3208" t="inlineStr">
        <is>
          <t>Dividend.com</t>
        </is>
      </c>
      <c r="D69" s="3209" t="inlineStr">
        <is>
          <t>dividend.com</t>
        </is>
      </c>
      <c r="E69" s="3209" t="inlineStr">
        <is>
          <t>CALENDRIERS &amp; ÉVÉNEMENTS</t>
        </is>
      </c>
      <c r="F69" s="3209" t="inlineStr">
        <is>
          <t>Dividendes</t>
        </is>
      </c>
      <c r="G69" s="3210" t="n">
        <v>85</v>
      </c>
      <c r="H69" s="3211" t="inlineStr">
        <is>
          <t>A ⭐</t>
        </is>
      </c>
      <c r="I69" s="3212" t="inlineStr">
        <is>
          <t>✅</t>
        </is>
      </c>
      <c r="J69" s="3213" t="inlineStr">
        <is>
          <t>Haute</t>
        </is>
      </c>
      <c r="K69" s="3209" t="inlineStr">
        <is>
          <t>Ex-dates · paiements · historique · DRIP · calendrier</t>
        </is>
      </c>
      <c r="L69" s="3213" t="inlineStr">
        <is>
          <t>Suivi ex-dates ENB/MFC/SCHD/JEPI/XEI/SRU</t>
        </is>
      </c>
      <c r="M69" s="3207" t="inlineStr">
        <is>
          <t>🟢 ACTIF</t>
        </is>
      </c>
      <c r="N69" s="3209" t="inlineStr">
        <is>
          <t>12/03/2026</t>
        </is>
      </c>
      <c r="O69" s="3177" t="n"/>
      <c r="P69" s="3177" t="n"/>
    </row>
    <row r="70" ht="27.75" customHeight="1" s="1666">
      <c r="A70" s="3214" t="n">
        <v>65</v>
      </c>
      <c r="B70" s="3215" t="n">
        <v>59</v>
      </c>
      <c r="C70" s="3216" t="inlineStr">
        <is>
          <t>Nerdwallet CA</t>
        </is>
      </c>
      <c r="D70" s="3217" t="inlineStr">
        <is>
          <t>nerdwallet.com/ca</t>
        </is>
      </c>
      <c r="E70" s="3217" t="inlineStr">
        <is>
          <t>CALENDRIERS &amp; ÉVÉNEMENTS</t>
        </is>
      </c>
      <c r="F70" s="3217" t="inlineStr">
        <is>
          <t>Info CA</t>
        </is>
      </c>
      <c r="G70" s="3218" t="n">
        <v>85</v>
      </c>
      <c r="H70" s="3219" t="inlineStr">
        <is>
          <t>A ⭐</t>
        </is>
      </c>
      <c r="I70" s="3220" t="inlineStr">
        <is>
          <t>✅</t>
        </is>
      </c>
      <c r="J70" s="3221" t="inlineStr">
        <is>
          <t>Haute</t>
        </is>
      </c>
      <c r="K70" s="3217" t="inlineStr">
        <is>
          <t>Dates fiscales ARC · REER · FHSA · dates limites</t>
        </is>
      </c>
      <c r="L70" s="3221" t="inlineStr">
        <is>
          <t>Dates limites cotisation REER/FHSA · délais RAP</t>
        </is>
      </c>
      <c r="M70" s="3215" t="inlineStr">
        <is>
          <t>🟢 ACTIF</t>
        </is>
      </c>
      <c r="N70" s="3217" t="inlineStr">
        <is>
          <t>12/03/2026</t>
        </is>
      </c>
      <c r="O70" s="3177" t="n"/>
      <c r="P70" s="3177" t="n"/>
    </row>
    <row r="71" ht="27.75" customHeight="1" s="1666">
      <c r="A71" s="3206" t="n">
        <v>66</v>
      </c>
      <c r="B71" s="3207" t="n">
        <v>167</v>
      </c>
      <c r="C71" s="3208" t="inlineStr">
        <is>
          <t>Financial Post</t>
        </is>
      </c>
      <c r="D71" s="3209" t="inlineStr">
        <is>
          <t>financialpost.com</t>
        </is>
      </c>
      <c r="E71" s="3209" t="inlineStr">
        <is>
          <t>PODCASTS &amp; MÉDIAS</t>
        </is>
      </c>
      <c r="F71" s="3209" t="inlineStr">
        <is>
          <t>Média CA</t>
        </is>
      </c>
      <c r="G71" s="3210" t="n">
        <v>85</v>
      </c>
      <c r="H71" s="3211" t="inlineStr">
        <is>
          <t>A ⭐</t>
        </is>
      </c>
      <c r="I71" s="3222" t="inlineStr">
        <is>
          <t>⚠️ Limité</t>
        </is>
      </c>
      <c r="J71" s="3213" t="inlineStr">
        <is>
          <t>Sélective</t>
        </is>
      </c>
      <c r="K71" s="3209" t="inlineStr">
        <is>
          <t>Marchés CA · analyses · macro · fiscalité CA</t>
        </is>
      </c>
      <c r="L71" s="3213" t="inlineStr">
        <is>
          <t>Nouvelles financières CA · politique fiscale · budget</t>
        </is>
      </c>
      <c r="M71" s="3207" t="inlineStr">
        <is>
          <t>🟢 ACTIF</t>
        </is>
      </c>
      <c r="N71" s="3209" t="inlineStr">
        <is>
          <t>12/03/2026</t>
        </is>
      </c>
      <c r="O71" s="3177" t="n"/>
      <c r="P71" s="3177" t="n"/>
    </row>
    <row r="72" ht="27.75" customHeight="1" s="1666">
      <c r="A72" s="3224" t="n">
        <v>67</v>
      </c>
      <c r="B72" s="3225" t="n">
        <v>16</v>
      </c>
      <c r="C72" s="3226" t="inlineStr">
        <is>
          <t>Koyfin</t>
        </is>
      </c>
      <c r="D72" s="3227" t="inlineStr">
        <is>
          <t>koyfin.com</t>
        </is>
      </c>
      <c r="E72" s="3227" t="inlineStr">
        <is>
          <t>PRIX LIVE &amp; MARCHÉS</t>
        </is>
      </c>
      <c r="F72" s="3227" t="inlineStr">
        <is>
          <t>Analyse pro DIY</t>
        </is>
      </c>
      <c r="G72" s="3228" t="n">
        <v>84</v>
      </c>
      <c r="H72" s="3229" t="inlineStr">
        <is>
          <t>B+</t>
        </is>
      </c>
      <c r="I72" s="3229" t="inlineStr">
        <is>
          <t>⚠️ Limité</t>
        </is>
      </c>
      <c r="J72" s="3230" t="inlineStr">
        <is>
          <t>Moyenne</t>
        </is>
      </c>
      <c r="K72" s="3227" t="inlineStr">
        <is>
          <t>Dashboard · ratios · croissance · comparaison multi-titres</t>
        </is>
      </c>
      <c r="L72" s="3230" t="inlineStr">
        <is>
          <t>Alternative Bloomberg retail · scorecard titres T1</t>
        </is>
      </c>
      <c r="M72" s="3225" t="inlineStr">
        <is>
          <t>🟢 ACTIF</t>
        </is>
      </c>
      <c r="N72" s="3227" t="inlineStr">
        <is>
          <t>12/03/2026</t>
        </is>
      </c>
      <c r="O72" s="3177" t="n"/>
      <c r="P72" s="3177" t="n"/>
    </row>
    <row r="73" ht="27.75" customHeight="1" s="1666">
      <c r="A73" s="3231" t="n">
        <v>68</v>
      </c>
      <c r="B73" s="3232" t="n">
        <v>20</v>
      </c>
      <c r="C73" s="3233" t="inlineStr">
        <is>
          <t>Alpha Vantage API</t>
        </is>
      </c>
      <c r="D73" s="3234" t="inlineStr">
        <is>
          <t>alphavantage.co</t>
        </is>
      </c>
      <c r="E73" s="3234" t="inlineStr">
        <is>
          <t>PRIX LIVE &amp; MARCHÉS</t>
        </is>
      </c>
      <c r="F73" s="3234" t="inlineStr">
        <is>
          <t>API données</t>
        </is>
      </c>
      <c r="G73" s="3235" t="n">
        <v>84</v>
      </c>
      <c r="H73" s="3236" t="inlineStr">
        <is>
          <t>B+</t>
        </is>
      </c>
      <c r="I73" s="3237" t="inlineStr">
        <is>
          <t>✅ (limité)</t>
        </is>
      </c>
      <c r="J73" s="3238" t="inlineStr">
        <is>
          <t>Haute</t>
        </is>
      </c>
      <c r="K73" s="3234" t="inlineStr">
        <is>
          <t>Prix EOD · intraday · indicateurs techniques · forex</t>
        </is>
      </c>
      <c r="L73" s="3238" t="inlineStr">
        <is>
          <t>Alternative API si GOOGLEFINANCE tombe · scripts GSheets</t>
        </is>
      </c>
      <c r="M73" s="3232" t="inlineStr">
        <is>
          <t>🟢 ACTIF</t>
        </is>
      </c>
      <c r="N73" s="3234" t="inlineStr">
        <is>
          <t>12/03/2026</t>
        </is>
      </c>
      <c r="O73" s="3177" t="n"/>
      <c r="P73" s="3177" t="n"/>
    </row>
    <row r="74" ht="27.75" customHeight="1" s="1666">
      <c r="A74" s="3224" t="n">
        <v>69</v>
      </c>
      <c r="B74" s="3225" t="n">
        <v>23</v>
      </c>
      <c r="C74" s="3226" t="inlineStr">
        <is>
          <t>Simply Wall St</t>
        </is>
      </c>
      <c r="D74" s="3227" t="inlineStr">
        <is>
          <t>simplywall.st</t>
        </is>
      </c>
      <c r="E74" s="3227" t="inlineStr">
        <is>
          <t>ANALYSE FONDAMENTALE</t>
        </is>
      </c>
      <c r="F74" s="3227" t="inlineStr">
        <is>
          <t>US+CA</t>
        </is>
      </c>
      <c r="G74" s="3228" t="n">
        <v>84</v>
      </c>
      <c r="H74" s="3229" t="inlineStr">
        <is>
          <t>B+</t>
        </is>
      </c>
      <c r="I74" s="3229" t="inlineStr">
        <is>
          <t>⚠️ Limité</t>
        </is>
      </c>
      <c r="J74" s="3230" t="inlineStr">
        <is>
          <t>Moyenne</t>
        </is>
      </c>
      <c r="K74" s="3227" t="inlineStr">
        <is>
          <t>Score santé financière · visualisation · valeur intrinsèque</t>
        </is>
      </c>
      <c r="L74" s="3230" t="inlineStr">
        <is>
          <t>Vérification rapide santé financière T1 · bull/bear</t>
        </is>
      </c>
      <c r="M74" s="3225" t="inlineStr">
        <is>
          <t>🟢 ACTIF</t>
        </is>
      </c>
      <c r="N74" s="3227" t="inlineStr">
        <is>
          <t>12/03/2026</t>
        </is>
      </c>
      <c r="O74" s="3177" t="n"/>
      <c r="P74" s="3177" t="n"/>
    </row>
    <row r="75" ht="27.75" customHeight="1" s="1666">
      <c r="A75" s="3231" t="n">
        <v>70</v>
      </c>
      <c r="B75" s="3232" t="n">
        <v>24</v>
      </c>
      <c r="C75" s="3233" t="inlineStr">
        <is>
          <t>GuruFocus</t>
        </is>
      </c>
      <c r="D75" s="3234" t="inlineStr">
        <is>
          <t>gurufocus.com</t>
        </is>
      </c>
      <c r="E75" s="3234" t="inlineStr">
        <is>
          <t>ANALYSE FONDAMENTALE</t>
        </is>
      </c>
      <c r="F75" s="3234" t="inlineStr">
        <is>
          <t>US+CA</t>
        </is>
      </c>
      <c r="G75" s="3235" t="n">
        <v>84</v>
      </c>
      <c r="H75" s="3236" t="inlineStr">
        <is>
          <t>B+</t>
        </is>
      </c>
      <c r="I75" s="3236" t="inlineStr">
        <is>
          <t>⚠️ Limité</t>
        </is>
      </c>
      <c r="J75" s="3238" t="inlineStr">
        <is>
          <t>Moyenne</t>
        </is>
      </c>
      <c r="K75" s="3234" t="inlineStr">
        <is>
          <t>DCF · moat · insider trading · gurus holdings · ratios</t>
        </is>
      </c>
      <c r="L75" s="3238" t="inlineStr">
        <is>
          <t>Évaluation valeur intrinsèque · insiders AVGO/GOOG</t>
        </is>
      </c>
      <c r="M75" s="3232" t="inlineStr">
        <is>
          <t>🟢 ACTIF</t>
        </is>
      </c>
      <c r="N75" s="3234" t="inlineStr">
        <is>
          <t>12/03/2026</t>
        </is>
      </c>
      <c r="O75" s="3177" t="n"/>
      <c r="P75" s="3177" t="n"/>
    </row>
    <row r="76" ht="27.75" customHeight="1" s="1666">
      <c r="A76" s="3224" t="n">
        <v>71</v>
      </c>
      <c r="B76" s="3225" t="n">
        <v>25</v>
      </c>
      <c r="C76" s="3226" t="inlineStr">
        <is>
          <t>Seeking Alpha</t>
        </is>
      </c>
      <c r="D76" s="3227" t="inlineStr">
        <is>
          <t>seekingalpha.com</t>
        </is>
      </c>
      <c r="E76" s="3227" t="inlineStr">
        <is>
          <t>ANALYSE FONDAMENTALE</t>
        </is>
      </c>
      <c r="F76" s="3227" t="inlineStr">
        <is>
          <t>US+CA</t>
        </is>
      </c>
      <c r="G76" s="3228" t="n">
        <v>84</v>
      </c>
      <c r="H76" s="3229" t="inlineStr">
        <is>
          <t>B+</t>
        </is>
      </c>
      <c r="I76" s="3229" t="inlineStr">
        <is>
          <t>⚠️ Limité</t>
        </is>
      </c>
      <c r="J76" s="3230" t="inlineStr">
        <is>
          <t>Moyenne</t>
        </is>
      </c>
      <c r="K76" s="3227" t="inlineStr">
        <is>
          <t>Analyse qualitative · quant rating · bull/bear cases · news</t>
        </is>
      </c>
      <c r="L76" s="3230" t="inlineStr">
        <is>
          <t>Thèse investissement T1/T2 · contexte pré-achat</t>
        </is>
      </c>
      <c r="M76" s="3225" t="inlineStr">
        <is>
          <t>🟢 ACTIF</t>
        </is>
      </c>
      <c r="N76" s="3227" t="inlineStr">
        <is>
          <t>12/03/2026</t>
        </is>
      </c>
      <c r="O76" s="3177" t="n"/>
      <c r="P76" s="3177" t="n"/>
    </row>
    <row r="77" ht="27.75" customHeight="1" s="1666">
      <c r="A77" s="3231" t="n">
        <v>72</v>
      </c>
      <c r="B77" s="3232" t="n">
        <v>26</v>
      </c>
      <c r="C77" s="3233" t="inlineStr">
        <is>
          <t>TIKR</t>
        </is>
      </c>
      <c r="D77" s="3234" t="inlineStr">
        <is>
          <t>tikr.com</t>
        </is>
      </c>
      <c r="E77" s="3234" t="inlineStr">
        <is>
          <t>ANALYSE FONDAMENTALE</t>
        </is>
      </c>
      <c r="F77" s="3234" t="inlineStr">
        <is>
          <t>Global 92 pays</t>
        </is>
      </c>
      <c r="G77" s="3235" t="n">
        <v>84</v>
      </c>
      <c r="H77" s="3236" t="inlineStr">
        <is>
          <t>B+</t>
        </is>
      </c>
      <c r="I77" s="3236" t="inlineStr">
        <is>
          <t>⚠️ Limité</t>
        </is>
      </c>
      <c r="J77" s="3238" t="inlineStr">
        <is>
          <t>Moyenne</t>
        </is>
      </c>
      <c r="K77" s="3234" t="inlineStr">
        <is>
          <t>Fondamentaux complets · 100K+ tickers · institutions</t>
        </is>
      </c>
      <c r="L77" s="3238" t="inlineStr">
        <is>
          <t>Analyse profonde multi-métriques T1 (AVGO/GEV)</t>
        </is>
      </c>
      <c r="M77" s="3232" t="inlineStr">
        <is>
          <t>🟢 ACTIF</t>
        </is>
      </c>
      <c r="N77" s="3234" t="inlineStr">
        <is>
          <t>12/03/2026</t>
        </is>
      </c>
      <c r="O77" s="3177" t="n"/>
      <c r="P77" s="3177" t="n"/>
    </row>
    <row r="78" ht="27.75" customHeight="1" s="1666">
      <c r="A78" s="3224" t="n">
        <v>73</v>
      </c>
      <c r="B78" s="3225" t="n">
        <v>60</v>
      </c>
      <c r="C78" s="3226" t="inlineStr">
        <is>
          <t>CRA My Account</t>
        </is>
      </c>
      <c r="D78" s="3227" t="inlineStr">
        <is>
          <t>canada.ca/en/revenue-agency</t>
        </is>
      </c>
      <c r="E78" s="3227" t="inlineStr">
        <is>
          <t>CALENDRIERS &amp; ÉVÉNEMENTS</t>
        </is>
      </c>
      <c r="F78" s="3227" t="inlineStr">
        <is>
          <t>Officiel ARC</t>
        </is>
      </c>
      <c r="G78" s="3228" t="n">
        <v>84</v>
      </c>
      <c r="H78" s="3229" t="inlineStr">
        <is>
          <t>B+</t>
        </is>
      </c>
      <c r="I78" s="3239" t="inlineStr">
        <is>
          <t>✅</t>
        </is>
      </c>
      <c r="J78" s="3230" t="inlineStr">
        <is>
          <t>Haute</t>
        </is>
      </c>
      <c r="K78" s="3227" t="inlineStr">
        <is>
          <t>Droits REER réels · avis cotisation · T4 · déclaration</t>
        </is>
      </c>
      <c r="L78" s="3230" t="inlineStr">
        <is>
          <t>Vérifier room REER réel avant contribution &gt;$5K</t>
        </is>
      </c>
      <c r="M78" s="3225" t="inlineStr">
        <is>
          <t>🟢 ACTIF</t>
        </is>
      </c>
      <c r="N78" s="3227" t="inlineStr">
        <is>
          <t>12/03/2026</t>
        </is>
      </c>
      <c r="O78" s="3177" t="n"/>
      <c r="P78" s="3177" t="n"/>
    </row>
    <row r="79" ht="27.75" customHeight="1" s="1666">
      <c r="A79" s="3231" t="n">
        <v>74</v>
      </c>
      <c r="B79" s="3232" t="n">
        <v>97</v>
      </c>
      <c r="C79" s="3233" t="inlineStr">
        <is>
          <t>Morningstar CA ETF</t>
        </is>
      </c>
      <c r="D79" s="3234" t="inlineStr">
        <is>
          <t>morningstar.com/ca/etfs</t>
        </is>
      </c>
      <c r="E79" s="3234" t="inlineStr">
        <is>
          <t>ETFs CANADA</t>
        </is>
      </c>
      <c r="F79" s="3234" t="inlineStr">
        <is>
          <t>Analyse ETF</t>
        </is>
      </c>
      <c r="G79" s="3235" t="n">
        <v>84</v>
      </c>
      <c r="H79" s="3236" t="inlineStr">
        <is>
          <t>B+</t>
        </is>
      </c>
      <c r="I79" s="3236" t="inlineStr">
        <is>
          <t>⚠️ Limité</t>
        </is>
      </c>
      <c r="J79" s="3238" t="inlineStr">
        <is>
          <t>Moyenne</t>
        </is>
      </c>
      <c r="K79" s="3234" t="inlineStr">
        <is>
          <t>Cotes · performance · catégorie · frais · comparaison</t>
        </is>
      </c>
      <c r="L79" s="3238" t="inlineStr">
        <is>
          <t>Évaluation ETF CA · comparaison VFV vs XEQT vs VEQT</t>
        </is>
      </c>
      <c r="M79" s="3232" t="inlineStr">
        <is>
          <t>🟢 ACTIF</t>
        </is>
      </c>
      <c r="N79" s="3234" t="inlineStr">
        <is>
          <t>12/03/2026</t>
        </is>
      </c>
      <c r="O79" s="3177" t="n"/>
      <c r="P79" s="3177" t="n"/>
    </row>
    <row r="80" ht="27.75" customHeight="1" s="1666">
      <c r="A80" s="3224" t="n">
        <v>75</v>
      </c>
      <c r="B80" s="3225" t="n">
        <v>41</v>
      </c>
      <c r="C80" s="3226" t="inlineStr">
        <is>
          <t>Morningstar Canada</t>
        </is>
      </c>
      <c r="D80" s="3227" t="inlineStr">
        <is>
          <t>morningstar.com/ca</t>
        </is>
      </c>
      <c r="E80" s="3227" t="inlineStr">
        <is>
          <t>ANALYSE FONDAMENTALE</t>
        </is>
      </c>
      <c r="F80" s="3227" t="inlineStr">
        <is>
          <t>US+CA</t>
        </is>
      </c>
      <c r="G80" s="3228" t="n">
        <v>83</v>
      </c>
      <c r="H80" s="3229" t="inlineStr">
        <is>
          <t>B+</t>
        </is>
      </c>
      <c r="I80" s="3229" t="inlineStr">
        <is>
          <t>⚠️ Limité</t>
        </is>
      </c>
      <c r="J80" s="3230" t="inlineStr">
        <is>
          <t>Moyenne</t>
        </is>
      </c>
      <c r="K80" s="3227" t="inlineStr">
        <is>
          <t>Cote étoiles · juste valeur · moat · analyse ETF</t>
        </is>
      </c>
      <c r="L80" s="3230" t="inlineStr">
        <is>
          <t>Évaluation T3/T4 · dividendes CA · MFC/TD/ENB</t>
        </is>
      </c>
      <c r="M80" s="3225" t="inlineStr">
        <is>
          <t>🟢 ACTIF</t>
        </is>
      </c>
      <c r="N80" s="3227" t="inlineStr">
        <is>
          <t>12/03/2026</t>
        </is>
      </c>
      <c r="O80" s="3177" t="n"/>
      <c r="P80" s="3177" t="n"/>
    </row>
    <row r="81" ht="27.75" customHeight="1" s="1666">
      <c r="A81" s="3231" t="n">
        <v>76</v>
      </c>
      <c r="B81" s="3232" t="n">
        <v>42</v>
      </c>
      <c r="C81" s="3233" t="inlineStr">
        <is>
          <t>S&amp;P Global Intelligence (via Gainify)</t>
        </is>
      </c>
      <c r="D81" s="3234" t="n"/>
      <c r="E81" s="3234" t="inlineStr">
        <is>
          <t>ANALYSE FONDAMENTALE</t>
        </is>
      </c>
      <c r="F81" s="3234" t="inlineStr">
        <is>
          <t>Global</t>
        </is>
      </c>
      <c r="G81" s="3235" t="n">
        <v>83</v>
      </c>
      <c r="H81" s="3236" t="inlineStr">
        <is>
          <t>B+</t>
        </is>
      </c>
      <c r="I81" s="3236" t="inlineStr">
        <is>
          <t>⚠️ Via Gainify</t>
        </is>
      </c>
      <c r="J81" s="3238" t="inlineStr">
        <is>
          <t>Moyenne</t>
        </is>
      </c>
      <c r="K81" s="3234" t="inlineStr">
        <is>
          <t>Données institutionnelles · consensus · estimations forward</t>
        </is>
      </c>
      <c r="L81" s="3238" t="inlineStr">
        <is>
          <t>Estimations EPS/revenue professionnelles T1</t>
        </is>
      </c>
      <c r="M81" s="3232" t="inlineStr">
        <is>
          <t>🟢 ACTIF</t>
        </is>
      </c>
      <c r="N81" s="3234" t="inlineStr">
        <is>
          <t>12/03/2026</t>
        </is>
      </c>
      <c r="O81" s="3177" t="n"/>
      <c r="P81" s="3177" t="n"/>
    </row>
    <row r="82" ht="27.75" customHeight="1" s="1666">
      <c r="A82" s="3224" t="n">
        <v>77</v>
      </c>
      <c r="B82" s="3225" t="n">
        <v>43</v>
      </c>
      <c r="C82" s="3226" t="inlineStr">
        <is>
          <t>Gainify</t>
        </is>
      </c>
      <c r="D82" s="3227" t="inlineStr">
        <is>
          <t>gainify.io</t>
        </is>
      </c>
      <c r="E82" s="3227" t="inlineStr">
        <is>
          <t>ANALYSE FONDAMENTALE</t>
        </is>
      </c>
      <c r="F82" s="3227" t="inlineStr">
        <is>
          <t>US+CA</t>
        </is>
      </c>
      <c r="G82" s="3228" t="n">
        <v>83</v>
      </c>
      <c r="H82" s="3229" t="inlineStr">
        <is>
          <t>B+</t>
        </is>
      </c>
      <c r="I82" s="3229" t="inlineStr">
        <is>
          <t>⚠️ ~$8/mois</t>
        </is>
      </c>
      <c r="J82" s="3230" t="inlineStr">
        <is>
          <t>Moyenne</t>
        </is>
      </c>
      <c r="K82" s="3227" t="inlineStr">
        <is>
          <t>AI analyse · Wall St data · screening · valeur intrinsèque</t>
        </is>
      </c>
      <c r="L82" s="3230" t="inlineStr">
        <is>
          <t>Analyse rapide T1 avec données S&amp;P Global</t>
        </is>
      </c>
      <c r="M82" s="3225" t="inlineStr">
        <is>
          <t>🟢 ACTIF</t>
        </is>
      </c>
      <c r="N82" s="3227" t="inlineStr">
        <is>
          <t>12/03/2026</t>
        </is>
      </c>
      <c r="O82" s="3177" t="n"/>
      <c r="P82" s="3177" t="n"/>
    </row>
    <row r="83" ht="27.75" customHeight="1" s="1666">
      <c r="A83" s="3231" t="n">
        <v>78</v>
      </c>
      <c r="B83" s="3232" t="n">
        <v>44</v>
      </c>
      <c r="C83" s="3233" t="inlineStr">
        <is>
          <t>Finbox</t>
        </is>
      </c>
      <c r="D83" s="3234" t="inlineStr">
        <is>
          <t>finbox.com</t>
        </is>
      </c>
      <c r="E83" s="3234" t="inlineStr">
        <is>
          <t>ANALYSE FONDAMENTALE</t>
        </is>
      </c>
      <c r="F83" s="3234" t="inlineStr">
        <is>
          <t>US+CA</t>
        </is>
      </c>
      <c r="G83" s="3235" t="n">
        <v>83</v>
      </c>
      <c r="H83" s="3236" t="inlineStr">
        <is>
          <t>B+</t>
        </is>
      </c>
      <c r="I83" s="3236" t="inlineStr">
        <is>
          <t>⚠️ Limité</t>
        </is>
      </c>
      <c r="J83" s="3238" t="inlineStr">
        <is>
          <t>Moyenne</t>
        </is>
      </c>
      <c r="K83" s="3234" t="inlineStr">
        <is>
          <t>Modèles DCF · fair value · screener · exportation</t>
        </is>
      </c>
      <c r="L83" s="3238" t="inlineStr">
        <is>
          <t>Modélisation valeur intrinsèque AVGO/SPGI/GEV</t>
        </is>
      </c>
      <c r="M83" s="3232" t="inlineStr">
        <is>
          <t>🟢 ACTIF</t>
        </is>
      </c>
      <c r="N83" s="3234" t="inlineStr">
        <is>
          <t>12/03/2026</t>
        </is>
      </c>
      <c r="O83" s="3177" t="n"/>
      <c r="P83" s="3177" t="n"/>
    </row>
    <row r="84" ht="27.75" customHeight="1" s="1666">
      <c r="A84" s="3224" t="n">
        <v>79</v>
      </c>
      <c r="B84" s="3225" t="n">
        <v>70</v>
      </c>
      <c r="C84" s="3226" t="inlineStr">
        <is>
          <t>Scotiabank Economics</t>
        </is>
      </c>
      <c r="D84" s="3227" t="inlineStr">
        <is>
          <t>scotiabank.com/ca/en/about/economics</t>
        </is>
      </c>
      <c r="E84" s="3227" t="inlineStr">
        <is>
          <t>MACROÉCONOMIE</t>
        </is>
      </c>
      <c r="F84" s="3227" t="inlineStr">
        <is>
          <t>Canada</t>
        </is>
      </c>
      <c r="G84" s="3228" t="n">
        <v>83</v>
      </c>
      <c r="H84" s="3229" t="inlineStr">
        <is>
          <t>B+</t>
        </is>
      </c>
      <c r="I84" s="3229" t="inlineStr">
        <is>
          <t>Hebdo/mensuel</t>
        </is>
      </c>
      <c r="J84" s="3230" t="inlineStr">
        <is>
          <t>Moyenne</t>
        </is>
      </c>
      <c r="K84" s="3227" t="inlineStr">
        <is>
          <t>Prévisions BdC · USD/CAD · PIB CA · commentaires macro</t>
        </is>
      </c>
      <c r="L84" s="3230" t="inlineStr">
        <is>
          <t>Best: prévisions USD/CAD · décisions BdC</t>
        </is>
      </c>
      <c r="M84" s="3225" t="inlineStr">
        <is>
          <t>🟢 ACTIF</t>
        </is>
      </c>
      <c r="N84" s="3227" t="inlineStr">
        <is>
          <t>12/03/2026</t>
        </is>
      </c>
      <c r="O84" s="3177" t="n"/>
      <c r="P84" s="3177" t="n"/>
    </row>
    <row r="85" ht="27.75" customHeight="1" s="1666">
      <c r="A85" s="3231" t="n">
        <v>80</v>
      </c>
      <c r="B85" s="3232" t="n">
        <v>113</v>
      </c>
      <c r="C85" s="3233" t="inlineStr">
        <is>
          <t>FI Garage Podcast</t>
        </is>
      </c>
      <c r="D85" s="3234" t="inlineStr">
        <is>
          <t>figarage.ca</t>
        </is>
      </c>
      <c r="E85" s="3234" t="inlineStr">
        <is>
          <t>FIRE &amp; PSYCHOLOGIE</t>
        </is>
      </c>
      <c r="F85" s="3234" t="inlineStr">
        <is>
          <t>Podcast CA</t>
        </is>
      </c>
      <c r="G85" s="3235" t="n">
        <v>83</v>
      </c>
      <c r="H85" s="3236" t="inlineStr">
        <is>
          <t>B+</t>
        </is>
      </c>
      <c r="I85" s="3237" t="inlineStr">
        <is>
          <t>✅</t>
        </is>
      </c>
      <c r="J85" s="3238" t="inlineStr">
        <is>
          <t>Sélective</t>
        </is>
      </c>
      <c r="K85" s="3234" t="inlineStr">
        <is>
          <t>Communauté FIRE CA · real estate · ETF · témoignages</t>
        </is>
      </c>
      <c r="L85" s="3238" t="inlineStr">
        <is>
          <t>Cas concrets FIRE CA · partage expériences</t>
        </is>
      </c>
      <c r="M85" s="3232" t="inlineStr">
        <is>
          <t>🟢 ACTIF</t>
        </is>
      </c>
      <c r="N85" s="3234" t="inlineStr">
        <is>
          <t>12/03/2026</t>
        </is>
      </c>
      <c r="O85" s="3177" t="n"/>
      <c r="P85" s="3177" t="n"/>
    </row>
    <row r="86" ht="27.75" customHeight="1" s="1666">
      <c r="A86" s="3224" t="n">
        <v>81</v>
      </c>
      <c r="B86" s="3225" t="n">
        <v>179</v>
      </c>
      <c r="C86" s="3226" t="inlineStr">
        <is>
          <t>cFIREsim</t>
        </is>
      </c>
      <c r="D86" s="3227" t="inlineStr">
        <is>
          <t>cfiresim.com</t>
        </is>
      </c>
      <c r="E86" s="3227" t="inlineStr">
        <is>
          <t>COMMUNAUTÉS &amp; OUTILS</t>
        </is>
      </c>
      <c r="F86" s="3227" t="inlineStr">
        <is>
          <t>Calculateur</t>
        </is>
      </c>
      <c r="G86" s="3228" t="n">
        <v>83</v>
      </c>
      <c r="H86" s="3229" t="inlineStr">
        <is>
          <t>B+</t>
        </is>
      </c>
      <c r="I86" s="3239" t="inlineStr">
        <is>
          <t>✅</t>
        </is>
      </c>
      <c r="J86" s="3230" t="inlineStr">
        <is>
          <t>Sélective</t>
        </is>
      </c>
      <c r="K86" s="3227" t="inlineStr">
        <is>
          <t>Backtesting historique · SWR · actifs · dépenses</t>
        </is>
      </c>
      <c r="L86" s="3230" t="inlineStr">
        <is>
          <t>Backtester SWR 3.5-4% · $2.1M · FI 55 ans 2047</t>
        </is>
      </c>
      <c r="M86" s="3225" t="inlineStr">
        <is>
          <t>🟢 ACTIF</t>
        </is>
      </c>
      <c r="N86" s="3227" t="inlineStr">
        <is>
          <t>12/03/2026</t>
        </is>
      </c>
      <c r="O86" s="3177" t="n"/>
      <c r="P86" s="3177" t="n"/>
    </row>
    <row r="87" ht="27.75" customHeight="1" s="1666">
      <c r="A87" s="3231" t="n">
        <v>82</v>
      </c>
      <c r="B87" s="3232" t="n">
        <v>71</v>
      </c>
      <c r="C87" s="3233" t="inlineStr">
        <is>
          <t>RBC Economics</t>
        </is>
      </c>
      <c r="D87" s="3234" t="inlineStr">
        <is>
          <t>rbc.com/economics</t>
        </is>
      </c>
      <c r="E87" s="3234" t="inlineStr">
        <is>
          <t>MACROÉCONOMIE</t>
        </is>
      </c>
      <c r="F87" s="3234" t="inlineStr">
        <is>
          <t>Canada</t>
        </is>
      </c>
      <c r="G87" s="3235" t="n">
        <v>82</v>
      </c>
      <c r="H87" s="3236" t="inlineStr">
        <is>
          <t>B+</t>
        </is>
      </c>
      <c r="I87" s="3236" t="inlineStr">
        <is>
          <t>Hebdo/mensuel</t>
        </is>
      </c>
      <c r="J87" s="3238" t="inlineStr">
        <is>
          <t>Moyenne</t>
        </is>
      </c>
      <c r="K87" s="3234" t="inlineStr">
        <is>
          <t>Tableaux bord macro CA · prévisions taux · immobilier</t>
        </is>
      </c>
      <c r="L87" s="3238" t="inlineStr">
        <is>
          <t>Contexte achat maison 2030 · prévisions taux hypothèques</t>
        </is>
      </c>
      <c r="M87" s="3232" t="inlineStr">
        <is>
          <t>🟢 ACTIF</t>
        </is>
      </c>
      <c r="N87" s="3234" t="inlineStr">
        <is>
          <t>12/03/2026</t>
        </is>
      </c>
      <c r="O87" s="3177" t="n"/>
      <c r="P87" s="3177" t="n"/>
    </row>
    <row r="88" ht="27.75" customHeight="1" s="1666">
      <c r="A88" s="3224" t="n">
        <v>83</v>
      </c>
      <c r="B88" s="3225" t="n">
        <v>194</v>
      </c>
      <c r="C88" s="3226" t="inlineStr">
        <is>
          <t>Morningstar Portfolio Manager</t>
        </is>
      </c>
      <c r="D88" s="3227" t="inlineStr">
        <is>
          <t>morningstar.com/portfolio-manager</t>
        </is>
      </c>
      <c r="E88" s="3227" t="inlineStr">
        <is>
          <t>BANQUE &amp; MAISON 2030</t>
        </is>
      </c>
      <c r="F88" s="3227" t="inlineStr">
        <is>
          <t>Suivi portfolio</t>
        </is>
      </c>
      <c r="G88" s="3228" t="n">
        <v>82</v>
      </c>
      <c r="H88" s="3229" t="inlineStr">
        <is>
          <t>B+</t>
        </is>
      </c>
      <c r="I88" s="3229" t="inlineStr">
        <is>
          <t>⚠️ Limité</t>
        </is>
      </c>
      <c r="J88" s="3230" t="inlineStr">
        <is>
          <t>Sélective</t>
        </is>
      </c>
      <c r="K88" s="3227" t="inlineStr">
        <is>
          <t>Suivi performance · benchmarks · allocation · risque</t>
        </is>
      </c>
      <c r="L88" s="3230" t="inlineStr">
        <is>
          <t>Cross-validation performance vs benchmark VFV · X-Ray</t>
        </is>
      </c>
      <c r="M88" s="3225" t="inlineStr">
        <is>
          <t>🟢 ACTIF</t>
        </is>
      </c>
      <c r="N88" s="3227" t="inlineStr">
        <is>
          <t>12/03/2026</t>
        </is>
      </c>
      <c r="O88" s="3177" t="n"/>
      <c r="P88" s="3177" t="n"/>
    </row>
    <row r="89" ht="27.75" customHeight="1" s="1666">
      <c r="A89" s="3231" t="n">
        <v>84</v>
      </c>
      <c r="B89" s="3232" t="n">
        <v>17</v>
      </c>
      <c r="C89" s="3233" t="inlineStr">
        <is>
          <t>Wisesheets</t>
        </is>
      </c>
      <c r="D89" s="3234" t="inlineStr">
        <is>
          <t>wisesheets.io</t>
        </is>
      </c>
      <c r="E89" s="3234" t="inlineStr">
        <is>
          <t>PRIX LIVE &amp; MARCHÉS</t>
        </is>
      </c>
      <c r="F89" s="3234" t="inlineStr">
        <is>
          <t>Add-on GSheets</t>
        </is>
      </c>
      <c r="G89" s="3235" t="n">
        <v>81</v>
      </c>
      <c r="H89" s="3236" t="inlineStr">
        <is>
          <t>B+</t>
        </is>
      </c>
      <c r="I89" s="3236" t="inlineStr">
        <is>
          <t>⚠️ Payant</t>
        </is>
      </c>
      <c r="J89" s="3238" t="inlineStr">
        <is>
          <t>Moyenne</t>
        </is>
      </c>
      <c r="K89" s="3234" t="inlineStr">
        <is>
          <t>Fondamentaux 20 ans · income · cashflow · ratios via Sheets</t>
        </is>
      </c>
      <c r="L89" s="3238" t="inlineStr">
        <is>
          <t>Compléter GOOGLEFINANCE (fondamentaux manquants)</t>
        </is>
      </c>
      <c r="M89" s="3232" t="inlineStr">
        <is>
          <t>🟢 ACTIF</t>
        </is>
      </c>
      <c r="N89" s="3234" t="inlineStr">
        <is>
          <t>12/03/2026</t>
        </is>
      </c>
      <c r="O89" s="3177" t="n"/>
      <c r="P89" s="3177" t="n"/>
    </row>
    <row r="90" ht="27.75" customHeight="1" s="1666">
      <c r="A90" s="3224" t="n">
        <v>85</v>
      </c>
      <c r="B90" s="3225" t="n">
        <v>72</v>
      </c>
      <c r="C90" s="3226" t="inlineStr">
        <is>
          <t>BMO Economics</t>
        </is>
      </c>
      <c r="D90" s="3227" t="inlineStr">
        <is>
          <t>bmo.com/en-ca/main/business/economics</t>
        </is>
      </c>
      <c r="E90" s="3227" t="inlineStr">
        <is>
          <t>MACROÉCONOMIE</t>
        </is>
      </c>
      <c r="F90" s="3227" t="inlineStr">
        <is>
          <t>Canada</t>
        </is>
      </c>
      <c r="G90" s="3228" t="n">
        <v>81</v>
      </c>
      <c r="H90" s="3229" t="inlineStr">
        <is>
          <t>B+</t>
        </is>
      </c>
      <c r="I90" s="3229" t="inlineStr">
        <is>
          <t>Hebdo/mensuel</t>
        </is>
      </c>
      <c r="J90" s="3230" t="inlineStr">
        <is>
          <t>Moyenne</t>
        </is>
      </c>
      <c r="K90" s="3227" t="inlineStr">
        <is>
          <t>Commentaires taux · macro CA · perspectives sectorielle</t>
        </is>
      </c>
      <c r="L90" s="3230" t="inlineStr">
        <is>
          <t>Cross-validation prévisions BdC · santé banques CA</t>
        </is>
      </c>
      <c r="M90" s="3225" t="inlineStr">
        <is>
          <t>🟢 ACTIF</t>
        </is>
      </c>
      <c r="N90" s="3227" t="inlineStr">
        <is>
          <t>12/03/2026</t>
        </is>
      </c>
      <c r="O90" s="3177" t="n"/>
      <c r="P90" s="3177" t="n"/>
    </row>
    <row r="91" ht="27.75" customHeight="1" s="1666">
      <c r="A91" s="3231" t="n">
        <v>86</v>
      </c>
      <c r="B91" s="3232" t="n">
        <v>49</v>
      </c>
      <c r="C91" s="3233" t="inlineStr">
        <is>
          <t>Earnings Whispers</t>
        </is>
      </c>
      <c r="D91" s="3234" t="inlineStr">
        <is>
          <t>earningswhispers.com</t>
        </is>
      </c>
      <c r="E91" s="3234" t="inlineStr">
        <is>
          <t>CALENDRIERS &amp; ÉVÉNEMENTS</t>
        </is>
      </c>
      <c r="F91" s="3234" t="inlineStr">
        <is>
          <t>Spécialisé</t>
        </is>
      </c>
      <c r="G91" s="3235" t="n">
        <v>80</v>
      </c>
      <c r="H91" s="3236" t="inlineStr">
        <is>
          <t>B+</t>
        </is>
      </c>
      <c r="I91" s="3236" t="inlineStr">
        <is>
          <t>⚠️ Limité</t>
        </is>
      </c>
      <c r="J91" s="3238" t="inlineStr">
        <is>
          <t>Moyenne</t>
        </is>
      </c>
      <c r="K91" s="3234" t="inlineStr">
        <is>
          <t>Whisper numbers · options activity · earnings surprises</t>
        </is>
      </c>
      <c r="L91" s="3238" t="inlineStr">
        <is>
          <t>Vérifier consensus vs whisper NVDA/AVGO pre-earnings</t>
        </is>
      </c>
      <c r="M91" s="3232" t="inlineStr">
        <is>
          <t>🟢 ACTIF</t>
        </is>
      </c>
      <c r="N91" s="3234" t="inlineStr">
        <is>
          <t>12/03/2026</t>
        </is>
      </c>
      <c r="O91" s="3177" t="n"/>
      <c r="P91" s="3177" t="n"/>
    </row>
    <row r="92" ht="27.75" customHeight="1" s="1666">
      <c r="A92" s="3224" t="n">
        <v>87</v>
      </c>
      <c r="B92" s="3225" t="n">
        <v>50</v>
      </c>
      <c r="C92" s="3226" t="inlineStr">
        <is>
          <t>Market Chameleon</t>
        </is>
      </c>
      <c r="D92" s="3227" t="inlineStr">
        <is>
          <t>marketchameleon.com</t>
        </is>
      </c>
      <c r="E92" s="3227" t="inlineStr">
        <is>
          <t>CALENDRIERS &amp; ÉVÉNEMENTS</t>
        </is>
      </c>
      <c r="F92" s="3227" t="inlineStr">
        <is>
          <t>Options+earnings</t>
        </is>
      </c>
      <c r="G92" s="3228" t="n">
        <v>80</v>
      </c>
      <c r="H92" s="3229" t="inlineStr">
        <is>
          <t>B+</t>
        </is>
      </c>
      <c r="I92" s="3229" t="inlineStr">
        <is>
          <t>⚠️ Limité</t>
        </is>
      </c>
      <c r="J92" s="3230" t="inlineStr">
        <is>
          <t>Moyenne</t>
        </is>
      </c>
      <c r="K92" s="3227" t="inlineStr">
        <is>
          <t>Implied move · straddle historique · réaction price historique</t>
        </is>
      </c>
      <c r="L92" s="3230" t="inlineStr">
        <is>
          <t>Anticiper mouvement AVGO/NVDA/META post-earnings</t>
        </is>
      </c>
      <c r="M92" s="3225" t="inlineStr">
        <is>
          <t>🟢 ACTIF</t>
        </is>
      </c>
      <c r="N92" s="3227" t="inlineStr">
        <is>
          <t>12/03/2026</t>
        </is>
      </c>
      <c r="O92" s="3177" t="n"/>
      <c r="P92" s="3177" t="n"/>
    </row>
    <row r="93" ht="27.75" customHeight="1" s="1666">
      <c r="A93" s="3231" t="n">
        <v>88</v>
      </c>
      <c r="B93" s="3232" t="n">
        <v>56</v>
      </c>
      <c r="C93" s="3233" t="inlineStr">
        <is>
          <t>Simply Wall St Dividends</t>
        </is>
      </c>
      <c r="D93" s="3234" t="inlineStr">
        <is>
          <t>simplywall.st</t>
        </is>
      </c>
      <c r="E93" s="3234" t="inlineStr">
        <is>
          <t>CALENDRIERS &amp; ÉVÉNEMENTS</t>
        </is>
      </c>
      <c r="F93" s="3234" t="inlineStr">
        <is>
          <t>Dividendes CA</t>
        </is>
      </c>
      <c r="G93" s="3235" t="n">
        <v>80</v>
      </c>
      <c r="H93" s="3236" t="inlineStr">
        <is>
          <t>B+</t>
        </is>
      </c>
      <c r="I93" s="3236" t="inlineStr">
        <is>
          <t>⚠️ Limité</t>
        </is>
      </c>
      <c r="J93" s="3238" t="inlineStr">
        <is>
          <t>Moyenne</t>
        </is>
      </c>
      <c r="K93" s="3234" t="inlineStr">
        <is>
          <t>Paiements CA · sécurité dividende · historique croissance</t>
        </is>
      </c>
      <c r="L93" s="3238" t="inlineStr">
        <is>
          <t>Vérification sécurité dividende T.TO/ENB/MFC</t>
        </is>
      </c>
      <c r="M93" s="3232" t="inlineStr">
        <is>
          <t>🟢 ACTIF</t>
        </is>
      </c>
      <c r="N93" s="3234" t="inlineStr">
        <is>
          <t>12/03/2026</t>
        </is>
      </c>
      <c r="O93" s="3177" t="n"/>
      <c r="P93" s="3177" t="n"/>
    </row>
    <row r="94" ht="27.75" customHeight="1" s="1666">
      <c r="A94" s="3224" t="n">
        <v>89</v>
      </c>
      <c r="B94" s="3225" t="n">
        <v>89</v>
      </c>
      <c r="C94" s="3226" t="inlineStr">
        <is>
          <t>Advisor.ca Tax Corner</t>
        </is>
      </c>
      <c r="D94" s="3227" t="inlineStr">
        <is>
          <t>advisor.ca</t>
        </is>
      </c>
      <c r="E94" s="3227" t="inlineStr">
        <is>
          <t>FISCALITÉ CANADA</t>
        </is>
      </c>
      <c r="F94" s="3227" t="inlineStr">
        <is>
          <t>Canada Pro</t>
        </is>
      </c>
      <c r="G94" s="3228" t="n">
        <v>80</v>
      </c>
      <c r="H94" s="3229" t="inlineStr">
        <is>
          <t>B+</t>
        </is>
      </c>
      <c r="I94" s="3229" t="inlineStr">
        <is>
          <t>Hebdo</t>
        </is>
      </c>
      <c r="J94" s="3230" t="inlineStr">
        <is>
          <t>Moyenne</t>
        </is>
      </c>
      <c r="K94" s="3227" t="inlineStr">
        <is>
          <t>Analyses fiscales pro · stratégies · cas clients · CPA</t>
        </is>
      </c>
      <c r="L94" s="3230" t="inlineStr">
        <is>
          <t>Sources niveau CFP · vérification conseils Claude</t>
        </is>
      </c>
      <c r="M94" s="3225" t="inlineStr">
        <is>
          <t>🟢 ACTIF</t>
        </is>
      </c>
      <c r="N94" s="3227" t="inlineStr">
        <is>
          <t>12/03/2026</t>
        </is>
      </c>
      <c r="O94" s="3177" t="n"/>
      <c r="P94" s="3177" t="n"/>
    </row>
    <row r="95" ht="27.75" customHeight="1" s="1666">
      <c r="A95" s="3231" t="n">
        <v>90</v>
      </c>
      <c r="B95" s="3232" t="n">
        <v>94</v>
      </c>
      <c r="C95" s="3233" t="inlineStr">
        <is>
          <t>Invesco Canada</t>
        </is>
      </c>
      <c r="D95" s="3234" t="inlineStr">
        <is>
          <t>invesco.com/ca/etfs</t>
        </is>
      </c>
      <c r="E95" s="3234" t="inlineStr">
        <is>
          <t>ETFs CANADA</t>
        </is>
      </c>
      <c r="F95" s="3234" t="inlineStr">
        <is>
          <t>Émetteur officiel</t>
        </is>
      </c>
      <c r="G95" s="3235" t="n">
        <v>80</v>
      </c>
      <c r="H95" s="3236" t="inlineStr">
        <is>
          <t>B+</t>
        </is>
      </c>
      <c r="I95" s="3237" t="inlineStr">
        <is>
          <t>✅</t>
        </is>
      </c>
      <c r="J95" s="3238" t="inlineStr">
        <is>
          <t>Moyenne</t>
        </is>
      </c>
      <c r="K95" s="3234" t="inlineStr">
        <is>
          <t>QQQM · QQQ · composition NASDAQ · frais</t>
        </is>
      </c>
      <c r="L95" s="3238" t="inlineStr">
        <is>
          <t>Source officielle QQQM · top 10 holdings tech</t>
        </is>
      </c>
      <c r="M95" s="3232" t="inlineStr">
        <is>
          <t>🟢 ACTIF</t>
        </is>
      </c>
      <c r="N95" s="3234" t="inlineStr">
        <is>
          <t>12/03/2026</t>
        </is>
      </c>
      <c r="O95" s="3177" t="n"/>
      <c r="P95" s="3177" t="n"/>
    </row>
    <row r="96" ht="27.75" customHeight="1" s="1666">
      <c r="A96" s="3224" t="n">
        <v>91</v>
      </c>
      <c r="B96" s="3225" t="n">
        <v>95</v>
      </c>
      <c r="C96" s="3226" t="inlineStr">
        <is>
          <t>Global X Canada</t>
        </is>
      </c>
      <c r="D96" s="3227" t="inlineStr">
        <is>
          <t>globalx.ca</t>
        </is>
      </c>
      <c r="E96" s="3227" t="inlineStr">
        <is>
          <t>ETFs CANADA</t>
        </is>
      </c>
      <c r="F96" s="3227" t="inlineStr">
        <is>
          <t>Émetteur officiel</t>
        </is>
      </c>
      <c r="G96" s="3228" t="n">
        <v>80</v>
      </c>
      <c r="H96" s="3229" t="inlineStr">
        <is>
          <t>B+</t>
        </is>
      </c>
      <c r="I96" s="3239" t="inlineStr">
        <is>
          <t>✅</t>
        </is>
      </c>
      <c r="J96" s="3230" t="inlineStr">
        <is>
          <t>Moyenne</t>
        </is>
      </c>
      <c r="K96" s="3227" t="inlineStr">
        <is>
          <t>HURA · couvertes · alternatives · rendement élevé</t>
        </is>
      </c>
      <c r="L96" s="3230" t="inlineStr">
        <is>
          <t>Source officielle HURA.TO · uranium T3</t>
        </is>
      </c>
      <c r="M96" s="3225" t="inlineStr">
        <is>
          <t>🟢 ACTIF</t>
        </is>
      </c>
      <c r="N96" s="3227" t="inlineStr">
        <is>
          <t>12/03/2026</t>
        </is>
      </c>
      <c r="O96" s="3177" t="n"/>
      <c r="P96" s="3177" t="n"/>
    </row>
    <row r="97" ht="27.75" customHeight="1" s="1666">
      <c r="A97" s="3231" t="n">
        <v>92</v>
      </c>
      <c r="B97" s="3232" t="n">
        <v>96</v>
      </c>
      <c r="C97" s="3233" t="inlineStr">
        <is>
          <t>Defiance ETFs</t>
        </is>
      </c>
      <c r="D97" s="3234" t="inlineStr">
        <is>
          <t>defianceetfs.com</t>
        </is>
      </c>
      <c r="E97" s="3234" t="inlineStr">
        <is>
          <t>ETFs CANADA</t>
        </is>
      </c>
      <c r="F97" s="3234" t="inlineStr">
        <is>
          <t>Émetteur officiel</t>
        </is>
      </c>
      <c r="G97" s="3235" t="n">
        <v>80</v>
      </c>
      <c r="H97" s="3236" t="inlineStr">
        <is>
          <t>B+</t>
        </is>
      </c>
      <c r="I97" s="3237" t="inlineStr">
        <is>
          <t>✅</t>
        </is>
      </c>
      <c r="J97" s="3238" t="inlineStr">
        <is>
          <t>Moyenne</t>
        </is>
      </c>
      <c r="K97" s="3234" t="inlineStr">
        <is>
          <t>QTUM · quantum computing · composition · rebalancement</t>
        </is>
      </c>
      <c r="L97" s="3238" t="inlineStr">
        <is>
          <t>Source officielle QTUM · T3 quantum computing</t>
        </is>
      </c>
      <c r="M97" s="3232" t="inlineStr">
        <is>
          <t>🟢 ACTIF</t>
        </is>
      </c>
      <c r="N97" s="3234" t="inlineStr">
        <is>
          <t>12/03/2026</t>
        </is>
      </c>
      <c r="O97" s="3177" t="n"/>
      <c r="P97" s="3177" t="n"/>
    </row>
    <row r="98" ht="27.75" customHeight="1" s="1666">
      <c r="A98" s="3224" t="n">
        <v>93</v>
      </c>
      <c r="B98" s="3225" t="n">
        <v>98</v>
      </c>
      <c r="C98" s="3226" t="inlineStr">
        <is>
          <t>ETF.com</t>
        </is>
      </c>
      <c r="D98" s="3227" t="inlineStr">
        <is>
          <t>etf.com</t>
        </is>
      </c>
      <c r="E98" s="3227" t="inlineStr">
        <is>
          <t>ETFs CANADA</t>
        </is>
      </c>
      <c r="F98" s="3227" t="inlineStr">
        <is>
          <t>Base données ETF</t>
        </is>
      </c>
      <c r="G98" s="3228" t="n">
        <v>80</v>
      </c>
      <c r="H98" s="3229" t="inlineStr">
        <is>
          <t>B+</t>
        </is>
      </c>
      <c r="I98" s="3239" t="inlineStr">
        <is>
          <t>✅</t>
        </is>
      </c>
      <c r="J98" s="3230" t="inlineStr">
        <is>
          <t>Moyenne</t>
        </is>
      </c>
      <c r="K98" s="3227" t="inlineStr">
        <is>
          <t>Composition · tracking error · liquidité · alternatives</t>
        </is>
      </c>
      <c r="L98" s="3230" t="inlineStr">
        <is>
          <t>Comparer ETF US: SCHD vs VYM vs JEPI · SMH vs SOXX</t>
        </is>
      </c>
      <c r="M98" s="3225" t="inlineStr">
        <is>
          <t>🟢 ACTIF</t>
        </is>
      </c>
      <c r="N98" s="3227" t="inlineStr">
        <is>
          <t>12/03/2026</t>
        </is>
      </c>
      <c r="O98" s="3177" t="n"/>
      <c r="P98" s="3177" t="n"/>
    </row>
    <row r="99" ht="27.75" customHeight="1" s="1666">
      <c r="A99" s="3231" t="n">
        <v>94</v>
      </c>
      <c r="B99" s="3232" t="n">
        <v>99</v>
      </c>
      <c r="C99" s="3233" t="inlineStr">
        <is>
          <t>Justin Bender ETF Tool</t>
        </is>
      </c>
      <c r="D99" s="3234" t="inlineStr">
        <is>
          <t>canadianportfoliomanagerblog.com</t>
        </is>
      </c>
      <c r="E99" s="3234" t="inlineStr">
        <is>
          <t>ETFs CANADA</t>
        </is>
      </c>
      <c r="F99" s="3234" t="inlineStr">
        <is>
          <t>DIY CA</t>
        </is>
      </c>
      <c r="G99" s="3235" t="n">
        <v>80</v>
      </c>
      <c r="H99" s="3236" t="inlineStr">
        <is>
          <t>B+</t>
        </is>
      </c>
      <c r="I99" s="3237" t="inlineStr">
        <is>
          <t>✅</t>
        </is>
      </c>
      <c r="J99" s="3238" t="inlineStr">
        <is>
          <t>Moyenne</t>
        </is>
      </c>
      <c r="K99" s="3234" t="inlineStr">
        <is>
          <t>Withholding tax · friction fiscale · compte optimal par ETF</t>
        </is>
      </c>
      <c r="L99" s="3238" t="inlineStr">
        <is>
          <t>Optimisation: quel ETF dans quel compte REER/TFSA</t>
        </is>
      </c>
      <c r="M99" s="3232" t="inlineStr">
        <is>
          <t>🟢 ACTIF</t>
        </is>
      </c>
      <c r="N99" s="3234" t="inlineStr">
        <is>
          <t>12/03/2026</t>
        </is>
      </c>
      <c r="O99" s="3177" t="n"/>
      <c r="P99" s="3177" t="n"/>
    </row>
    <row r="100" ht="27.75" customHeight="1" s="1666">
      <c r="A100" s="3224" t="n">
        <v>95</v>
      </c>
      <c r="B100" s="3225" t="n">
        <v>100</v>
      </c>
      <c r="C100" s="3226" t="inlineStr">
        <is>
          <t>Canadian Couch Potato</t>
        </is>
      </c>
      <c r="D100" s="3227" t="inlineStr">
        <is>
          <t>canadiancouchpotato.com</t>
        </is>
      </c>
      <c r="E100" s="3227" t="inlineStr">
        <is>
          <t>ETFs CANADA</t>
        </is>
      </c>
      <c r="F100" s="3227" t="inlineStr">
        <is>
          <t>DIY CA</t>
        </is>
      </c>
      <c r="G100" s="3228" t="n">
        <v>80</v>
      </c>
      <c r="H100" s="3229" t="inlineStr">
        <is>
          <t>B+</t>
        </is>
      </c>
      <c r="I100" s="3239" t="inlineStr">
        <is>
          <t>✅</t>
        </is>
      </c>
      <c r="J100" s="3230" t="inlineStr">
        <is>
          <t>Moyenne</t>
        </is>
      </c>
      <c r="K100" s="3227" t="inlineStr">
        <is>
          <t>Portefeuilles modèles · comparaisons · frais · evidence-based</t>
        </is>
      </c>
      <c r="L100" s="3230" t="inlineStr">
        <is>
          <t>Référence passive investing CA · validation XEQT/VFV</t>
        </is>
      </c>
      <c r="M100" s="3225" t="inlineStr">
        <is>
          <t>🟢 ACTIF</t>
        </is>
      </c>
      <c r="N100" s="3227" t="inlineStr">
        <is>
          <t>12/03/2026</t>
        </is>
      </c>
      <c r="O100" s="3177" t="n"/>
      <c r="P100" s="3177" t="n"/>
    </row>
    <row r="101" ht="27.75" customHeight="1" s="1666">
      <c r="A101" s="3231" t="n">
        <v>96</v>
      </c>
      <c r="B101" s="3232" t="n">
        <v>101</v>
      </c>
      <c r="C101" s="3233" t="inlineStr">
        <is>
          <t>Million Dollar Journey ETF</t>
        </is>
      </c>
      <c r="D101" s="3234" t="inlineStr">
        <is>
          <t>milliondollarjourney.com</t>
        </is>
      </c>
      <c r="E101" s="3234" t="inlineStr">
        <is>
          <t>ETFs CANADA</t>
        </is>
      </c>
      <c r="F101" s="3234" t="inlineStr">
        <is>
          <t>DIY CA</t>
        </is>
      </c>
      <c r="G101" s="3235" t="n">
        <v>80</v>
      </c>
      <c r="H101" s="3236" t="inlineStr">
        <is>
          <t>B+</t>
        </is>
      </c>
      <c r="I101" s="3237" t="inlineStr">
        <is>
          <t>✅</t>
        </is>
      </c>
      <c r="J101" s="3238" t="inlineStr">
        <is>
          <t>Moyenne</t>
        </is>
      </c>
      <c r="K101" s="3234" t="inlineStr">
        <is>
          <t>Meilleurs 49 ETF CA · TFSA/REER optimal · analyse</t>
        </is>
      </c>
      <c r="L101" s="3238" t="inlineStr">
        <is>
          <t>Comparateur ETF CA complet · alternativess ZRE/XIC</t>
        </is>
      </c>
      <c r="M101" s="3232" t="inlineStr">
        <is>
          <t>🟢 ACTIF</t>
        </is>
      </c>
      <c r="N101" s="3234" t="inlineStr">
        <is>
          <t>12/03/2026</t>
        </is>
      </c>
      <c r="O101" s="3177" t="n"/>
      <c r="P101" s="3177" t="n"/>
    </row>
    <row r="102" ht="27.75" customHeight="1" s="1666">
      <c r="A102" s="3224" t="n">
        <v>97</v>
      </c>
      <c r="B102" s="3225" t="n">
        <v>102</v>
      </c>
      <c r="C102" s="3226" t="inlineStr">
        <is>
          <t>JustETF</t>
        </is>
      </c>
      <c r="D102" s="3227" t="inlineStr">
        <is>
          <t>justetf.com</t>
        </is>
      </c>
      <c r="E102" s="3227" t="inlineStr">
        <is>
          <t>ETFs CANADA</t>
        </is>
      </c>
      <c r="F102" s="3227" t="inlineStr">
        <is>
          <t>Europe+US+CA</t>
        </is>
      </c>
      <c r="G102" s="3228" t="n">
        <v>80</v>
      </c>
      <c r="H102" s="3229" t="inlineStr">
        <is>
          <t>B+</t>
        </is>
      </c>
      <c r="I102" s="3239" t="inlineStr">
        <is>
          <t>✅</t>
        </is>
      </c>
      <c r="J102" s="3230" t="inlineStr">
        <is>
          <t>Moyenne</t>
        </is>
      </c>
      <c r="K102" s="3227" t="inlineStr">
        <is>
          <t>Comparateur ETF mondial · screening · coûts totaux</t>
        </is>
      </c>
      <c r="L102" s="3230" t="inlineStr">
        <is>
          <t>Comparaison internationale · alternatives VDU</t>
        </is>
      </c>
      <c r="M102" s="3225" t="inlineStr">
        <is>
          <t>🟢 ACTIF</t>
        </is>
      </c>
      <c r="N102" s="3227" t="inlineStr">
        <is>
          <t>12/03/2026</t>
        </is>
      </c>
      <c r="O102" s="3177" t="n"/>
      <c r="P102" s="3177" t="n"/>
    </row>
    <row r="103" ht="27.75" customHeight="1" s="1666">
      <c r="A103" s="3231" t="n">
        <v>98</v>
      </c>
      <c r="B103" s="3232" t="n">
        <v>103</v>
      </c>
      <c r="C103" s="3233" t="inlineStr">
        <is>
          <t>ETFdb.com</t>
        </is>
      </c>
      <c r="D103" s="3234" t="inlineStr">
        <is>
          <t>etfdb.com</t>
        </is>
      </c>
      <c r="E103" s="3234" t="inlineStr">
        <is>
          <t>ETFs CANADA</t>
        </is>
      </c>
      <c r="F103" s="3234" t="inlineStr">
        <is>
          <t>US principal</t>
        </is>
      </c>
      <c r="G103" s="3235" t="n">
        <v>80</v>
      </c>
      <c r="H103" s="3236" t="inlineStr">
        <is>
          <t>B+</t>
        </is>
      </c>
      <c r="I103" s="3237" t="inlineStr">
        <is>
          <t>✅</t>
        </is>
      </c>
      <c r="J103" s="3238" t="inlineStr">
        <is>
          <t>Moyenne</t>
        </is>
      </c>
      <c r="K103" s="3234" t="inlineStr">
        <is>
          <t>Comparateur ETF US · alternatives · SCHD vs concurrents</t>
        </is>
      </c>
      <c r="L103" s="3238" t="inlineStr">
        <is>
          <t>Alternativess SCHD · JEPI vs concurrents · SMH</t>
        </is>
      </c>
      <c r="M103" s="3232" t="inlineStr">
        <is>
          <t>🟢 ACTIF</t>
        </is>
      </c>
      <c r="N103" s="3234" t="inlineStr">
        <is>
          <t>12/03/2026</t>
        </is>
      </c>
      <c r="O103" s="3177" t="n"/>
      <c r="P103" s="3177" t="n"/>
    </row>
    <row r="104" ht="27.75" customHeight="1" s="1666">
      <c r="A104" s="3224" t="n">
        <v>99</v>
      </c>
      <c r="B104" s="3225" t="n">
        <v>173</v>
      </c>
      <c r="C104" s="3226" t="inlineStr">
        <is>
          <t>Reddit r/PersonalFinanceCanada</t>
        </is>
      </c>
      <c r="D104" s="3227" t="n"/>
      <c r="E104" s="3227" t="inlineStr">
        <is>
          <t>COMMUNAUTÉS &amp; OUTILS</t>
        </is>
      </c>
      <c r="F104" s="3227" t="inlineStr">
        <is>
          <t>Communauté CA #1</t>
        </is>
      </c>
      <c r="G104" s="3228" t="n">
        <v>80</v>
      </c>
      <c r="H104" s="3229" t="inlineStr">
        <is>
          <t>B+</t>
        </is>
      </c>
      <c r="I104" s="3239" t="inlineStr">
        <is>
          <t>✅</t>
        </is>
      </c>
      <c r="J104" s="3230" t="inlineStr">
        <is>
          <t>Sélective</t>
        </is>
      </c>
      <c r="K104" s="3227" t="inlineStr">
        <is>
          <t>Wiki TFSA/REER · FHSA · expériences DIY · questions</t>
        </is>
      </c>
      <c r="L104" s="3230" t="inlineStr">
        <is>
          <t>Vérifier règles CA · expériences réelles · erreurs communes</t>
        </is>
      </c>
      <c r="M104" s="3225" t="inlineStr">
        <is>
          <t>🟢 ACTIF</t>
        </is>
      </c>
      <c r="N104" s="3227" t="inlineStr">
        <is>
          <t>12/03/2026</t>
        </is>
      </c>
      <c r="O104" s="3177" t="n"/>
      <c r="P104" s="3177" t="n"/>
    </row>
    <row r="105" ht="27.75" customHeight="1" s="1666">
      <c r="A105" s="3231" t="n">
        <v>100</v>
      </c>
      <c r="B105" s="3232" t="n">
        <v>86</v>
      </c>
      <c r="C105" s="3233" t="inlineStr">
        <is>
          <t>MoneySense Tax Centre</t>
        </is>
      </c>
      <c r="D105" s="3234" t="inlineStr">
        <is>
          <t>moneysense.ca/taxes</t>
        </is>
      </c>
      <c r="E105" s="3234" t="inlineStr">
        <is>
          <t>FISCALITÉ CANADA</t>
        </is>
      </c>
      <c r="F105" s="3234" t="inlineStr">
        <is>
          <t>Canada</t>
        </is>
      </c>
      <c r="G105" s="3235" t="n">
        <v>79</v>
      </c>
      <c r="H105" s="3236" t="inlineStr">
        <is>
          <t>B+</t>
        </is>
      </c>
      <c r="I105" s="3236" t="inlineStr">
        <is>
          <t>Annuel</t>
        </is>
      </c>
      <c r="J105" s="3238" t="inlineStr">
        <is>
          <t>Moyenne</t>
        </is>
      </c>
      <c r="K105" s="3234" t="inlineStr">
        <is>
          <t>Guides REER/FHSA · comparateurs · limites · délais</t>
        </is>
      </c>
      <c r="L105" s="3238" t="inlineStr">
        <is>
          <t>Références accessibles · vérification règles annuelles</t>
        </is>
      </c>
      <c r="M105" s="3232" t="inlineStr">
        <is>
          <t>🟢 ACTIF</t>
        </is>
      </c>
      <c r="N105" s="3234" t="inlineStr">
        <is>
          <t>12/03/2026</t>
        </is>
      </c>
      <c r="O105" s="3177" t="n"/>
      <c r="P105" s="3177" t="n"/>
    </row>
    <row r="106" ht="27.75" customHeight="1" s="1666">
      <c r="A106" s="3224" t="n">
        <v>101</v>
      </c>
      <c r="B106" s="3225" t="n">
        <v>105</v>
      </c>
      <c r="C106" s="3226" t="inlineStr">
        <is>
          <t>PWL Capital</t>
        </is>
      </c>
      <c r="D106" s="3227" t="inlineStr">
        <is>
          <t>pwlcapital.com/resources</t>
        </is>
      </c>
      <c r="E106" s="3227" t="inlineStr">
        <is>
          <t>ETFs CANADA</t>
        </is>
      </c>
      <c r="F106" s="3227" t="inlineStr">
        <is>
          <t>CA Pro</t>
        </is>
      </c>
      <c r="G106" s="3228" t="n">
        <v>79</v>
      </c>
      <c r="H106" s="3229" t="inlineStr">
        <is>
          <t>B+</t>
        </is>
      </c>
      <c r="I106" s="3239" t="inlineStr">
        <is>
          <t>✅</t>
        </is>
      </c>
      <c r="J106" s="3230" t="inlineStr">
        <is>
          <t>Moyenne</t>
        </is>
      </c>
      <c r="K106" s="3227" t="inlineStr">
        <is>
          <t>Recherches evidence-based · Ben Felix · withholding taxes</t>
        </is>
      </c>
      <c r="L106" s="3230" t="inlineStr">
        <is>
          <t>Source CFP-niveau · validation allocations T1-T4</t>
        </is>
      </c>
      <c r="M106" s="3225" t="inlineStr">
        <is>
          <t>🟢 ACTIF</t>
        </is>
      </c>
      <c r="N106" s="3227" t="inlineStr">
        <is>
          <t>12/03/2026</t>
        </is>
      </c>
      <c r="O106" s="3177" t="n"/>
      <c r="P106" s="3177" t="n"/>
    </row>
    <row r="107" ht="27.75" customHeight="1" s="1666">
      <c r="A107" s="3231" t="n">
        <v>102</v>
      </c>
      <c r="B107" s="3232" t="n">
        <v>174</v>
      </c>
      <c r="C107" s="3233" t="inlineStr">
        <is>
          <t>Reddit r/financepersonnelle</t>
        </is>
      </c>
      <c r="D107" s="3234" t="n"/>
      <c r="E107" s="3234" t="inlineStr">
        <is>
          <t>COMMUNAUTÉS &amp; OUTILS</t>
        </is>
      </c>
      <c r="F107" s="3234" t="inlineStr">
        <is>
          <t>Communauté QC</t>
        </is>
      </c>
      <c r="G107" s="3235" t="n">
        <v>79</v>
      </c>
      <c r="H107" s="3236" t="inlineStr">
        <is>
          <t>B+</t>
        </is>
      </c>
      <c r="I107" s="3237" t="inlineStr">
        <is>
          <t>✅</t>
        </is>
      </c>
      <c r="J107" s="3238" t="inlineStr">
        <is>
          <t>Sélective</t>
        </is>
      </c>
      <c r="K107" s="3234" t="inlineStr">
        <is>
          <t>Finance QC spécifique · Revenu QC · FTQ · culture QC</t>
        </is>
      </c>
      <c r="L107" s="3238" t="inlineStr">
        <is>
          <t>Questions spécifiques QC · FTQ · REER QC · fiscalité QC</t>
        </is>
      </c>
      <c r="M107" s="3232" t="inlineStr">
        <is>
          <t>🟢 ACTIF</t>
        </is>
      </c>
      <c r="N107" s="3234" t="inlineStr">
        <is>
          <t>12/03/2026</t>
        </is>
      </c>
      <c r="O107" s="3177" t="n"/>
      <c r="P107" s="3177" t="n"/>
    </row>
    <row r="108" ht="27.75" customHeight="1" s="1666">
      <c r="A108" s="3224" t="n">
        <v>103</v>
      </c>
      <c r="B108" s="3225" t="n">
        <v>197</v>
      </c>
      <c r="C108" s="3226" t="inlineStr">
        <is>
          <t>BMO Maison calculator</t>
        </is>
      </c>
      <c r="D108" s="3227" t="inlineStr">
        <is>
          <t>bmo.com/hypotheque</t>
        </is>
      </c>
      <c r="E108" s="3227" t="inlineStr">
        <is>
          <t>BANQUE &amp; MAISON 2030</t>
        </is>
      </c>
      <c r="F108" s="3227" t="inlineStr">
        <is>
          <t>Outil BMO</t>
        </is>
      </c>
      <c r="G108" s="3228" t="n">
        <v>79</v>
      </c>
      <c r="H108" s="3229" t="inlineStr">
        <is>
          <t>B+</t>
        </is>
      </c>
      <c r="I108" s="3239" t="inlineStr">
        <is>
          <t>✅</t>
        </is>
      </c>
      <c r="J108" s="3230" t="inlineStr">
        <is>
          <t>Sélective</t>
        </is>
      </c>
      <c r="K108" s="3227" t="inlineStr">
        <is>
          <t>Calculateur hypothèque · versements · amortissement</t>
        </is>
      </c>
      <c r="L108" s="3230" t="inlineStr">
        <is>
          <t>Simuler hypothèque avec mise $100K · versements 2030</t>
        </is>
      </c>
      <c r="M108" s="3225" t="inlineStr">
        <is>
          <t>🟢 ACTIF</t>
        </is>
      </c>
      <c r="N108" s="3227" t="inlineStr">
        <is>
          <t>12/03/2026</t>
        </is>
      </c>
      <c r="O108" s="3177" t="n"/>
      <c r="P108" s="3177" t="n"/>
    </row>
    <row r="109" ht="27.75" customHeight="1" s="1666">
      <c r="A109" s="3231" t="n">
        <v>104</v>
      </c>
      <c r="B109" s="3232" t="n">
        <v>82</v>
      </c>
      <c r="C109" s="3233" t="inlineStr">
        <is>
          <t>TurboTax Canada Blog</t>
        </is>
      </c>
      <c r="D109" s="3234" t="inlineStr">
        <is>
          <t>turbotax.intuit.ca/tips</t>
        </is>
      </c>
      <c r="E109" s="3234" t="inlineStr">
        <is>
          <t>FISCALITÉ CANADA</t>
        </is>
      </c>
      <c r="F109" s="3234" t="inlineStr">
        <is>
          <t>Canada</t>
        </is>
      </c>
      <c r="G109" s="3235" t="n">
        <v>78</v>
      </c>
      <c r="H109" s="3236" t="inlineStr">
        <is>
          <t>B+</t>
        </is>
      </c>
      <c r="I109" s="3236" t="inlineStr">
        <is>
          <t>Annuel</t>
        </is>
      </c>
      <c r="J109" s="3238" t="inlineStr">
        <is>
          <t>Moyenne</t>
        </is>
      </c>
      <c r="K109" s="3234" t="inlineStr">
        <is>
          <t>Guides fiscaux clairs · REER · FHSA · crédits · RAP</t>
        </is>
      </c>
      <c r="L109" s="3238" t="inlineStr">
        <is>
          <t>Références pratiques · dates limites · conseils QC</t>
        </is>
      </c>
      <c r="M109" s="3232" t="inlineStr">
        <is>
          <t>🟢 ACTIF</t>
        </is>
      </c>
      <c r="N109" s="3234" t="inlineStr">
        <is>
          <t>12/03/2026</t>
        </is>
      </c>
      <c r="O109" s="3177" t="n"/>
      <c r="P109" s="3177" t="n"/>
    </row>
    <row r="110" ht="27.75" customHeight="1" s="1666">
      <c r="A110" s="3224" t="n">
        <v>105</v>
      </c>
      <c r="B110" s="3225" t="n">
        <v>83</v>
      </c>
      <c r="C110" s="3226" t="inlineStr">
        <is>
          <t>FTQ Solidarité</t>
        </is>
      </c>
      <c r="D110" s="3227" t="inlineStr">
        <is>
          <t>fondsftq.com</t>
        </is>
      </c>
      <c r="E110" s="3227" t="inlineStr">
        <is>
          <t>FISCALITÉ CANADA</t>
        </is>
      </c>
      <c r="F110" s="3227" t="inlineStr">
        <is>
          <t>QC officiel</t>
        </is>
      </c>
      <c r="G110" s="3228" t="n">
        <v>78</v>
      </c>
      <c r="H110" s="3229" t="inlineStr">
        <is>
          <t>B+</t>
        </is>
      </c>
      <c r="I110" s="3229" t="inlineStr">
        <is>
          <t>Annuel</t>
        </is>
      </c>
      <c r="J110" s="3230" t="inlineStr">
        <is>
          <t>Moyenne</t>
        </is>
      </c>
      <c r="K110" s="3227" t="inlineStr">
        <is>
          <t>Crédit impôt 30% · conditions · REER admissible · rendement</t>
        </is>
      </c>
      <c r="L110" s="3230" t="inlineStr">
        <is>
          <t>CONFIG!B35 statut FTQ · économie ~$1,500 impôt/an</t>
        </is>
      </c>
      <c r="M110" s="3225" t="inlineStr">
        <is>
          <t>🟢 ACTIF</t>
        </is>
      </c>
      <c r="N110" s="3227" t="inlineStr">
        <is>
          <t>12/03/2026</t>
        </is>
      </c>
      <c r="O110" s="3177" t="n"/>
      <c r="P110" s="3177" t="n"/>
    </row>
    <row r="111" ht="27.75" customHeight="1" s="1666">
      <c r="A111" s="3231" t="n">
        <v>106</v>
      </c>
      <c r="B111" s="3232" t="n">
        <v>84</v>
      </c>
      <c r="C111" s="3233" t="inlineStr">
        <is>
          <t>REER vs CELI Calculateur</t>
        </is>
      </c>
      <c r="D111" s="3234" t="inlineStr">
        <is>
          <t>rrspvstfsa.ca</t>
        </is>
      </c>
      <c r="E111" s="3234" t="inlineStr">
        <is>
          <t>FISCALITÉ CANADA</t>
        </is>
      </c>
      <c r="F111" s="3234" t="inlineStr">
        <is>
          <t>Canada</t>
        </is>
      </c>
      <c r="G111" s="3235" t="n">
        <v>78</v>
      </c>
      <c r="H111" s="3236" t="inlineStr">
        <is>
          <t>B+</t>
        </is>
      </c>
      <c r="I111" s="3236" t="inlineStr">
        <is>
          <t>Continu</t>
        </is>
      </c>
      <c r="J111" s="3238" t="inlineStr">
        <is>
          <t>Moyenne</t>
        </is>
      </c>
      <c r="K111" s="3234" t="inlineStr">
        <is>
          <t>Comparateur REER vs TFSA · taux marginal · scénarios</t>
        </is>
      </c>
      <c r="L111" s="3238" t="inlineStr">
        <is>
          <t>Valider ordre cotisation: REER@52.98% &gt;&gt; TFSA</t>
        </is>
      </c>
      <c r="M111" s="3232" t="inlineStr">
        <is>
          <t>🟢 ACTIF</t>
        </is>
      </c>
      <c r="N111" s="3234" t="inlineStr">
        <is>
          <t>12/03/2026</t>
        </is>
      </c>
      <c r="O111" s="3177" t="n"/>
      <c r="P111" s="3177" t="n"/>
    </row>
    <row r="112" ht="27.75" customHeight="1" s="1666">
      <c r="A112" s="3224" t="n">
        <v>107</v>
      </c>
      <c r="B112" s="3225" t="n">
        <v>87</v>
      </c>
      <c r="C112" s="3226" t="inlineStr">
        <is>
          <t>CRA RRSP Home Buyers Plan</t>
        </is>
      </c>
      <c r="D112" s="3227" t="inlineStr">
        <is>
          <t>canada.ca/rap</t>
        </is>
      </c>
      <c r="E112" s="3227" t="inlineStr">
        <is>
          <t>FISCALITÉ CANADA</t>
        </is>
      </c>
      <c r="F112" s="3227" t="inlineStr">
        <is>
          <t>Canada officiel</t>
        </is>
      </c>
      <c r="G112" s="3228" t="n">
        <v>78</v>
      </c>
      <c r="H112" s="3229" t="inlineStr">
        <is>
          <t>B+</t>
        </is>
      </c>
      <c r="I112" s="3229" t="inlineStr">
        <is>
          <t>Annuel</t>
        </is>
      </c>
      <c r="J112" s="3230" t="inlineStr">
        <is>
          <t>Moyenne</t>
        </is>
      </c>
      <c r="K112" s="3227" t="inlineStr">
        <is>
          <t>RAP $60K max · conditions · remboursement 15 ans</t>
        </is>
      </c>
      <c r="L112" s="3230" t="inlineStr">
        <is>
          <t>REER→RAP $60K + FHSA $40K = $100K mise 2030</t>
        </is>
      </c>
      <c r="M112" s="3225" t="inlineStr">
        <is>
          <t>🟢 ACTIF</t>
        </is>
      </c>
      <c r="N112" s="3227" t="inlineStr">
        <is>
          <t>12/03/2026</t>
        </is>
      </c>
      <c r="O112" s="3177" t="n"/>
      <c r="P112" s="3177" t="n"/>
    </row>
    <row r="113" ht="27.75" customHeight="1" s="1666">
      <c r="A113" s="3231" t="n">
        <v>108</v>
      </c>
      <c r="B113" s="3232" t="n">
        <v>114</v>
      </c>
      <c r="C113" s="3233" t="inlineStr">
        <is>
          <t>Tawcan</t>
        </is>
      </c>
      <c r="D113" s="3234" t="inlineStr">
        <is>
          <t>tawcan.com</t>
        </is>
      </c>
      <c r="E113" s="3234" t="inlineStr">
        <is>
          <t>FIRE &amp; PSYCHOLOGIE</t>
        </is>
      </c>
      <c r="F113" s="3234" t="inlineStr">
        <is>
          <t>Blog CA dividendes</t>
        </is>
      </c>
      <c r="G113" s="3235" t="n">
        <v>78</v>
      </c>
      <c r="H113" s="3236" t="inlineStr">
        <is>
          <t>B+</t>
        </is>
      </c>
      <c r="I113" s="3237" t="inlineStr">
        <is>
          <t>✅</t>
        </is>
      </c>
      <c r="J113" s="3238" t="inlineStr">
        <is>
          <t>Sélective</t>
        </is>
      </c>
      <c r="K113" s="3234" t="inlineStr">
        <is>
          <t>FIRE dividendes CA · ETF · budget · transparence mensuelle</t>
        </is>
      </c>
      <c r="L113" s="3238" t="inlineStr">
        <is>
          <t>Modèle dividendes TFSA à long terme · ENB/XEI stratégie</t>
        </is>
      </c>
      <c r="M113" s="3232" t="inlineStr">
        <is>
          <t>🟢 ACTIF</t>
        </is>
      </c>
      <c r="N113" s="3234" t="inlineStr">
        <is>
          <t>12/03/2026</t>
        </is>
      </c>
      <c r="O113" s="3177" t="n"/>
      <c r="P113" s="3177" t="n"/>
    </row>
    <row r="114" ht="27.75" customHeight="1" s="1666">
      <c r="A114" s="3224" t="n">
        <v>109</v>
      </c>
      <c r="B114" s="3225" t="n">
        <v>117</v>
      </c>
      <c r="C114" s="3226" t="inlineStr">
        <is>
          <t>Coupler.io GOOGLEFINANCE Guide</t>
        </is>
      </c>
      <c r="D114" s="3227" t="inlineStr">
        <is>
          <t>blog.coupler.io</t>
        </is>
      </c>
      <c r="E114" s="3227" t="inlineStr">
        <is>
          <t>GOOGLE SHEETS PRO</t>
        </is>
      </c>
      <c r="F114" s="3227" t="inlineStr">
        <is>
          <t>Tutoriel avancé</t>
        </is>
      </c>
      <c r="G114" s="3228" t="n">
        <v>78</v>
      </c>
      <c r="H114" s="3229" t="inlineStr">
        <is>
          <t>B+</t>
        </is>
      </c>
      <c r="I114" s="3239" t="inlineStr">
        <is>
          <t>✅</t>
        </is>
      </c>
      <c r="J114" s="3230" t="inlineStr">
        <is>
          <t>Sélective</t>
        </is>
      </c>
      <c r="K114" s="3227" t="inlineStr">
        <is>
          <t>GOOGLEFINANCE avancé · alternatives · erreurs #N/A · fallback</t>
        </is>
      </c>
      <c r="L114" s="3230" t="inlineStr">
        <is>
          <t>Gérer erreurs GOOGLEFINANCE · fallback CONFIG!B3</t>
        </is>
      </c>
      <c r="M114" s="3225" t="inlineStr">
        <is>
          <t>🟢 ACTIF</t>
        </is>
      </c>
      <c r="N114" s="3227" t="inlineStr">
        <is>
          <t>12/03/2026</t>
        </is>
      </c>
      <c r="O114" s="3177" t="n"/>
      <c r="P114" s="3177" t="n"/>
    </row>
    <row r="115" ht="27.75" customHeight="1" s="1666">
      <c r="A115" s="3231" t="n">
        <v>110</v>
      </c>
      <c r="B115" s="3232" t="n">
        <v>118</v>
      </c>
      <c r="C115" s="3233" t="inlineStr">
        <is>
          <t>Google Apps Script Doc</t>
        </is>
      </c>
      <c r="D115" s="3234" t="inlineStr">
        <is>
          <t>developers.google.com/apps-script</t>
        </is>
      </c>
      <c r="E115" s="3234" t="inlineStr">
        <is>
          <t>GOOGLE SHEETS PRO</t>
        </is>
      </c>
      <c r="F115" s="3234" t="inlineStr">
        <is>
          <t>Officiel Google</t>
        </is>
      </c>
      <c r="G115" s="3235" t="n">
        <v>78</v>
      </c>
      <c r="H115" s="3236" t="inlineStr">
        <is>
          <t>B+</t>
        </is>
      </c>
      <c r="I115" s="3237" t="inlineStr">
        <is>
          <t>✅</t>
        </is>
      </c>
      <c r="J115" s="3238" t="inlineStr">
        <is>
          <t>Sélective</t>
        </is>
      </c>
      <c r="K115" s="3234" t="inlineStr">
        <is>
          <t>Scripts automation · triggers · API · mail · sheets</t>
        </is>
      </c>
      <c r="L115" s="3238" t="inlineStr">
        <is>
          <t>Automatiser MAJ portfolio · alertes prix par email</t>
        </is>
      </c>
      <c r="M115" s="3232" t="inlineStr">
        <is>
          <t>🟢 ACTIF</t>
        </is>
      </c>
      <c r="N115" s="3234" t="inlineStr">
        <is>
          <t>12/03/2026</t>
        </is>
      </c>
      <c r="O115" s="3177" t="n"/>
      <c r="P115" s="3177" t="n"/>
    </row>
    <row r="116" ht="27.75" customHeight="1" s="1666">
      <c r="A116" s="3224" t="n">
        <v>111</v>
      </c>
      <c r="B116" s="3225" t="n">
        <v>119</v>
      </c>
      <c r="C116" s="3226" t="inlineStr">
        <is>
          <t>Sheetgo Finance Blog</t>
        </is>
      </c>
      <c r="D116" s="3227" t="inlineStr">
        <is>
          <t>sheetgo.com/blog</t>
        </is>
      </c>
      <c r="E116" s="3227" t="inlineStr">
        <is>
          <t>GOOGLE SHEETS PRO</t>
        </is>
      </c>
      <c r="F116" s="3227" t="inlineStr">
        <is>
          <t>Tutoriels avancés</t>
        </is>
      </c>
      <c r="G116" s="3228" t="n">
        <v>78</v>
      </c>
      <c r="H116" s="3229" t="inlineStr">
        <is>
          <t>B+</t>
        </is>
      </c>
      <c r="I116" s="3239" t="inlineStr">
        <is>
          <t>✅</t>
        </is>
      </c>
      <c r="J116" s="3230" t="inlineStr">
        <is>
          <t>Sélective</t>
        </is>
      </c>
      <c r="K116" s="3227" t="inlineStr">
        <is>
          <t>GOOGLEFINANCE · intégrations · modèles financiers</t>
        </is>
      </c>
      <c r="L116" s="3230" t="inlineStr">
        <is>
          <t>Modèles portefeuille dynamiques · inspiration fichier</t>
        </is>
      </c>
      <c r="M116" s="3225" t="inlineStr">
        <is>
          <t>🟢 ACTIF</t>
        </is>
      </c>
      <c r="N116" s="3227" t="inlineStr">
        <is>
          <t>12/03/2026</t>
        </is>
      </c>
      <c r="O116" s="3177" t="n"/>
      <c r="P116" s="3177" t="n"/>
    </row>
    <row r="117" ht="27.75" customHeight="1" s="1666">
      <c r="A117" s="3231" t="n">
        <v>112</v>
      </c>
      <c r="B117" s="3232" t="n">
        <v>168</v>
      </c>
      <c r="C117" s="3233" t="inlineStr">
        <is>
          <t>MapleMoney Show</t>
        </is>
      </c>
      <c r="D117" s="3234" t="inlineStr">
        <is>
          <t>maplemoney.com</t>
        </is>
      </c>
      <c r="E117" s="3234" t="inlineStr">
        <is>
          <t>PODCASTS &amp; MÉDIAS</t>
        </is>
      </c>
      <c r="F117" s="3234" t="inlineStr">
        <is>
          <t>Podcast/blog CA</t>
        </is>
      </c>
      <c r="G117" s="3235" t="n">
        <v>78</v>
      </c>
      <c r="H117" s="3236" t="inlineStr">
        <is>
          <t>B+</t>
        </is>
      </c>
      <c r="I117" s="3237" t="inlineStr">
        <is>
          <t>✅</t>
        </is>
      </c>
      <c r="J117" s="3238" t="inlineStr">
        <is>
          <t>Sélective</t>
        </is>
      </c>
      <c r="K117" s="3234" t="inlineStr">
        <is>
          <t>Gestion finances · FIRE CA · invités experts CA</t>
        </is>
      </c>
      <c r="L117" s="3238" t="inlineStr">
        <is>
          <t>Contenu accessible · spécifique CA · large audience</t>
        </is>
      </c>
      <c r="M117" s="3232" t="inlineStr">
        <is>
          <t>🟢 ACTIF</t>
        </is>
      </c>
      <c r="N117" s="3234" t="inlineStr">
        <is>
          <t>12/03/2026</t>
        </is>
      </c>
      <c r="O117" s="3177" t="n"/>
      <c r="P117" s="3177" t="n"/>
    </row>
    <row r="118" ht="27.75" customHeight="1" s="1666">
      <c r="A118" s="3224" t="n">
        <v>113</v>
      </c>
      <c r="B118" s="3225" t="n">
        <v>175</v>
      </c>
      <c r="C118" s="3226" t="inlineStr">
        <is>
          <t>Reddit r/CanadianInvestor</t>
        </is>
      </c>
      <c r="D118" s="3227" t="n"/>
      <c r="E118" s="3227" t="inlineStr">
        <is>
          <t>COMMUNAUTÉS &amp; OUTILS</t>
        </is>
      </c>
      <c r="F118" s="3227" t="inlineStr">
        <is>
          <t>Communauté CA</t>
        </is>
      </c>
      <c r="G118" s="3228" t="n">
        <v>78</v>
      </c>
      <c r="H118" s="3229" t="inlineStr">
        <is>
          <t>B+</t>
        </is>
      </c>
      <c r="I118" s="3239" t="inlineStr">
        <is>
          <t>✅</t>
        </is>
      </c>
      <c r="J118" s="3230" t="inlineStr">
        <is>
          <t>Sélective</t>
        </is>
      </c>
      <c r="K118" s="3227" t="inlineStr">
        <is>
          <t>Titres CA · ETF · analyses · actualités · TSX</t>
        </is>
      </c>
      <c r="L118" s="3230" t="inlineStr">
        <is>
          <t>Discussion titres CA · ENB/TD/XEI · sentiment communauté</t>
        </is>
      </c>
      <c r="M118" s="3225" t="inlineStr">
        <is>
          <t>🟢 ACTIF</t>
        </is>
      </c>
      <c r="N118" s="3227" t="inlineStr">
        <is>
          <t>12/03/2026</t>
        </is>
      </c>
      <c r="O118" s="3177" t="n"/>
      <c r="P118" s="3177" t="n"/>
    </row>
    <row r="119" ht="27.75" customHeight="1" s="1666">
      <c r="A119" s="3231" t="n">
        <v>114</v>
      </c>
      <c r="B119" s="3232" t="n">
        <v>62</v>
      </c>
      <c r="C119" s="3233" t="inlineStr">
        <is>
          <t>Trading Economics</t>
        </is>
      </c>
      <c r="D119" s="3234" t="inlineStr">
        <is>
          <t>tradingeconomics.com/canada</t>
        </is>
      </c>
      <c r="E119" s="3234" t="inlineStr">
        <is>
          <t>MACROÉCONOMIE</t>
        </is>
      </c>
      <c r="F119" s="3234" t="inlineStr">
        <is>
          <t>CA+US+Global</t>
        </is>
      </c>
      <c r="G119" s="3235" t="n">
        <v>77</v>
      </c>
      <c r="H119" s="3236" t="inlineStr">
        <is>
          <t>B+</t>
        </is>
      </c>
      <c r="I119" s="3236" t="inlineStr">
        <is>
          <t>Mensuel/continu</t>
        </is>
      </c>
      <c r="J119" s="3238" t="inlineStr">
        <is>
          <t>Moyenne</t>
        </is>
      </c>
      <c r="K119" s="3234" t="inlineStr">
        <is>
          <t>CPI CA · PIB · chômage · taux · balance commerciale</t>
        </is>
      </c>
      <c r="L119" s="3238" t="inlineStr">
        <is>
          <t>Dashboard macro CA · anticiper BdC · contexte ENB</t>
        </is>
      </c>
      <c r="M119" s="3232" t="inlineStr">
        <is>
          <t>🟢 ACTIF</t>
        </is>
      </c>
      <c r="N119" s="3234" t="inlineStr">
        <is>
          <t>12/03/2026</t>
        </is>
      </c>
      <c r="O119" s="3177" t="n"/>
      <c r="P119" s="3177" t="n"/>
    </row>
    <row r="120" ht="27.75" customHeight="1" s="1666">
      <c r="A120" s="3224" t="n">
        <v>115</v>
      </c>
      <c r="B120" s="3225" t="n">
        <v>63</v>
      </c>
      <c r="C120" s="3226" t="inlineStr">
        <is>
          <t>Statistics Canada</t>
        </is>
      </c>
      <c r="D120" s="3227" t="inlineStr">
        <is>
          <t>statcan.gc.ca</t>
        </is>
      </c>
      <c r="E120" s="3227" t="inlineStr">
        <is>
          <t>MACROÉCONOMIE</t>
        </is>
      </c>
      <c r="F120" s="3227" t="inlineStr">
        <is>
          <t>Canada officiel</t>
        </is>
      </c>
      <c r="G120" s="3228" t="n">
        <v>77</v>
      </c>
      <c r="H120" s="3229" t="inlineStr">
        <is>
          <t>B+</t>
        </is>
      </c>
      <c r="I120" s="3229" t="inlineStr">
        <is>
          <t>Mensuel</t>
        </is>
      </c>
      <c r="J120" s="3230" t="inlineStr">
        <is>
          <t>Moyenne</t>
        </is>
      </c>
      <c r="K120" s="3227" t="inlineStr">
        <is>
          <t>PIB · IPC · emploi · démographie · immobilier · salaires</t>
        </is>
      </c>
      <c r="L120" s="3230" t="inlineStr">
        <is>
          <t>Contexte inflation CA · signal taux REER/achat maison</t>
        </is>
      </c>
      <c r="M120" s="3225" t="inlineStr">
        <is>
          <t>🟢 ACTIF</t>
        </is>
      </c>
      <c r="N120" s="3227" t="inlineStr">
        <is>
          <t>12/03/2026</t>
        </is>
      </c>
      <c r="O120" s="3177" t="n"/>
      <c r="P120" s="3177" t="n"/>
    </row>
    <row r="121" ht="27.75" customHeight="1" s="1666">
      <c r="A121" s="3231" t="n">
        <v>116</v>
      </c>
      <c r="B121" s="3232" t="n">
        <v>66</v>
      </c>
      <c r="C121" s="3233" t="inlineStr">
        <is>
          <t>World Bank Open Data</t>
        </is>
      </c>
      <c r="D121" s="3234" t="inlineStr">
        <is>
          <t>data.worldbank.org</t>
        </is>
      </c>
      <c r="E121" s="3234" t="inlineStr">
        <is>
          <t>MACROÉCONOMIE</t>
        </is>
      </c>
      <c r="F121" s="3234" t="inlineStr">
        <is>
          <t>Global</t>
        </is>
      </c>
      <c r="G121" s="3235" t="n">
        <v>77</v>
      </c>
      <c r="H121" s="3236" t="inlineStr">
        <is>
          <t>B+</t>
        </is>
      </c>
      <c r="I121" s="3236" t="inlineStr">
        <is>
          <t>Annuel</t>
        </is>
      </c>
      <c r="J121" s="3238" t="inlineStr">
        <is>
          <t>Moyenne</t>
        </is>
      </c>
      <c r="K121" s="3234" t="inlineStr">
        <is>
          <t>PIB mondial · dette · commerce · développement</t>
        </is>
      </c>
      <c r="L121" s="3238" t="inlineStr">
        <is>
          <t>Contexte diversification VDU · marchés émergents</t>
        </is>
      </c>
      <c r="M121" s="3232" t="inlineStr">
        <is>
          <t>🟢 ACTIF</t>
        </is>
      </c>
      <c r="N121" s="3234" t="inlineStr">
        <is>
          <t>12/03/2026</t>
        </is>
      </c>
      <c r="O121" s="3177" t="n"/>
      <c r="P121" s="3177" t="n"/>
    </row>
    <row r="122" ht="27.75" customHeight="1" s="1666">
      <c r="A122" s="3224" t="n">
        <v>117</v>
      </c>
      <c r="B122" s="3225" t="n">
        <v>67</v>
      </c>
      <c r="C122" s="3226" t="inlineStr">
        <is>
          <t>IMF World Economic Outlook</t>
        </is>
      </c>
      <c r="D122" s="3227" t="inlineStr">
        <is>
          <t>imf.org/en/Publications/WEO</t>
        </is>
      </c>
      <c r="E122" s="3227" t="inlineStr">
        <is>
          <t>MACROÉCONOMIE</t>
        </is>
      </c>
      <c r="F122" s="3227" t="inlineStr">
        <is>
          <t>Global</t>
        </is>
      </c>
      <c r="G122" s="3228" t="n">
        <v>77</v>
      </c>
      <c r="H122" s="3229" t="inlineStr">
        <is>
          <t>B+</t>
        </is>
      </c>
      <c r="I122" s="3229" t="inlineStr">
        <is>
          <t>Biannuel</t>
        </is>
      </c>
      <c r="J122" s="3230" t="inlineStr">
        <is>
          <t>Moyenne</t>
        </is>
      </c>
      <c r="K122" s="3227" t="inlineStr">
        <is>
          <t>Prévisions croissance mondiale · risques · dette souveraine</t>
        </is>
      </c>
      <c r="L122" s="3230" t="inlineStr">
        <is>
          <t>Contexte global macro · VDU/XEQT diversification</t>
        </is>
      </c>
      <c r="M122" s="3225" t="inlineStr">
        <is>
          <t>🟢 ACTIF</t>
        </is>
      </c>
      <c r="N122" s="3227" t="inlineStr">
        <is>
          <t>12/03/2026</t>
        </is>
      </c>
      <c r="O122" s="3177" t="n"/>
      <c r="P122" s="3177" t="n"/>
    </row>
    <row r="123" ht="27.75" customHeight="1" s="1666">
      <c r="A123" s="3231" t="n">
        <v>118</v>
      </c>
      <c r="B123" s="3232" t="n">
        <v>68</v>
      </c>
      <c r="C123" s="3233" t="inlineStr">
        <is>
          <t>JP Morgan Guide to the Markets</t>
        </is>
      </c>
      <c r="D123" s="3234" t="n"/>
      <c r="E123" s="3234" t="inlineStr">
        <is>
          <t>MACROÉCONOMIE</t>
        </is>
      </c>
      <c r="F123" s="3234" t="inlineStr">
        <is>
          <t>US+Global</t>
        </is>
      </c>
      <c r="G123" s="3235" t="n">
        <v>77</v>
      </c>
      <c r="H123" s="3236" t="inlineStr">
        <is>
          <t>B+</t>
        </is>
      </c>
      <c r="I123" s="3236" t="inlineStr">
        <is>
          <t>Trimestriel</t>
        </is>
      </c>
      <c r="J123" s="3238" t="inlineStr">
        <is>
          <t>Moyenne</t>
        </is>
      </c>
      <c r="K123" s="3234" t="inlineStr">
        <is>
          <t>Graphiques institutionnels trimestriels · valorisations · cycles</t>
        </is>
      </c>
      <c r="L123" s="3238" t="inlineStr">
        <is>
          <t>Référence institutional-grade · allocations sectorielles</t>
        </is>
      </c>
      <c r="M123" s="3232" t="inlineStr">
        <is>
          <t>🟢 ACTIF</t>
        </is>
      </c>
      <c r="N123" s="3234" t="inlineStr">
        <is>
          <t>12/03/2026</t>
        </is>
      </c>
      <c r="O123" s="3177" t="n"/>
      <c r="P123" s="3177" t="n"/>
    </row>
    <row r="124" ht="27.75" customHeight="1" s="1666">
      <c r="A124" s="3224" t="n">
        <v>119</v>
      </c>
      <c r="B124" s="3225" t="n">
        <v>69</v>
      </c>
      <c r="C124" s="3226" t="inlineStr">
        <is>
          <t>Goldman Sachs Briefings</t>
        </is>
      </c>
      <c r="D124" s="3227" t="inlineStr">
        <is>
          <t>goldmansachs.com/insights</t>
        </is>
      </c>
      <c r="E124" s="3227" t="inlineStr">
        <is>
          <t>MACROÉCONOMIE</t>
        </is>
      </c>
      <c r="F124" s="3227" t="inlineStr">
        <is>
          <t>US+Global</t>
        </is>
      </c>
      <c r="G124" s="3228" t="n">
        <v>77</v>
      </c>
      <c r="H124" s="3229" t="inlineStr">
        <is>
          <t>B+</t>
        </is>
      </c>
      <c r="I124" s="3229" t="inlineStr">
        <is>
          <t>Continu</t>
        </is>
      </c>
      <c r="J124" s="3230" t="inlineStr">
        <is>
          <t>Moyenne</t>
        </is>
      </c>
      <c r="K124" s="3227" t="inlineStr">
        <is>
          <t>Macro · S&amp;P500 target · secteurs · taux · devise</t>
        </is>
      </c>
      <c r="L124" s="3230" t="inlineStr">
        <is>
          <t>Cibles S&amp;P500 · contexte pour VFV/QQQM/SMH</t>
        </is>
      </c>
      <c r="M124" s="3225" t="inlineStr">
        <is>
          <t>🟢 ACTIF</t>
        </is>
      </c>
      <c r="N124" s="3227" t="inlineStr">
        <is>
          <t>12/03/2026</t>
        </is>
      </c>
      <c r="O124" s="3177" t="n"/>
      <c r="P124" s="3177" t="n"/>
    </row>
    <row r="125" ht="27.75" customHeight="1" s="1666">
      <c r="A125" s="3231" t="n">
        <v>120</v>
      </c>
      <c r="B125" s="3232" t="n">
        <v>73</v>
      </c>
      <c r="C125" s="3233" t="inlineStr">
        <is>
          <t>Refinitiv/LSEG Economic Calendar</t>
        </is>
      </c>
      <c r="D125" s="3234" t="n"/>
      <c r="E125" s="3234" t="inlineStr">
        <is>
          <t>MACROÉCONOMIE</t>
        </is>
      </c>
      <c r="F125" s="3234" t="inlineStr">
        <is>
          <t>Global</t>
        </is>
      </c>
      <c r="G125" s="3235" t="n">
        <v>77</v>
      </c>
      <c r="H125" s="3236" t="inlineStr">
        <is>
          <t>B+</t>
        </is>
      </c>
      <c r="I125" s="3236" t="inlineStr">
        <is>
          <t>Continu</t>
        </is>
      </c>
      <c r="J125" s="3238" t="inlineStr">
        <is>
          <t>Moyenne</t>
        </is>
      </c>
      <c r="K125" s="3234" t="inlineStr">
        <is>
          <t>Calendrier indicateurs économiques mondial · consensus</t>
        </is>
      </c>
      <c r="L125" s="3238" t="inlineStr">
        <is>
          <t>Préparer semaines de données macro sensibles</t>
        </is>
      </c>
      <c r="M125" s="3232" t="inlineStr">
        <is>
          <t>🟢 ACTIF</t>
        </is>
      </c>
      <c r="N125" s="3234" t="inlineStr">
        <is>
          <t>12/03/2026</t>
        </is>
      </c>
      <c r="O125" s="3177" t="n"/>
      <c r="P125" s="3177" t="n"/>
    </row>
    <row r="126" ht="27.75" customHeight="1" s="1666">
      <c r="A126" s="3224" t="n">
        <v>121</v>
      </c>
      <c r="B126" s="3225" t="n">
        <v>74</v>
      </c>
      <c r="C126" s="3226" t="inlineStr">
        <is>
          <t>OECD Data</t>
        </is>
      </c>
      <c r="D126" s="3227" t="inlineStr">
        <is>
          <t>data.oecd.org</t>
        </is>
      </c>
      <c r="E126" s="3227" t="inlineStr">
        <is>
          <t>MACROÉCONOMIE</t>
        </is>
      </c>
      <c r="F126" s="3227" t="inlineStr">
        <is>
          <t>OCDE</t>
        </is>
      </c>
      <c r="G126" s="3228" t="n">
        <v>77</v>
      </c>
      <c r="H126" s="3229" t="inlineStr">
        <is>
          <t>B+</t>
        </is>
      </c>
      <c r="I126" s="3229" t="inlineStr">
        <is>
          <t>Annuel</t>
        </is>
      </c>
      <c r="J126" s="3230" t="inlineStr">
        <is>
          <t>Moyenne</t>
        </is>
      </c>
      <c r="K126" s="3227" t="inlineStr">
        <is>
          <t>Comparaisons internationales · productivité · inégalités</t>
        </is>
      </c>
      <c r="L126" s="3230" t="inlineStr">
        <is>
          <t>Contexte structurel CA vs US · données longue durée</t>
        </is>
      </c>
      <c r="M126" s="3225" t="inlineStr">
        <is>
          <t>🟢 ACTIF</t>
        </is>
      </c>
      <c r="N126" s="3227" t="inlineStr">
        <is>
          <t>12/03/2026</t>
        </is>
      </c>
      <c r="O126" s="3177" t="n"/>
      <c r="P126" s="3177" t="n"/>
    </row>
    <row r="127" ht="27.75" customHeight="1" s="1666">
      <c r="A127" s="3231" t="n">
        <v>122</v>
      </c>
      <c r="B127" s="3232" t="n">
        <v>88</v>
      </c>
      <c r="C127" s="3233" t="inlineStr">
        <is>
          <t>Wealthsimple Tax Guide</t>
        </is>
      </c>
      <c r="D127" s="3234" t="inlineStr">
        <is>
          <t>wealthsimple.com/fr-ca/learn</t>
        </is>
      </c>
      <c r="E127" s="3234" t="inlineStr">
        <is>
          <t>FISCALITÉ CANADA</t>
        </is>
      </c>
      <c r="F127" s="3234" t="inlineStr">
        <is>
          <t>Canada</t>
        </is>
      </c>
      <c r="G127" s="3235" t="n">
        <v>77</v>
      </c>
      <c r="H127" s="3236" t="inlineStr">
        <is>
          <t>B+</t>
        </is>
      </c>
      <c r="I127" s="3236" t="inlineStr">
        <is>
          <t>Continu</t>
        </is>
      </c>
      <c r="J127" s="3238" t="inlineStr">
        <is>
          <t>Moyenne</t>
        </is>
      </c>
      <c r="K127" s="3234" t="inlineStr">
        <is>
          <t>Articles accessibles · REER · FHSA · TFSA · dividendes CA</t>
        </is>
      </c>
      <c r="L127" s="3238" t="inlineStr">
        <is>
          <t>Guide rapide · explications vulgarisées</t>
        </is>
      </c>
      <c r="M127" s="3232" t="inlineStr">
        <is>
          <t>🟢 ACTIF</t>
        </is>
      </c>
      <c r="N127" s="3234" t="inlineStr">
        <is>
          <t>12/03/2026</t>
        </is>
      </c>
      <c r="O127" s="3177" t="n"/>
      <c r="P127" s="3177" t="n"/>
    </row>
    <row r="128" ht="27.75" customHeight="1" s="1666">
      <c r="A128" s="3224" t="n">
        <v>123</v>
      </c>
      <c r="B128" s="3225" t="n">
        <v>90</v>
      </c>
      <c r="C128" s="3226" t="inlineStr">
        <is>
          <t>Revenu QC Taux Inclusion</t>
        </is>
      </c>
      <c r="D128" s="3227" t="inlineStr">
        <is>
          <t>revenuquebec.ca</t>
        </is>
      </c>
      <c r="E128" s="3227" t="inlineStr">
        <is>
          <t>FISCALITÉ CANADA</t>
        </is>
      </c>
      <c r="F128" s="3227" t="inlineStr">
        <is>
          <t>Québec officiel</t>
        </is>
      </c>
      <c r="G128" s="3228" t="n">
        <v>77</v>
      </c>
      <c r="H128" s="3229" t="inlineStr">
        <is>
          <t>B+</t>
        </is>
      </c>
      <c r="I128" s="3229" t="inlineStr">
        <is>
          <t>Annuel</t>
        </is>
      </c>
      <c r="J128" s="3230" t="inlineStr">
        <is>
          <t>Moyenne</t>
        </is>
      </c>
      <c r="K128" s="3227" t="inlineStr">
        <is>
          <t>Gains capital · taux 50% &lt;$250K · inclusion modifiée</t>
        </is>
      </c>
      <c r="L128" s="3230" t="inlineStr">
        <is>
          <t>Clarté fiscale ventes T1/T2 hors comptes enregistrés</t>
        </is>
      </c>
      <c r="M128" s="3225" t="inlineStr">
        <is>
          <t>🟢 ACTIF</t>
        </is>
      </c>
      <c r="N128" s="3227" t="inlineStr">
        <is>
          <t>12/03/2026</t>
        </is>
      </c>
      <c r="O128" s="3177" t="n"/>
      <c r="P128" s="3177" t="n"/>
    </row>
    <row r="129" ht="27.75" customHeight="1" s="1666">
      <c r="A129" s="3231" t="n">
        <v>124</v>
      </c>
      <c r="B129" s="3232" t="n">
        <v>121</v>
      </c>
      <c r="C129" s="3233" t="inlineStr">
        <is>
          <t>Ben Collins Sheets</t>
        </is>
      </c>
      <c r="D129" s="3234" t="inlineStr">
        <is>
          <t>benlcollins.com</t>
        </is>
      </c>
      <c r="E129" s="3234" t="inlineStr">
        <is>
          <t>GOOGLE SHEETS PRO</t>
        </is>
      </c>
      <c r="F129" s="3234" t="inlineStr">
        <is>
          <t>Expert GSheets</t>
        </is>
      </c>
      <c r="G129" s="3235" t="n">
        <v>77</v>
      </c>
      <c r="H129" s="3236" t="inlineStr">
        <is>
          <t>B+</t>
        </is>
      </c>
      <c r="I129" s="3237" t="inlineStr">
        <is>
          <t>✅</t>
        </is>
      </c>
      <c r="J129" s="3238" t="inlineStr">
        <is>
          <t>Sélective</t>
        </is>
      </c>
      <c r="K129" s="3234" t="inlineStr">
        <is>
          <t>Formules avancées · QUERY · ARRAYFORMULA · Apps Script</t>
        </is>
      </c>
      <c r="L129" s="3238" t="inlineStr">
        <is>
          <t>Formules QUERY pour filtrer portfolio par tier/compte</t>
        </is>
      </c>
      <c r="M129" s="3232" t="inlineStr">
        <is>
          <t>🟢 ACTIF</t>
        </is>
      </c>
      <c r="N129" s="3234" t="inlineStr">
        <is>
          <t>12/03/2026</t>
        </is>
      </c>
      <c r="O129" s="3177" t="n"/>
      <c r="P129" s="3177" t="n"/>
    </row>
    <row r="130" ht="27.75" customHeight="1" s="1666">
      <c r="A130" s="3224" t="n">
        <v>125</v>
      </c>
      <c r="B130" s="3225" t="n">
        <v>125</v>
      </c>
      <c r="C130" s="3226" t="inlineStr">
        <is>
          <t>Xtractor GOOGLEFINANCE Formulas</t>
        </is>
      </c>
      <c r="D130" s="3227" t="inlineStr">
        <is>
          <t>xtractor.app</t>
        </is>
      </c>
      <c r="E130" s="3227" t="inlineStr">
        <is>
          <t>GOOGLE SHEETS PRO</t>
        </is>
      </c>
      <c r="F130" s="3227" t="inlineStr">
        <is>
          <t>Référence</t>
        </is>
      </c>
      <c r="G130" s="3228" t="n">
        <v>77</v>
      </c>
      <c r="H130" s="3229" t="inlineStr">
        <is>
          <t>B+</t>
        </is>
      </c>
      <c r="I130" s="3239" t="inlineStr">
        <is>
          <t>✅</t>
        </is>
      </c>
      <c r="J130" s="3230" t="inlineStr">
        <is>
          <t>Sélective</t>
        </is>
      </c>
      <c r="K130" s="3227" t="inlineStr">
        <is>
          <t>Formules GOOGLEFINANCE avancées · YTD · ratio · watchlist</t>
        </is>
      </c>
      <c r="L130" s="3230" t="inlineStr">
        <is>
          <t>Recettes prêtes à copier · formules complexes GSheets</t>
        </is>
      </c>
      <c r="M130" s="3225" t="inlineStr">
        <is>
          <t>🟢 ACTIF</t>
        </is>
      </c>
      <c r="N130" s="3227" t="inlineStr">
        <is>
          <t>12/03/2026</t>
        </is>
      </c>
      <c r="O130" s="3177" t="n"/>
      <c r="P130" s="3177" t="n"/>
    </row>
    <row r="131" ht="27.75" customHeight="1" s="1666">
      <c r="A131" s="3231" t="n">
        <v>126</v>
      </c>
      <c r="B131" s="3232" t="n">
        <v>126</v>
      </c>
      <c r="C131" s="3233" t="inlineStr">
        <is>
          <t>Google Sheets IMPORTXML/IMPORTDATA</t>
        </is>
      </c>
      <c r="D131" s="3234" t="n"/>
      <c r="E131" s="3234" t="inlineStr">
        <is>
          <t>GOOGLE SHEETS PRO</t>
        </is>
      </c>
      <c r="F131" s="3234" t="inlineStr">
        <is>
          <t>Documentation</t>
        </is>
      </c>
      <c r="G131" s="3235" t="n">
        <v>77</v>
      </c>
      <c r="H131" s="3236" t="inlineStr">
        <is>
          <t>B+</t>
        </is>
      </c>
      <c r="I131" s="3237" t="inlineStr">
        <is>
          <t>✅</t>
        </is>
      </c>
      <c r="J131" s="3238" t="inlineStr">
        <is>
          <t>Sélective</t>
        </is>
      </c>
      <c r="K131" s="3234" t="inlineStr">
        <is>
          <t>Scraper données web · JSON · CSV · API sans clé</t>
        </is>
      </c>
      <c r="L131" s="3238" t="inlineStr">
        <is>
          <t>Importer données alternatives si GOOGLEFINANCE tombe</t>
        </is>
      </c>
      <c r="M131" s="3232" t="inlineStr">
        <is>
          <t>🟢 ACTIF</t>
        </is>
      </c>
      <c r="N131" s="3234" t="inlineStr">
        <is>
          <t>12/03/2026</t>
        </is>
      </c>
      <c r="O131" s="3177" t="n"/>
      <c r="P131" s="3177" t="n"/>
    </row>
    <row r="132" ht="27.75" customHeight="1" s="1666">
      <c r="A132" s="3224" t="n">
        <v>127</v>
      </c>
      <c r="B132" s="3225" t="n">
        <v>127</v>
      </c>
      <c r="C132" s="3226" t="inlineStr">
        <is>
          <t>Hedge Think GOOGLEFINANCE</t>
        </is>
      </c>
      <c r="D132" s="3227" t="inlineStr">
        <is>
          <t>hedgethink.com</t>
        </is>
      </c>
      <c r="E132" s="3227" t="inlineStr">
        <is>
          <t>GOOGLE SHEETS PRO</t>
        </is>
      </c>
      <c r="F132" s="3227" t="inlineStr">
        <is>
          <t>Tutoriels</t>
        </is>
      </c>
      <c r="G132" s="3228" t="n">
        <v>77</v>
      </c>
      <c r="H132" s="3229" t="inlineStr">
        <is>
          <t>B+</t>
        </is>
      </c>
      <c r="I132" s="3239" t="inlineStr">
        <is>
          <t>✅</t>
        </is>
      </c>
      <c r="J132" s="3230" t="inlineStr">
        <is>
          <t>Sélective</t>
        </is>
      </c>
      <c r="K132" s="3227" t="inlineStr">
        <is>
          <t>Syntaxe complète · cas pratiques · exemples historiques</t>
        </is>
      </c>
      <c r="L132" s="3230" t="inlineStr">
        <is>
          <t>Référence historique tickers GOOGLEFINANCE · TSX format</t>
        </is>
      </c>
      <c r="M132" s="3225" t="inlineStr">
        <is>
          <t>🟢 ACTIF</t>
        </is>
      </c>
      <c r="N132" s="3227" t="inlineStr">
        <is>
          <t>12/03/2026</t>
        </is>
      </c>
      <c r="O132" s="3177" t="n"/>
      <c r="P132" s="3177" t="n"/>
    </row>
    <row r="133" ht="27.75" customHeight="1" s="1666">
      <c r="A133" s="3231" t="n">
        <v>128</v>
      </c>
      <c r="B133" s="3232" t="n">
        <v>129</v>
      </c>
      <c r="C133" s="3233" t="inlineStr">
        <is>
          <t>Finoptimal GSheets Finance</t>
        </is>
      </c>
      <c r="D133" s="3234" t="inlineStr">
        <is>
          <t>finoptimal.com</t>
        </is>
      </c>
      <c r="E133" s="3234" t="inlineStr">
        <is>
          <t>GOOGLE SHEETS PRO</t>
        </is>
      </c>
      <c r="F133" s="3234" t="inlineStr">
        <is>
          <t>Guide complet</t>
        </is>
      </c>
      <c r="G133" s="3235" t="n">
        <v>77</v>
      </c>
      <c r="H133" s="3236" t="inlineStr">
        <is>
          <t>B+</t>
        </is>
      </c>
      <c r="I133" s="3237" t="inlineStr">
        <is>
          <t>✅</t>
        </is>
      </c>
      <c r="J133" s="3238" t="inlineStr">
        <is>
          <t>Sélective</t>
        </is>
      </c>
      <c r="K133" s="3234" t="inlineStr">
        <is>
          <t>Best practices GSheets financier · organisation · validation</t>
        </is>
      </c>
      <c r="L133" s="3238" t="inlineStr">
        <is>
          <t>Architecture fichier · validation données · CONFIG best practices</t>
        </is>
      </c>
      <c r="M133" s="3232" t="inlineStr">
        <is>
          <t>🟢 ACTIF</t>
        </is>
      </c>
      <c r="N133" s="3234" t="inlineStr">
        <is>
          <t>12/03/2026</t>
        </is>
      </c>
      <c r="O133" s="3177" t="n"/>
      <c r="P133" s="3177" t="n"/>
    </row>
    <row r="134" ht="27.75" customHeight="1" s="1666">
      <c r="A134" s="3224" t="n">
        <v>129</v>
      </c>
      <c r="B134" s="3225" t="n">
        <v>130</v>
      </c>
      <c r="C134" s="3226" t="inlineStr">
        <is>
          <t>ExcelJet Financial Functions</t>
        </is>
      </c>
      <c r="D134" s="3227" t="inlineStr">
        <is>
          <t>exceljet.net</t>
        </is>
      </c>
      <c r="E134" s="3227" t="inlineStr">
        <is>
          <t>GOOGLE SHEETS PRO</t>
        </is>
      </c>
      <c r="F134" s="3227" t="inlineStr">
        <is>
          <t>Référence formules</t>
        </is>
      </c>
      <c r="G134" s="3228" t="n">
        <v>77</v>
      </c>
      <c r="H134" s="3229" t="inlineStr">
        <is>
          <t>B+</t>
        </is>
      </c>
      <c r="I134" s="3239" t="inlineStr">
        <is>
          <t>✅</t>
        </is>
      </c>
      <c r="J134" s="3230" t="inlineStr">
        <is>
          <t>Sélective</t>
        </is>
      </c>
      <c r="K134" s="3227" t="inlineStr">
        <is>
          <t>NPV · IRR · XIRR · FV · PV · PMT · RATE expliqués</t>
        </is>
      </c>
      <c r="L134" s="3230" t="inlineStr">
        <is>
          <t>Formules projetions FI · projections REER/FHSA</t>
        </is>
      </c>
      <c r="M134" s="3225" t="inlineStr">
        <is>
          <t>🟢 ACTIF</t>
        </is>
      </c>
      <c r="N134" s="3227" t="inlineStr">
        <is>
          <t>12/03/2026</t>
        </is>
      </c>
      <c r="O134" s="3177" t="n"/>
      <c r="P134" s="3177" t="n"/>
    </row>
    <row r="135" ht="27.75" customHeight="1" s="1666">
      <c r="A135" s="3231" t="n">
        <v>130</v>
      </c>
      <c r="B135" s="3232" t="n">
        <v>75</v>
      </c>
      <c r="C135" s="3233" t="inlineStr">
        <is>
          <t>Brookfield Asset Mgmt Research</t>
        </is>
      </c>
      <c r="D135" s="3234" t="n"/>
      <c r="E135" s="3234" t="inlineStr">
        <is>
          <t>MACROÉCONOMIE</t>
        </is>
      </c>
      <c r="F135" s="3234" t="inlineStr">
        <is>
          <t>Global</t>
        </is>
      </c>
      <c r="G135" s="3235" t="n">
        <v>76</v>
      </c>
      <c r="H135" s="3236" t="inlineStr">
        <is>
          <t>B+</t>
        </is>
      </c>
      <c r="I135" s="3236" t="inlineStr">
        <is>
          <t>Trimestriel</t>
        </is>
      </c>
      <c r="J135" s="3238" t="inlineStr">
        <is>
          <t>Moyenne</t>
        </is>
      </c>
      <c r="K135" s="3234" t="inlineStr">
        <is>
          <t>Infrastructure · real assets · analyses institutionnelles</t>
        </is>
      </c>
      <c r="L135" s="3238" t="inlineStr">
        <is>
          <t>Contexte REITs CA · infrastructure énergie ENB/GEV</t>
        </is>
      </c>
      <c r="M135" s="3232" t="inlineStr">
        <is>
          <t>🟢 ACTIF</t>
        </is>
      </c>
      <c r="N135" s="3234" t="inlineStr">
        <is>
          <t>12/03/2026</t>
        </is>
      </c>
      <c r="O135" s="3177" t="n"/>
      <c r="P135" s="3177" t="n"/>
    </row>
    <row r="136" ht="27.75" customHeight="1" s="1666">
      <c r="A136" s="3224" t="n">
        <v>131</v>
      </c>
      <c r="B136" s="3225" t="n">
        <v>107</v>
      </c>
      <c r="C136" s="3226" t="inlineStr">
        <is>
          <t>Build Wealth Canada</t>
        </is>
      </c>
      <c r="D136" s="3227" t="inlineStr">
        <is>
          <t>buildwealthcanada.ca</t>
        </is>
      </c>
      <c r="E136" s="3227" t="inlineStr">
        <is>
          <t>FIRE &amp; PSYCHOLOGIE</t>
        </is>
      </c>
      <c r="F136" s="3227" t="inlineStr">
        <is>
          <t>Podcast/blog CA</t>
        </is>
      </c>
      <c r="G136" s="3228" t="n">
        <v>76</v>
      </c>
      <c r="H136" s="3229" t="inlineStr">
        <is>
          <t>B+</t>
        </is>
      </c>
      <c r="I136" s="3239" t="inlineStr">
        <is>
          <t>✅</t>
        </is>
      </c>
      <c r="J136" s="3230" t="inlineStr">
        <is>
          <t>Sélective</t>
        </is>
      </c>
      <c r="K136" s="3227" t="inlineStr">
        <is>
          <t>FIRE CA · optimisation · REER/TFSA · décaissement anticipé</t>
        </is>
      </c>
      <c r="L136" s="3230" t="inlineStr">
        <is>
          <t>Cas pratiques FIRE CA · retrait 55 ans · RAP stratégie</t>
        </is>
      </c>
      <c r="M136" s="3225" t="inlineStr">
        <is>
          <t>🟢 ACTIF</t>
        </is>
      </c>
      <c r="N136" s="3227" t="inlineStr">
        <is>
          <t>12/03/2026</t>
        </is>
      </c>
      <c r="O136" s="3177" t="n"/>
      <c r="P136" s="3177" t="n"/>
    </row>
    <row r="137" ht="27.75" customHeight="1" s="1666">
      <c r="A137" s="3231" t="n">
        <v>132</v>
      </c>
      <c r="B137" s="3232" t="n">
        <v>108</v>
      </c>
      <c r="C137" s="3233" t="inlineStr">
        <is>
          <t>Millennial Revolution</t>
        </is>
      </c>
      <c r="D137" s="3234" t="inlineStr">
        <is>
          <t>millennialrevolution.com</t>
        </is>
      </c>
      <c r="E137" s="3234" t="inlineStr">
        <is>
          <t>FIRE &amp; PSYCHOLOGIE</t>
        </is>
      </c>
      <c r="F137" s="3234" t="inlineStr">
        <is>
          <t>Blog CA FIRE</t>
        </is>
      </c>
      <c r="G137" s="3235" t="n">
        <v>76</v>
      </c>
      <c r="H137" s="3236" t="inlineStr">
        <is>
          <t>B+</t>
        </is>
      </c>
      <c r="I137" s="3237" t="inlineStr">
        <is>
          <t>✅</t>
        </is>
      </c>
      <c r="J137" s="3238" t="inlineStr">
        <is>
          <t>Sélective</t>
        </is>
      </c>
      <c r="K137" s="3234" t="inlineStr">
        <is>
          <t>Math FI · FI sans immobilier · ETF index · anti-hystérie</t>
        </is>
      </c>
      <c r="L137" s="3238" t="inlineStr">
        <is>
          <t>Référence FIRE 31 ans CA · "Quit Like a Millionaire"</t>
        </is>
      </c>
      <c r="M137" s="3232" t="inlineStr">
        <is>
          <t>🟢 ACTIF</t>
        </is>
      </c>
      <c r="N137" s="3234" t="inlineStr">
        <is>
          <t>12/03/2026</t>
        </is>
      </c>
      <c r="O137" s="3177" t="n"/>
      <c r="P137" s="3177" t="n"/>
    </row>
    <row r="138" ht="27.75" customHeight="1" s="1666">
      <c r="A138" s="3224" t="n">
        <v>133</v>
      </c>
      <c r="B138" s="3225" t="n">
        <v>109</v>
      </c>
      <c r="C138" s="3226" t="inlineStr">
        <is>
          <t>Mr. Money Mustache</t>
        </is>
      </c>
      <c r="D138" s="3227" t="inlineStr">
        <is>
          <t>mrmoneymustache.com</t>
        </is>
      </c>
      <c r="E138" s="3227" t="inlineStr">
        <is>
          <t>FIRE &amp; PSYCHOLOGIE</t>
        </is>
      </c>
      <c r="F138" s="3227" t="inlineStr">
        <is>
          <t>Blog US FIRE</t>
        </is>
      </c>
      <c r="G138" s="3228" t="n">
        <v>76</v>
      </c>
      <c r="H138" s="3229" t="inlineStr">
        <is>
          <t>B+</t>
        </is>
      </c>
      <c r="I138" s="3239" t="inlineStr">
        <is>
          <t>✅</t>
        </is>
      </c>
      <c r="J138" s="3230" t="inlineStr">
        <is>
          <t>Sélective</t>
        </is>
      </c>
      <c r="K138" s="3227" t="inlineStr">
        <is>
          <t>Frugalité · SWR 4% · index funds · FIRE mindset</t>
        </is>
      </c>
      <c r="L138" s="3230" t="inlineStr">
        <is>
          <t>Philosophie FI fondatrice · SWR · taux retrait $2.1M</t>
        </is>
      </c>
      <c r="M138" s="3225" t="inlineStr">
        <is>
          <t>🟢 ACTIF</t>
        </is>
      </c>
      <c r="N138" s="3227" t="inlineStr">
        <is>
          <t>12/03/2026</t>
        </is>
      </c>
      <c r="O138" s="3177" t="n"/>
      <c r="P138" s="3177" t="n"/>
    </row>
    <row r="139" ht="27.75" customHeight="1" s="1666">
      <c r="A139" s="3231" t="n">
        <v>134</v>
      </c>
      <c r="B139" s="3232" t="n">
        <v>110</v>
      </c>
      <c r="C139" s="3233" t="inlineStr">
        <is>
          <t>ChooseFI</t>
        </is>
      </c>
      <c r="D139" s="3234" t="inlineStr">
        <is>
          <t>choosefi.com</t>
        </is>
      </c>
      <c r="E139" s="3234" t="inlineStr">
        <is>
          <t>FIRE &amp; PSYCHOLOGIE</t>
        </is>
      </c>
      <c r="F139" s="3234" t="inlineStr">
        <is>
          <t>Podcast US/CA</t>
        </is>
      </c>
      <c r="G139" s="3235" t="n">
        <v>76</v>
      </c>
      <c r="H139" s="3236" t="inlineStr">
        <is>
          <t>B+</t>
        </is>
      </c>
      <c r="I139" s="3237" t="inlineStr">
        <is>
          <t>✅</t>
        </is>
      </c>
      <c r="J139" s="3238" t="inlineStr">
        <is>
          <t>Sélective</t>
        </is>
      </c>
      <c r="K139" s="3234" t="inlineStr">
        <is>
          <t>Stratégies FI · tax optimization · geo-arbitrage · FIRE stories</t>
        </is>
      </c>
      <c r="L139" s="3238" t="inlineStr">
        <is>
          <t>Épisodes fondateurs FI · adapter au contexte CA</t>
        </is>
      </c>
      <c r="M139" s="3232" t="inlineStr">
        <is>
          <t>🟢 ACTIF</t>
        </is>
      </c>
      <c r="N139" s="3234" t="inlineStr">
        <is>
          <t>12/03/2026</t>
        </is>
      </c>
      <c r="O139" s="3177" t="n"/>
      <c r="P139" s="3177" t="n"/>
    </row>
    <row r="140" ht="27.75" customHeight="1" s="1666">
      <c r="A140" s="3224" t="n">
        <v>135</v>
      </c>
      <c r="B140" s="3225" t="n">
        <v>112</v>
      </c>
      <c r="C140" s="3226" t="inlineStr">
        <is>
          <t>Early Retirement Now</t>
        </is>
      </c>
      <c r="D140" s="3227" t="inlineStr">
        <is>
          <t>earlyretirementnow.com</t>
        </is>
      </c>
      <c r="E140" s="3227" t="inlineStr">
        <is>
          <t>FIRE &amp; PSYCHOLOGIE</t>
        </is>
      </c>
      <c r="F140" s="3227" t="inlineStr">
        <is>
          <t>Recherche SWR</t>
        </is>
      </c>
      <c r="G140" s="3228" t="n">
        <v>76</v>
      </c>
      <c r="H140" s="3229" t="inlineStr">
        <is>
          <t>B+</t>
        </is>
      </c>
      <c r="I140" s="3239" t="inlineStr">
        <is>
          <t>✅</t>
        </is>
      </c>
      <c r="J140" s="3230" t="inlineStr">
        <is>
          <t>Sélective</t>
        </is>
      </c>
      <c r="K140" s="3227" t="inlineStr">
        <is>
          <t>Safe Withdrawal Rate research · 40-60 ans · série exhaustive</t>
        </is>
      </c>
      <c r="L140" s="3230" t="inlineStr">
        <is>
          <t>SWR 3.5% vs 4% · durée 25 ans FI · risque séquence</t>
        </is>
      </c>
      <c r="M140" s="3225" t="inlineStr">
        <is>
          <t>🟢 ACTIF</t>
        </is>
      </c>
      <c r="N140" s="3227" t="inlineStr">
        <is>
          <t>12/03/2026</t>
        </is>
      </c>
      <c r="O140" s="3177" t="n"/>
      <c r="P140" s="3177" t="n"/>
    </row>
    <row r="141" ht="27.75" customHeight="1" s="1666">
      <c r="A141" s="3231" t="n">
        <v>136</v>
      </c>
      <c r="B141" s="3232" t="n">
        <v>183</v>
      </c>
      <c r="C141" s="3233" t="inlineStr">
        <is>
          <t>Stingy Investor</t>
        </is>
      </c>
      <c r="D141" s="3234" t="inlineStr">
        <is>
          <t>ndir.com</t>
        </is>
      </c>
      <c r="E141" s="3234" t="inlineStr">
        <is>
          <t>COMMUNAUTÉS &amp; OUTILS</t>
        </is>
      </c>
      <c r="F141" s="3234" t="inlineStr">
        <is>
          <t>Blog CA value</t>
        </is>
      </c>
      <c r="G141" s="3235" t="n">
        <v>76</v>
      </c>
      <c r="H141" s="3236" t="inlineStr">
        <is>
          <t>B+</t>
        </is>
      </c>
      <c r="I141" s="3237" t="inlineStr">
        <is>
          <t>✅</t>
        </is>
      </c>
      <c r="J141" s="3238" t="inlineStr">
        <is>
          <t>Sélective</t>
        </is>
      </c>
      <c r="K141" s="3234" t="inlineStr">
        <is>
          <t>Analyse value · dividendes CA · données historiques TSX</t>
        </is>
      </c>
      <c r="L141" s="3238" t="inlineStr">
        <is>
          <t>Recherche value CA · données historiques dividendes CA</t>
        </is>
      </c>
      <c r="M141" s="3232" t="inlineStr">
        <is>
          <t>🟢 ACTIF</t>
        </is>
      </c>
      <c r="N141" s="3234" t="inlineStr">
        <is>
          <t>12/03/2026</t>
        </is>
      </c>
      <c r="O141" s="3177" t="n"/>
      <c r="P141" s="3177" t="n"/>
    </row>
    <row r="142" ht="27.75" customHeight="1" s="1666">
      <c r="A142" s="3224" t="n">
        <v>137</v>
      </c>
      <c r="B142" s="3225" t="n">
        <v>104</v>
      </c>
      <c r="C142" s="3226" t="inlineStr">
        <is>
          <t>Portfolio Visualizer</t>
        </is>
      </c>
      <c r="D142" s="3227" t="inlineStr">
        <is>
          <t>portfoliovisualizer.com</t>
        </is>
      </c>
      <c r="E142" s="3227" t="inlineStr">
        <is>
          <t>ETFs CANADA</t>
        </is>
      </c>
      <c r="F142" s="3227" t="inlineStr">
        <is>
          <t>Backtesting</t>
        </is>
      </c>
      <c r="G142" s="3228" t="n">
        <v>75</v>
      </c>
      <c r="H142" s="3229" t="inlineStr">
        <is>
          <t>B+</t>
        </is>
      </c>
      <c r="I142" s="3229" t="inlineStr">
        <is>
          <t>⚠️ Limité</t>
        </is>
      </c>
      <c r="J142" s="3230" t="inlineStr">
        <is>
          <t>Moyenne</t>
        </is>
      </c>
      <c r="K142" s="3227" t="inlineStr">
        <is>
          <t>Backtest · Monte Carlo · corrélation · optimisation</t>
        </is>
      </c>
      <c r="L142" s="3230" t="inlineStr">
        <is>
          <t>Tester hypothèses allocation AVGO/VFV/SCHD 2010-2026</t>
        </is>
      </c>
      <c r="M142" s="3225" t="inlineStr">
        <is>
          <t>🟢 ACTIF</t>
        </is>
      </c>
      <c r="N142" s="3227" t="inlineStr">
        <is>
          <t>12/03/2026</t>
        </is>
      </c>
      <c r="O142" s="3177" t="n"/>
      <c r="P142" s="3177" t="n"/>
    </row>
    <row r="143" ht="27.75" customHeight="1" s="1666">
      <c r="A143" s="3231" t="n">
        <v>138</v>
      </c>
      <c r="B143" s="3232" t="n">
        <v>176</v>
      </c>
      <c r="C143" s="3233" t="inlineStr">
        <is>
          <t>Reddit r/ExpatFIRE / r/Fire</t>
        </is>
      </c>
      <c r="D143" s="3234" t="n"/>
      <c r="E143" s="3234" t="inlineStr">
        <is>
          <t>COMMUNAUTÉS &amp; OUTILS</t>
        </is>
      </c>
      <c r="F143" s="3234" t="inlineStr">
        <is>
          <t>Communauté US/CA</t>
        </is>
      </c>
      <c r="G143" s="3235" t="n">
        <v>75</v>
      </c>
      <c r="H143" s="3236" t="inlineStr">
        <is>
          <t>B+</t>
        </is>
      </c>
      <c r="I143" s="3237" t="inlineStr">
        <is>
          <t>✅</t>
        </is>
      </c>
      <c r="J143" s="3238" t="inlineStr">
        <is>
          <t>Sélective</t>
        </is>
      </c>
      <c r="K143" s="3234" t="inlineStr">
        <is>
          <t>FIRE international · SWR · décaissement · géo-arbitrage</t>
        </is>
      </c>
      <c r="L143" s="3238" t="inlineStr">
        <is>
          <t>Benchmarks FIRE globaux · SWR $2.1M · expériences</t>
        </is>
      </c>
      <c r="M143" s="3232" t="inlineStr">
        <is>
          <t>🟢 ACTIF</t>
        </is>
      </c>
      <c r="N143" s="3234" t="inlineStr">
        <is>
          <t>12/03/2026</t>
        </is>
      </c>
      <c r="O143" s="3177" t="n"/>
      <c r="P143" s="3177" t="n"/>
    </row>
    <row r="144" ht="27.75" customHeight="1" s="1666">
      <c r="A144" s="3240" t="n">
        <v>139</v>
      </c>
      <c r="B144" s="3241" t="n">
        <v>182</v>
      </c>
      <c r="C144" s="3242" t="inlineStr">
        <is>
          <t>Wealthsimple Calculators</t>
        </is>
      </c>
      <c r="D144" s="3243" t="inlineStr">
        <is>
          <t>wealthsimple.com/fr-ca/calculateurs</t>
        </is>
      </c>
      <c r="E144" s="3243" t="inlineStr">
        <is>
          <t>COMMUNAUTÉS &amp; OUTILS</t>
        </is>
      </c>
      <c r="F144" s="3243" t="inlineStr">
        <is>
          <t>Outils CA</t>
        </is>
      </c>
      <c r="G144" s="3244" t="n">
        <v>74</v>
      </c>
      <c r="H144" s="3245" t="inlineStr">
        <is>
          <t>B</t>
        </is>
      </c>
      <c r="I144" s="3246" t="inlineStr">
        <is>
          <t>✅</t>
        </is>
      </c>
      <c r="J144" s="3247" t="inlineStr">
        <is>
          <t>Sélective</t>
        </is>
      </c>
      <c r="K144" s="3243" t="inlineStr">
        <is>
          <t>REER · CELI · FHSA · retraite · compound interest</t>
        </is>
      </c>
      <c r="L144" s="3247" t="inlineStr">
        <is>
          <t>Calculateurs rapides · vérifier hypothèses croissance</t>
        </is>
      </c>
      <c r="M144" s="3241" t="inlineStr">
        <is>
          <t>🟢 ACTIF</t>
        </is>
      </c>
      <c r="N144" s="3243" t="inlineStr">
        <is>
          <t>12/03/2026</t>
        </is>
      </c>
      <c r="O144" s="3177" t="n"/>
      <c r="P144" s="3177" t="n"/>
    </row>
    <row r="145" ht="27.75" customHeight="1" s="1666">
      <c r="A145" s="3248" t="n">
        <v>140</v>
      </c>
      <c r="B145" s="3249" t="n">
        <v>131</v>
      </c>
      <c r="C145" s="3250" t="inlineStr">
        <is>
          <t>Google Sheets Conditional Formatting</t>
        </is>
      </c>
      <c r="D145" s="3251" t="n"/>
      <c r="E145" s="3251" t="inlineStr">
        <is>
          <t>ANALYSE TECHNIQUE</t>
        </is>
      </c>
      <c r="F145" s="3251" t="inlineStr">
        <is>
          <t>Documentation</t>
        </is>
      </c>
      <c r="G145" s="3252" t="n">
        <v>73</v>
      </c>
      <c r="H145" s="3253" t="inlineStr">
        <is>
          <t>B</t>
        </is>
      </c>
      <c r="I145" s="3254" t="inlineStr">
        <is>
          <t>✅</t>
        </is>
      </c>
      <c r="J145" s="3255" t="inlineStr">
        <is>
          <t>Sélective</t>
        </is>
      </c>
      <c r="K145" s="3251" t="inlineStr">
        <is>
          <t>Règles conditionnelles · couleurs · formules · alertes visuelles</t>
        </is>
      </c>
      <c r="L145" s="3255" t="inlineStr">
        <is>
          <t>Alertes prix ALERTES onglet · code couleur Tiers</t>
        </is>
      </c>
      <c r="M145" s="3249" t="inlineStr">
        <is>
          <t>🟢 ACTIF</t>
        </is>
      </c>
      <c r="N145" s="3251" t="inlineStr">
        <is>
          <t>12/03/2026</t>
        </is>
      </c>
      <c r="O145" s="3177" t="n"/>
      <c r="P145" s="3177" t="n"/>
    </row>
    <row r="146" ht="27.75" customHeight="1" s="1666">
      <c r="A146" s="3240" t="n">
        <v>141</v>
      </c>
      <c r="B146" s="3241" t="n">
        <v>132</v>
      </c>
      <c r="C146" s="3242" t="inlineStr">
        <is>
          <t>Gestion-de-Portefeuille.com</t>
        </is>
      </c>
      <c r="D146" s="3243" t="n"/>
      <c r="E146" s="3243" t="inlineStr">
        <is>
          <t>ANALYSE TECHNIQUE</t>
        </is>
      </c>
      <c r="F146" s="3243" t="inlineStr">
        <is>
          <t>FR Finance</t>
        </is>
      </c>
      <c r="G146" s="3244" t="n">
        <v>73</v>
      </c>
      <c r="H146" s="3245" t="inlineStr">
        <is>
          <t>B</t>
        </is>
      </c>
      <c r="I146" s="3246" t="inlineStr">
        <is>
          <t>✅</t>
        </is>
      </c>
      <c r="J146" s="3247" t="inlineStr">
        <is>
          <t>Sélective</t>
        </is>
      </c>
      <c r="K146" s="3243" t="inlineStr">
        <is>
          <t>Modèles Excel/GSheets · ratios · valorisation · templates</t>
        </is>
      </c>
      <c r="L146" s="3247" t="inlineStr">
        <is>
          <t>Templates FR portefeuille · inspiration onglets</t>
        </is>
      </c>
      <c r="M146" s="3241" t="inlineStr">
        <is>
          <t>🟢 ACTIF</t>
        </is>
      </c>
      <c r="N146" s="3243" t="inlineStr">
        <is>
          <t>12/03/2026</t>
        </is>
      </c>
      <c r="O146" s="3177" t="n"/>
      <c r="P146" s="3177" t="n"/>
    </row>
    <row r="147" ht="27.75" customHeight="1" s="1666">
      <c r="A147" s="3248" t="n">
        <v>142</v>
      </c>
      <c r="B147" s="3249" t="n">
        <v>133</v>
      </c>
      <c r="C147" s="3250" t="inlineStr">
        <is>
          <t>Vertex42 Financial Templates</t>
        </is>
      </c>
      <c r="D147" s="3251" t="inlineStr">
        <is>
          <t>vertex42.com</t>
        </is>
      </c>
      <c r="E147" s="3251" t="inlineStr">
        <is>
          <t>ANALYSE TECHNIQUE</t>
        </is>
      </c>
      <c r="F147" s="3251" t="inlineStr">
        <is>
          <t>Templates</t>
        </is>
      </c>
      <c r="G147" s="3252" t="n">
        <v>73</v>
      </c>
      <c r="H147" s="3253" t="inlineStr">
        <is>
          <t>B</t>
        </is>
      </c>
      <c r="I147" s="3254" t="inlineStr">
        <is>
          <t>✅</t>
        </is>
      </c>
      <c r="J147" s="3255" t="inlineStr">
        <is>
          <t>Sélective</t>
        </is>
      </c>
      <c r="K147" s="3251" t="inlineStr">
        <is>
          <t>Modèles GSheets/Excel gratuits · budget · investissement · retraite</t>
        </is>
      </c>
      <c r="L147" s="3255" t="inlineStr">
        <is>
          <t>Templates prêts: FIRE calculator · REER projection</t>
        </is>
      </c>
      <c r="M147" s="3249" t="inlineStr">
        <is>
          <t>🟢 ACTIF</t>
        </is>
      </c>
      <c r="N147" s="3251" t="inlineStr">
        <is>
          <t>12/03/2026</t>
        </is>
      </c>
      <c r="O147" s="3177" t="n"/>
      <c r="P147" s="3177" t="n"/>
    </row>
    <row r="148" ht="27.75" customHeight="1" s="1666">
      <c r="A148" s="3240" t="n">
        <v>143</v>
      </c>
      <c r="B148" s="3241" t="n">
        <v>134</v>
      </c>
      <c r="C148" s="3242" t="inlineStr">
        <is>
          <t>Apps Script Google Triggers</t>
        </is>
      </c>
      <c r="D148" s="3243" t="n"/>
      <c r="E148" s="3243" t="inlineStr">
        <is>
          <t>ANALYSE TECHNIQUE</t>
        </is>
      </c>
      <c r="F148" s="3243" t="inlineStr">
        <is>
          <t>Documentation</t>
        </is>
      </c>
      <c r="G148" s="3244" t="n">
        <v>73</v>
      </c>
      <c r="H148" s="3245" t="inlineStr">
        <is>
          <t>B</t>
        </is>
      </c>
      <c r="I148" s="3246" t="inlineStr">
        <is>
          <t>✅</t>
        </is>
      </c>
      <c r="J148" s="3247" t="inlineStr">
        <is>
          <t>Sélective</t>
        </is>
      </c>
      <c r="K148" s="3243" t="inlineStr">
        <is>
          <t>Triggers time-based · email alerts · auto-MAJ cellules</t>
        </is>
      </c>
      <c r="L148" s="3247" t="inlineStr">
        <is>
          <t>Automatiser: alerte email si titre &lt;prix cible ALERTES</t>
        </is>
      </c>
      <c r="M148" s="3241" t="inlineStr">
        <is>
          <t>🟢 ACTIF</t>
        </is>
      </c>
      <c r="N148" s="3243" t="inlineStr">
        <is>
          <t>12/03/2026</t>
        </is>
      </c>
      <c r="O148" s="3177" t="n"/>
      <c r="P148" s="3177" t="n"/>
    </row>
    <row r="149" ht="27.75" customHeight="1" s="1666">
      <c r="A149" s="3248" t="n">
        <v>144</v>
      </c>
      <c r="B149" s="3249" t="n">
        <v>148</v>
      </c>
      <c r="C149" s="3250" t="inlineStr">
        <is>
          <t>Semiconductor Industry Association</t>
        </is>
      </c>
      <c r="D149" s="3251" t="inlineStr">
        <is>
          <t>semiconductors.org</t>
        </is>
      </c>
      <c r="E149" s="3251" t="inlineStr">
        <is>
          <t>SECTEURS SPÉCIALISÉS</t>
        </is>
      </c>
      <c r="F149" s="3251" t="inlineStr">
        <is>
          <t>Semis officiel</t>
        </is>
      </c>
      <c r="G149" s="3252" t="n">
        <v>73</v>
      </c>
      <c r="H149" s="3253" t="inlineStr">
        <is>
          <t>B</t>
        </is>
      </c>
      <c r="I149" s="3254" t="inlineStr">
        <is>
          <t>✅</t>
        </is>
      </c>
      <c r="J149" s="3255" t="inlineStr">
        <is>
          <t>Sélective</t>
        </is>
      </c>
      <c r="K149" s="3251" t="inlineStr">
        <is>
          <t>Données marché semis · shipments · book-to-bill · cycles</t>
        </is>
      </c>
      <c r="L149" s="3255" t="inlineStr">
        <is>
          <t>Santé cycle semis · timing SMH · book-to-bill signal</t>
        </is>
      </c>
      <c r="M149" s="3249" t="inlineStr">
        <is>
          <t>🟢 ACTIF</t>
        </is>
      </c>
      <c r="N149" s="3251" t="inlineStr">
        <is>
          <t>12/03/2026</t>
        </is>
      </c>
      <c r="O149" s="3177" t="n"/>
      <c r="P149" s="3177" t="n"/>
    </row>
    <row r="150" ht="27.75" customHeight="1" s="1666">
      <c r="A150" s="3240" t="n">
        <v>145</v>
      </c>
      <c r="B150" s="3241" t="n">
        <v>120</v>
      </c>
      <c r="C150" s="3242" t="inlineStr">
        <is>
          <t>Coefficient.io Formula Builder</t>
        </is>
      </c>
      <c r="D150" s="3243" t="inlineStr">
        <is>
          <t>coefficient.io</t>
        </is>
      </c>
      <c r="E150" s="3243" t="inlineStr">
        <is>
          <t>GOOGLE SHEETS PRO</t>
        </is>
      </c>
      <c r="F150" s="3243" t="inlineStr">
        <is>
          <t>Outil + tutoriels</t>
        </is>
      </c>
      <c r="G150" s="3244" t="n">
        <v>72</v>
      </c>
      <c r="H150" s="3245" t="inlineStr">
        <is>
          <t>B</t>
        </is>
      </c>
      <c r="I150" s="3256" t="inlineStr">
        <is>
          <t>⚠️ Limité</t>
        </is>
      </c>
      <c r="J150" s="3247" t="inlineStr">
        <is>
          <t>Sélective</t>
        </is>
      </c>
      <c r="K150" s="3243" t="inlineStr">
        <is>
          <t>Génération formules AI · GOOGLEFINANCE · connexions API</t>
        </is>
      </c>
      <c r="L150" s="3247" t="inlineStr">
        <is>
          <t>Créer formules complexes GSheets plus rapidement</t>
        </is>
      </c>
      <c r="M150" s="3241" t="inlineStr">
        <is>
          <t>🟢 ACTIF</t>
        </is>
      </c>
      <c r="N150" s="3243" t="inlineStr">
        <is>
          <t>12/03/2026</t>
        </is>
      </c>
      <c r="O150" s="3177" t="n"/>
      <c r="P150" s="3177" t="n"/>
    </row>
    <row r="151" ht="27.75" customHeight="1" s="1666">
      <c r="A151" s="3248" t="n">
        <v>146</v>
      </c>
      <c r="B151" s="3249" t="n">
        <v>124</v>
      </c>
      <c r="C151" s="3250" t="inlineStr">
        <is>
          <t>FMP Add-on</t>
        </is>
      </c>
      <c r="D151" s="3251" t="inlineStr">
        <is>
          <t>financialmodelingprep.com</t>
        </is>
      </c>
      <c r="E151" s="3251" t="inlineStr">
        <is>
          <t>GOOGLE SHEETS PRO</t>
        </is>
      </c>
      <c r="F151" s="3251" t="inlineStr">
        <is>
          <t>Add-on+API</t>
        </is>
      </c>
      <c r="G151" s="3252" t="n">
        <v>72</v>
      </c>
      <c r="H151" s="3253" t="inlineStr">
        <is>
          <t>B</t>
        </is>
      </c>
      <c r="I151" s="3257" t="inlineStr">
        <is>
          <t>⚠️ Limité gratuit</t>
        </is>
      </c>
      <c r="J151" s="3255" t="inlineStr">
        <is>
          <t>Sélective</t>
        </is>
      </c>
      <c r="K151" s="3251" t="inlineStr">
        <is>
          <t>Données financières complètes · income · balance · cashflow</t>
        </is>
      </c>
      <c r="L151" s="3255" t="inlineStr">
        <is>
          <t>Alternative Wisesheets · fondamentaux dans GSheets</t>
        </is>
      </c>
      <c r="M151" s="3249" t="inlineStr">
        <is>
          <t>🟢 ACTIF</t>
        </is>
      </c>
      <c r="N151" s="3251" t="inlineStr">
        <is>
          <t>12/03/2026</t>
        </is>
      </c>
      <c r="O151" s="3177" t="n"/>
      <c r="P151" s="3177" t="n"/>
    </row>
    <row r="152" ht="27.75" customHeight="1" s="1666">
      <c r="A152" s="3240" t="n">
        <v>147</v>
      </c>
      <c r="B152" s="3241" t="n">
        <v>128</v>
      </c>
      <c r="C152" s="3242" t="inlineStr">
        <is>
          <t>Superjoin Finance GSheets</t>
        </is>
      </c>
      <c r="D152" s="3243" t="inlineStr">
        <is>
          <t>superjoin.ai</t>
        </is>
      </c>
      <c r="E152" s="3243" t="inlineStr">
        <is>
          <t>GOOGLE SHEETS PRO</t>
        </is>
      </c>
      <c r="F152" s="3243" t="inlineStr">
        <is>
          <t>AI + Sheets</t>
        </is>
      </c>
      <c r="G152" s="3244" t="n">
        <v>72</v>
      </c>
      <c r="H152" s="3245" t="inlineStr">
        <is>
          <t>B</t>
        </is>
      </c>
      <c r="I152" s="3256" t="inlineStr">
        <is>
          <t>⚠️ Limité</t>
        </is>
      </c>
      <c r="J152" s="3247" t="inlineStr">
        <is>
          <t>Sélective</t>
        </is>
      </c>
      <c r="K152" s="3243" t="inlineStr">
        <is>
          <t>Génération formules AI · intégrations · analytics</t>
        </is>
      </c>
      <c r="L152" s="3247" t="inlineStr">
        <is>
          <t>Accélérer construction formules complexes portfolio</t>
        </is>
      </c>
      <c r="M152" s="3241" t="inlineStr">
        <is>
          <t>🟢 ACTIF</t>
        </is>
      </c>
      <c r="N152" s="3243" t="inlineStr">
        <is>
          <t>12/03/2026</t>
        </is>
      </c>
      <c r="O152" s="3177" t="n"/>
      <c r="P152" s="3177" t="n"/>
    </row>
    <row r="153" ht="27.75" customHeight="1" s="1666">
      <c r="A153" s="3248" t="n">
        <v>148</v>
      </c>
      <c r="B153" s="3249" t="n">
        <v>135</v>
      </c>
      <c r="C153" s="3250" t="inlineStr">
        <is>
          <t>Google Sheets QUERY Function</t>
        </is>
      </c>
      <c r="D153" s="3251" t="n"/>
      <c r="E153" s="3251" t="inlineStr">
        <is>
          <t>ANALYSE TECHNIQUE</t>
        </is>
      </c>
      <c r="F153" s="3251" t="inlineStr">
        <is>
          <t>Documentation</t>
        </is>
      </c>
      <c r="G153" s="3252" t="n">
        <v>72</v>
      </c>
      <c r="H153" s="3253" t="inlineStr">
        <is>
          <t>B</t>
        </is>
      </c>
      <c r="I153" s="3254" t="inlineStr">
        <is>
          <t>✅</t>
        </is>
      </c>
      <c r="J153" s="3255" t="inlineStr">
        <is>
          <t>Sélective</t>
        </is>
      </c>
      <c r="K153" s="3251" t="inlineStr">
        <is>
          <t>SQL-like queries · filtres · agrégations · tri dans GSheets</t>
        </is>
      </c>
      <c r="L153" s="3255" t="inlineStr">
        <is>
          <t>Filtrer portfolio par Tier · QUERY(PORTEFEUILLE;...)</t>
        </is>
      </c>
      <c r="M153" s="3249" t="inlineStr">
        <is>
          <t>🟢 ACTIF</t>
        </is>
      </c>
      <c r="N153" s="3251" t="inlineStr">
        <is>
          <t>12/03/2026</t>
        </is>
      </c>
      <c r="O153" s="3177" t="n"/>
      <c r="P153" s="3177" t="n"/>
    </row>
    <row r="154" ht="27.75" customHeight="1" s="1666">
      <c r="A154" s="3240" t="n">
        <v>149</v>
      </c>
      <c r="B154" s="3241" t="n">
        <v>138</v>
      </c>
      <c r="C154" s="3242" t="inlineStr">
        <is>
          <t>CBOE Put/Call Ratio</t>
        </is>
      </c>
      <c r="D154" s="3243" t="inlineStr">
        <is>
          <t>cboe.com/data/market-statistics</t>
        </is>
      </c>
      <c r="E154" s="3243" t="inlineStr">
        <is>
          <t>ANALYSE TECHNIQUE</t>
        </is>
      </c>
      <c r="F154" s="3243" t="inlineStr">
        <is>
          <t>Sentiment</t>
        </is>
      </c>
      <c r="G154" s="3244" t="n">
        <v>72</v>
      </c>
      <c r="H154" s="3245" t="inlineStr">
        <is>
          <t>B</t>
        </is>
      </c>
      <c r="I154" s="3246" t="inlineStr">
        <is>
          <t>✅</t>
        </is>
      </c>
      <c r="J154" s="3247" t="inlineStr">
        <is>
          <t>Sélective</t>
        </is>
      </c>
      <c r="K154" s="3243" t="inlineStr">
        <is>
          <t>Put/Call · VIX term structure · fear &amp; greed · contrariant</t>
        </is>
      </c>
      <c r="L154" s="3247" t="inlineStr">
        <is>
          <t>Sentiment extrême = signal buy opportuniste T1</t>
        </is>
      </c>
      <c r="M154" s="3241" t="inlineStr">
        <is>
          <t>🟢 ACTIF</t>
        </is>
      </c>
      <c r="N154" s="3243" t="inlineStr">
        <is>
          <t>12/03/2026</t>
        </is>
      </c>
      <c r="O154" s="3177" t="n"/>
      <c r="P154" s="3177" t="n"/>
    </row>
    <row r="155" ht="27.75" customHeight="1" s="1666">
      <c r="A155" s="3248" t="n">
        <v>150</v>
      </c>
      <c r="B155" s="3249" t="n">
        <v>139</v>
      </c>
      <c r="C155" s="3250" t="inlineStr">
        <is>
          <t>CNN Fear &amp; Greed</t>
        </is>
      </c>
      <c r="D155" s="3251" t="inlineStr">
        <is>
          <t>cnn.com/markets/fear-and-greed</t>
        </is>
      </c>
      <c r="E155" s="3251" t="inlineStr">
        <is>
          <t>ANALYSE TECHNIQUE</t>
        </is>
      </c>
      <c r="F155" s="3251" t="inlineStr">
        <is>
          <t>Sentiment</t>
        </is>
      </c>
      <c r="G155" s="3252" t="n">
        <v>72</v>
      </c>
      <c r="H155" s="3253" t="inlineStr">
        <is>
          <t>B</t>
        </is>
      </c>
      <c r="I155" s="3254" t="inlineStr">
        <is>
          <t>✅</t>
        </is>
      </c>
      <c r="J155" s="3255" t="inlineStr">
        <is>
          <t>Sélective</t>
        </is>
      </c>
      <c r="K155" s="3251" t="inlineStr">
        <is>
          <t>Index 0-100 · 7 composantes · historique · extrêmes</t>
        </is>
      </c>
      <c r="L155" s="3255" t="inlineStr">
        <is>
          <t>Peur extrême &lt;20 = signal buy · ancrage psychologique</t>
        </is>
      </c>
      <c r="M155" s="3249" t="inlineStr">
        <is>
          <t>🟢 ACTIF</t>
        </is>
      </c>
      <c r="N155" s="3251" t="inlineStr">
        <is>
          <t>12/03/2026</t>
        </is>
      </c>
      <c r="O155" s="3177" t="n"/>
      <c r="P155" s="3177" t="n"/>
    </row>
    <row r="156" ht="27.75" customHeight="1" s="1666">
      <c r="A156" s="3240" t="n">
        <v>151</v>
      </c>
      <c r="B156" s="3241" t="n">
        <v>141</v>
      </c>
      <c r="C156" s="3242" t="inlineStr">
        <is>
          <t>Finviz Heatmap</t>
        </is>
      </c>
      <c r="D156" s="3243" t="inlineStr">
        <is>
          <t>finviz.com/map.ashx</t>
        </is>
      </c>
      <c r="E156" s="3243" t="inlineStr">
        <is>
          <t>ANALYSE TECHNIQUE</t>
        </is>
      </c>
      <c r="F156" s="3243" t="inlineStr">
        <is>
          <t>Visualisation</t>
        </is>
      </c>
      <c r="G156" s="3244" t="n">
        <v>72</v>
      </c>
      <c r="H156" s="3245" t="inlineStr">
        <is>
          <t>B</t>
        </is>
      </c>
      <c r="I156" s="3246" t="inlineStr">
        <is>
          <t>✅</t>
        </is>
      </c>
      <c r="J156" s="3247" t="inlineStr">
        <is>
          <t>Sélective</t>
        </is>
      </c>
      <c r="K156" s="3243" t="inlineStr">
        <is>
          <t>Heatmap sectorielle · performance relative · taille = mktcap</t>
        </is>
      </c>
      <c r="L156" s="3247" t="inlineStr">
        <is>
          <t>Identifier secteurs en dip · opportunités T1 sectoriels</t>
        </is>
      </c>
      <c r="M156" s="3241" t="inlineStr">
        <is>
          <t>🟢 ACTIF</t>
        </is>
      </c>
      <c r="N156" s="3243" t="inlineStr">
        <is>
          <t>12/03/2026</t>
        </is>
      </c>
      <c r="O156" s="3177" t="n"/>
      <c r="P156" s="3177" t="n"/>
    </row>
    <row r="157" ht="27.75" customHeight="1" s="1666">
      <c r="A157" s="3248" t="n">
        <v>152</v>
      </c>
      <c r="B157" s="3249" t="n">
        <v>142</v>
      </c>
      <c r="C157" s="3250" t="inlineStr">
        <is>
          <t>Multipl.com Market Valuation</t>
        </is>
      </c>
      <c r="D157" s="3251" t="inlineStr">
        <is>
          <t>multipl.com</t>
        </is>
      </c>
      <c r="E157" s="3251" t="inlineStr">
        <is>
          <t>ANALYSE TECHNIQUE</t>
        </is>
      </c>
      <c r="F157" s="3251" t="inlineStr">
        <is>
          <t>Valorisation macro</t>
        </is>
      </c>
      <c r="G157" s="3252" t="n">
        <v>72</v>
      </c>
      <c r="H157" s="3253" t="inlineStr">
        <is>
          <t>B</t>
        </is>
      </c>
      <c r="I157" s="3254" t="inlineStr">
        <is>
          <t>✅</t>
        </is>
      </c>
      <c r="J157" s="3255" t="inlineStr">
        <is>
          <t>Sélective</t>
        </is>
      </c>
      <c r="K157" s="3251" t="inlineStr">
        <is>
          <t>CAPE Shiller · P/E S&amp;P500 historique · PE médiane</t>
        </is>
      </c>
      <c r="L157" s="3255" t="inlineStr">
        <is>
          <t>Contexte valorisation S&amp;P500 pour VFV · timing DCA</t>
        </is>
      </c>
      <c r="M157" s="3249" t="inlineStr">
        <is>
          <t>🟢 ACTIF</t>
        </is>
      </c>
      <c r="N157" s="3251" t="inlineStr">
        <is>
          <t>12/03/2026</t>
        </is>
      </c>
      <c r="O157" s="3177" t="n"/>
      <c r="P157" s="3177" t="n"/>
    </row>
    <row r="158" ht="27.75" customHeight="1" s="1666">
      <c r="A158" s="3240" t="n">
        <v>153</v>
      </c>
      <c r="B158" s="3241" t="n">
        <v>143</v>
      </c>
      <c r="C158" s="3242" t="inlineStr">
        <is>
          <t>Advisor Perspectives</t>
        </is>
      </c>
      <c r="D158" s="3243" t="inlineStr">
        <is>
          <t>advisorperspectives.com</t>
        </is>
      </c>
      <c r="E158" s="3243" t="inlineStr">
        <is>
          <t>ANALYSE TECHNIQUE</t>
        </is>
      </c>
      <c r="F158" s="3243" t="inlineStr">
        <is>
          <t>Macro + Charts</t>
        </is>
      </c>
      <c r="G158" s="3244" t="n">
        <v>72</v>
      </c>
      <c r="H158" s="3245" t="inlineStr">
        <is>
          <t>B</t>
        </is>
      </c>
      <c r="I158" s="3246" t="inlineStr">
        <is>
          <t>✅</t>
        </is>
      </c>
      <c r="J158" s="3247" t="inlineStr">
        <is>
          <t>Sélective</t>
        </is>
      </c>
      <c r="K158" s="3243" t="inlineStr">
        <is>
          <t>Charts institutionnels · cycles · rolling PE · moyennes mobiles</t>
        </is>
      </c>
      <c r="L158" s="3247" t="inlineStr">
        <is>
          <t>Graphiques longue durée · contexte valorisation VFV/QQQ</t>
        </is>
      </c>
      <c r="M158" s="3241" t="inlineStr">
        <is>
          <t>🟢 ACTIF</t>
        </is>
      </c>
      <c r="N158" s="3243" t="inlineStr">
        <is>
          <t>12/03/2026</t>
        </is>
      </c>
      <c r="O158" s="3177" t="n"/>
      <c r="P158" s="3177" t="n"/>
    </row>
    <row r="159" ht="27.75" customHeight="1" s="1666">
      <c r="A159" s="3248" t="n">
        <v>154</v>
      </c>
      <c r="B159" s="3249" t="n">
        <v>144</v>
      </c>
      <c r="C159" s="3250" t="inlineStr">
        <is>
          <t>Isabelnet Charts</t>
        </is>
      </c>
      <c r="D159" s="3251" t="inlineStr">
        <is>
          <t>isabelnet.com</t>
        </is>
      </c>
      <c r="E159" s="3251" t="inlineStr">
        <is>
          <t>ANALYSE TECHNIQUE</t>
        </is>
      </c>
      <c r="F159" s="3251" t="inlineStr">
        <is>
          <t>Charts institutionnels</t>
        </is>
      </c>
      <c r="G159" s="3252" t="n">
        <v>72</v>
      </c>
      <c r="H159" s="3253" t="inlineStr">
        <is>
          <t>B</t>
        </is>
      </c>
      <c r="I159" s="3254" t="inlineStr">
        <is>
          <t>✅</t>
        </is>
      </c>
      <c r="J159" s="3255" t="inlineStr">
        <is>
          <t>Sélective</t>
        </is>
      </c>
      <c r="K159" s="3251" t="inlineStr">
        <is>
          <t>GS · JPM · BofA charts réutilisés · macro charts curated</t>
        </is>
      </c>
      <c r="L159" s="3255" t="inlineStr">
        <is>
          <t>Source graphiques macro institutionnels réutilisables</t>
        </is>
      </c>
      <c r="M159" s="3249" t="inlineStr">
        <is>
          <t>🟢 ACTIF</t>
        </is>
      </c>
      <c r="N159" s="3251" t="inlineStr">
        <is>
          <t>12/03/2026</t>
        </is>
      </c>
      <c r="O159" s="3177" t="n"/>
      <c r="P159" s="3177" t="n"/>
    </row>
    <row r="160" ht="27.75" customHeight="1" s="1666">
      <c r="A160" s="3240" t="n">
        <v>155</v>
      </c>
      <c r="B160" s="3241" t="n">
        <v>151</v>
      </c>
      <c r="C160" s="3242" t="inlineStr">
        <is>
          <t>Canadian Real Estate Forum</t>
        </is>
      </c>
      <c r="D160" s="3243" t="inlineStr">
        <is>
          <t>realestate.ca</t>
        </is>
      </c>
      <c r="E160" s="3243" t="inlineStr">
        <is>
          <t>SECTEURS SPÉCIALISÉS</t>
        </is>
      </c>
      <c r="F160" s="3243" t="inlineStr">
        <is>
          <t>Immobilier CA</t>
        </is>
      </c>
      <c r="G160" s="3244" t="n">
        <v>72</v>
      </c>
      <c r="H160" s="3245" t="inlineStr">
        <is>
          <t>B</t>
        </is>
      </c>
      <c r="I160" s="3246" t="inlineStr">
        <is>
          <t>✅</t>
        </is>
      </c>
      <c r="J160" s="3247" t="inlineStr">
        <is>
          <t>Sélective</t>
        </is>
      </c>
      <c r="K160" s="3243" t="inlineStr">
        <is>
          <t>Marché locatif · REITs CA · cap rates · tendances</t>
        </is>
      </c>
      <c r="L160" s="3247" t="inlineStr">
        <is>
          <t>Contexte SRU.UN/REI.UN/ZRE.TO · cap rates CA</t>
        </is>
      </c>
      <c r="M160" s="3241" t="inlineStr">
        <is>
          <t>🟢 ACTIF</t>
        </is>
      </c>
      <c r="N160" s="3243" t="inlineStr">
        <is>
          <t>12/03/2026</t>
        </is>
      </c>
      <c r="O160" s="3177" t="n"/>
      <c r="P160" s="3177" t="n"/>
    </row>
    <row r="161" ht="27.75" customHeight="1" s="1666">
      <c r="A161" s="3248" t="n">
        <v>156</v>
      </c>
      <c r="B161" s="3249" t="n">
        <v>152</v>
      </c>
      <c r="C161" s="3250" t="inlineStr">
        <is>
          <t>REIT.com</t>
        </is>
      </c>
      <c r="D161" s="3251" t="inlineStr">
        <is>
          <t>reit.com</t>
        </is>
      </c>
      <c r="E161" s="3251" t="inlineStr">
        <is>
          <t>SECTEURS SPÉCIALISÉS</t>
        </is>
      </c>
      <c r="F161" s="3251" t="inlineStr">
        <is>
          <t>REITs US</t>
        </is>
      </c>
      <c r="G161" s="3252" t="n">
        <v>72</v>
      </c>
      <c r="H161" s="3253" t="inlineStr">
        <is>
          <t>B</t>
        </is>
      </c>
      <c r="I161" s="3254" t="inlineStr">
        <is>
          <t>✅</t>
        </is>
      </c>
      <c r="J161" s="3255" t="inlineStr">
        <is>
          <t>Sélective</t>
        </is>
      </c>
      <c r="K161" s="3251" t="inlineStr">
        <is>
          <t>Données REITs · yields · FFO · NAV · performances</t>
        </is>
      </c>
      <c r="L161" s="3255" t="inlineStr">
        <is>
          <t>Benchmarks REITs US vs CA · valorisation SRU/REI</t>
        </is>
      </c>
      <c r="M161" s="3249" t="inlineStr">
        <is>
          <t>🟢 ACTIF</t>
        </is>
      </c>
      <c r="N161" s="3251" t="inlineStr">
        <is>
          <t>12/03/2026</t>
        </is>
      </c>
      <c r="O161" s="3177" t="n"/>
      <c r="P161" s="3177" t="n"/>
    </row>
    <row r="162" ht="27.75" customHeight="1" s="1666">
      <c r="A162" s="3240" t="n">
        <v>157</v>
      </c>
      <c r="B162" s="3241" t="n">
        <v>153</v>
      </c>
      <c r="C162" s="3242" t="inlineStr">
        <is>
          <t>Commercial Edge</t>
        </is>
      </c>
      <c r="D162" s="3243" t="inlineStr">
        <is>
          <t>commercialedge.com</t>
        </is>
      </c>
      <c r="E162" s="3243" t="inlineStr">
        <is>
          <t>SECTEURS SPÉCIALISÉS</t>
        </is>
      </c>
      <c r="F162" s="3243" t="inlineStr">
        <is>
          <t>Immobilier com.</t>
        </is>
      </c>
      <c r="G162" s="3244" t="n">
        <v>72</v>
      </c>
      <c r="H162" s="3245" t="inlineStr">
        <is>
          <t>B</t>
        </is>
      </c>
      <c r="I162" s="3246" t="inlineStr">
        <is>
          <t>✅</t>
        </is>
      </c>
      <c r="J162" s="3247" t="inlineStr">
        <is>
          <t>Sélective</t>
        </is>
      </c>
      <c r="K162" s="3243" t="inlineStr">
        <is>
          <t>Vacance bureaux · retail trends · cap rates par ville</t>
        </is>
      </c>
      <c r="L162" s="3247" t="inlineStr">
        <is>
          <t>Santé REITs CA · SRU retail · contexte FHSA maison 2030</t>
        </is>
      </c>
      <c r="M162" s="3241" t="inlineStr">
        <is>
          <t>🟢 ACTIF</t>
        </is>
      </c>
      <c r="N162" s="3243" t="inlineStr">
        <is>
          <t>12/03/2026</t>
        </is>
      </c>
      <c r="O162" s="3177" t="n"/>
      <c r="P162" s="3177" t="n"/>
    </row>
    <row r="163" ht="27.75" customHeight="1" s="1666">
      <c r="A163" s="3248" t="n">
        <v>158</v>
      </c>
      <c r="B163" s="3249" t="n">
        <v>154</v>
      </c>
      <c r="C163" s="3250" t="inlineStr">
        <is>
          <t>Dividend Growth Investor</t>
        </is>
      </c>
      <c r="D163" s="3251" t="inlineStr">
        <is>
          <t>dividendgrowthinvestor.com</t>
        </is>
      </c>
      <c r="E163" s="3251" t="inlineStr">
        <is>
          <t>SECTEURS SPÉCIALISÉS</t>
        </is>
      </c>
      <c r="F163" s="3251" t="inlineStr">
        <is>
          <t>Dividendes US</t>
        </is>
      </c>
      <c r="G163" s="3252" t="n">
        <v>72</v>
      </c>
      <c r="H163" s="3253" t="inlineStr">
        <is>
          <t>B</t>
        </is>
      </c>
      <c r="I163" s="3254" t="inlineStr">
        <is>
          <t>✅</t>
        </is>
      </c>
      <c r="J163" s="3255" t="inlineStr">
        <is>
          <t>Sélective</t>
        </is>
      </c>
      <c r="K163" s="3251" t="inlineStr">
        <is>
          <t>Aristocrats · Kings · historique · augmentations · screening</t>
        </is>
      </c>
      <c r="L163" s="3255" t="inlineStr">
        <is>
          <t>Contexte dividendes croissance SCHD · ENB · MFC</t>
        </is>
      </c>
      <c r="M163" s="3249" t="inlineStr">
        <is>
          <t>🟢 ACTIF</t>
        </is>
      </c>
      <c r="N163" s="3251" t="inlineStr">
        <is>
          <t>12/03/2026</t>
        </is>
      </c>
      <c r="O163" s="3177" t="n"/>
      <c r="P163" s="3177" t="n"/>
    </row>
    <row r="164" ht="27.75" customHeight="1" s="1666">
      <c r="A164" s="3240" t="n">
        <v>159</v>
      </c>
      <c r="B164" s="3241" t="n">
        <v>156</v>
      </c>
      <c r="C164" s="3242" t="inlineStr">
        <is>
          <t>Grid Edge Intelligence (GE Vernova)</t>
        </is>
      </c>
      <c r="D164" s="3243" t="n"/>
      <c r="E164" s="3243" t="inlineStr">
        <is>
          <t>SECTEURS SPÉCIALISÉS</t>
        </is>
      </c>
      <c r="F164" s="3243" t="inlineStr">
        <is>
          <t>GEV spécifique</t>
        </is>
      </c>
      <c r="G164" s="3244" t="n">
        <v>72</v>
      </c>
      <c r="H164" s="3245" t="inlineStr">
        <is>
          <t>B</t>
        </is>
      </c>
      <c r="I164" s="3246" t="inlineStr">
        <is>
          <t>✅</t>
        </is>
      </c>
      <c r="J164" s="3247" t="inlineStr">
        <is>
          <t>Sélective</t>
        </is>
      </c>
      <c r="K164" s="3243" t="inlineStr">
        <is>
          <t>Rapports grid transformation · AI data centers · ordres</t>
        </is>
      </c>
      <c r="L164" s="3247" t="inlineStr">
        <is>
          <t>Thèse GEV: 10,000 data centers + grid electrification</t>
        </is>
      </c>
      <c r="M164" s="3241" t="inlineStr">
        <is>
          <t>🟢 ACTIF</t>
        </is>
      </c>
      <c r="N164" s="3243" t="inlineStr">
        <is>
          <t>12/03/2026</t>
        </is>
      </c>
      <c r="O164" s="3177" t="n"/>
      <c r="P164" s="3177" t="n"/>
    </row>
    <row r="165" ht="27.75" customHeight="1" s="1666">
      <c r="A165" s="3248" t="n">
        <v>160</v>
      </c>
      <c r="B165" s="3249" t="n">
        <v>157</v>
      </c>
      <c r="C165" s="3250" t="inlineStr">
        <is>
          <t>AI Index Stanford HAI</t>
        </is>
      </c>
      <c r="D165" s="3251" t="inlineStr">
        <is>
          <t>aiindex.stanford.edu</t>
        </is>
      </c>
      <c r="E165" s="3251" t="inlineStr">
        <is>
          <t>SECTEURS SPÉCIALISÉS</t>
        </is>
      </c>
      <c r="F165" s="3251" t="inlineStr">
        <is>
          <t>IA recherche</t>
        </is>
      </c>
      <c r="G165" s="3252" t="n">
        <v>72</v>
      </c>
      <c r="H165" s="3253" t="inlineStr">
        <is>
          <t>B</t>
        </is>
      </c>
      <c r="I165" s="3254" t="inlineStr">
        <is>
          <t>✅</t>
        </is>
      </c>
      <c r="J165" s="3255" t="inlineStr">
        <is>
          <t>Sélective</t>
        </is>
      </c>
      <c r="K165" s="3251" t="inlineStr">
        <is>
          <t>Adoption AI · capex · benchmarks · state of AI annuel</t>
        </is>
      </c>
      <c r="L165" s="3255" t="inlineStr">
        <is>
          <t>Contexte spending AI → AVGO/GEV/GOOG/AMZN thèses</t>
        </is>
      </c>
      <c r="M165" s="3249" t="inlineStr">
        <is>
          <t>🟢 ACTIF</t>
        </is>
      </c>
      <c r="N165" s="3251" t="inlineStr">
        <is>
          <t>12/03/2026</t>
        </is>
      </c>
      <c r="O165" s="3177" t="n"/>
      <c r="P165" s="3177" t="n"/>
    </row>
    <row r="166" ht="27.75" customHeight="1" s="1666">
      <c r="A166" s="3240" t="n">
        <v>161</v>
      </c>
      <c r="B166" s="3241" t="n">
        <v>159</v>
      </c>
      <c r="C166" s="3242" t="inlineStr">
        <is>
          <t>World Nuclear Association</t>
        </is>
      </c>
      <c r="D166" s="3243" t="inlineStr">
        <is>
          <t>world-nuclear.org</t>
        </is>
      </c>
      <c r="E166" s="3243" t="inlineStr">
        <is>
          <t>SECTEURS SPÉCIALISÉS</t>
        </is>
      </c>
      <c r="F166" s="3243" t="inlineStr">
        <is>
          <t>Nucléaire</t>
        </is>
      </c>
      <c r="G166" s="3244" t="n">
        <v>72</v>
      </c>
      <c r="H166" s="3245" t="inlineStr">
        <is>
          <t>B</t>
        </is>
      </c>
      <c r="I166" s="3246" t="inlineStr">
        <is>
          <t>✅</t>
        </is>
      </c>
      <c r="J166" s="3247" t="inlineStr">
        <is>
          <t>Sélective</t>
        </is>
      </c>
      <c r="K166" s="3243" t="inlineStr">
        <is>
          <t>Données réacteurs · demande uranium · politiques mondiales</t>
        </is>
      </c>
      <c r="L166" s="3247" t="inlineStr">
        <is>
          <t>Fondamentaux HURA.TO · demande électricité AI</t>
        </is>
      </c>
      <c r="M166" s="3241" t="inlineStr">
        <is>
          <t>🟢 ACTIF</t>
        </is>
      </c>
      <c r="N166" s="3243" t="inlineStr">
        <is>
          <t>12/03/2026</t>
        </is>
      </c>
      <c r="O166" s="3177" t="n"/>
      <c r="P166" s="3177" t="n"/>
    </row>
    <row r="167" ht="27.75" customHeight="1" s="1666">
      <c r="A167" s="3248" t="n">
        <v>162</v>
      </c>
      <c r="B167" s="3249" t="n">
        <v>160</v>
      </c>
      <c r="C167" s="3250" t="inlineStr">
        <is>
          <t>Brookings Institution Energy Policy</t>
        </is>
      </c>
      <c r="D167" s="3251" t="n"/>
      <c r="E167" s="3251" t="inlineStr">
        <is>
          <t>SECTEURS SPÉCIALISÉS</t>
        </is>
      </c>
      <c r="F167" s="3251" t="inlineStr">
        <is>
          <t>Think tank</t>
        </is>
      </c>
      <c r="G167" s="3252" t="n">
        <v>72</v>
      </c>
      <c r="H167" s="3253" t="inlineStr">
        <is>
          <t>B</t>
        </is>
      </c>
      <c r="I167" s="3254" t="inlineStr">
        <is>
          <t>✅</t>
        </is>
      </c>
      <c r="J167" s="3255" t="inlineStr">
        <is>
          <t>Sélective</t>
        </is>
      </c>
      <c r="K167" s="3251" t="inlineStr">
        <is>
          <t>Politiques énergie · transition · grille · réglementations</t>
        </is>
      </c>
      <c r="L167" s="3255" t="inlineStr">
        <is>
          <t>Contexte politique GEV/ENB · transition climatique US/CA</t>
        </is>
      </c>
      <c r="M167" s="3249" t="inlineStr">
        <is>
          <t>🟢 ACTIF</t>
        </is>
      </c>
      <c r="N167" s="3251" t="inlineStr">
        <is>
          <t>12/03/2026</t>
        </is>
      </c>
      <c r="O167" s="3177" t="n"/>
      <c r="P167" s="3177" t="n"/>
    </row>
    <row r="168" ht="27.75" customHeight="1" s="1666">
      <c r="A168" s="3240" t="n">
        <v>163</v>
      </c>
      <c r="B168" s="3241" t="n">
        <v>115</v>
      </c>
      <c r="C168" s="3242" t="inlineStr">
        <is>
          <t>Morgan Housel Psychology of Money</t>
        </is>
      </c>
      <c r="D168" s="3243" t="n"/>
      <c r="E168" s="3243" t="inlineStr">
        <is>
          <t>FIRE &amp; PSYCHOLOGIE</t>
        </is>
      </c>
      <c r="F168" s="3243" t="inlineStr">
        <is>
          <t>Livre/blog</t>
        </is>
      </c>
      <c r="G168" s="3244" t="n">
        <v>71</v>
      </c>
      <c r="H168" s="3245" t="inlineStr">
        <is>
          <t>B</t>
        </is>
      </c>
      <c r="I168" s="3256" t="inlineStr">
        <is>
          <t>⚠️ Livre</t>
        </is>
      </c>
      <c r="J168" s="3247" t="inlineStr">
        <is>
          <t>Sélective</t>
        </is>
      </c>
      <c r="K168" s="3243" t="inlineStr">
        <is>
          <t>Biais · long-termisme · humilité · temps = l'avantage</t>
        </is>
      </c>
      <c r="L168" s="3247" t="inlineStr">
        <is>
          <t>Fondation psychologique décisions · patience T1</t>
        </is>
      </c>
      <c r="M168" s="3241" t="inlineStr">
        <is>
          <t>🟢 ACTIF</t>
        </is>
      </c>
      <c r="N168" s="3243" t="inlineStr">
        <is>
          <t>12/03/2026</t>
        </is>
      </c>
      <c r="O168" s="3177" t="n"/>
      <c r="P168" s="3177" t="n"/>
    </row>
    <row r="169" ht="27.75" customHeight="1" s="1666">
      <c r="A169" s="3248" t="n">
        <v>164</v>
      </c>
      <c r="B169" s="3249" t="n">
        <v>187</v>
      </c>
      <c r="C169" s="3250" t="inlineStr">
        <is>
          <t>Ratehub.ca</t>
        </is>
      </c>
      <c r="D169" s="3251" t="inlineStr">
        <is>
          <t>ratehub.ca</t>
        </is>
      </c>
      <c r="E169" s="3251" t="inlineStr">
        <is>
          <t>BANQUE &amp; MAISON 2030</t>
        </is>
      </c>
      <c r="F169" s="3251" t="inlineStr">
        <is>
          <t>Comparateur CA</t>
        </is>
      </c>
      <c r="G169" s="3252" t="n">
        <v>71</v>
      </c>
      <c r="H169" s="3253" t="inlineStr">
        <is>
          <t>B</t>
        </is>
      </c>
      <c r="I169" s="3254" t="inlineStr">
        <is>
          <t>✅</t>
        </is>
      </c>
      <c r="J169" s="3255" t="inlineStr">
        <is>
          <t>Sélective</t>
        </is>
      </c>
      <c r="K169" s="3251" t="inlineStr">
        <is>
          <t>HISA · taux hypothèques · CPG · cartes crédit · assurance</t>
        </is>
      </c>
      <c r="L169" s="3255" t="inlineStr">
        <is>
          <t>Comparer HISA EQ Bank vs concurrents · taux hypothèque 2030</t>
        </is>
      </c>
      <c r="M169" s="3249" t="inlineStr">
        <is>
          <t>🟢 ACTIF</t>
        </is>
      </c>
      <c r="N169" s="3251" t="inlineStr">
        <is>
          <t>12/03/2026</t>
        </is>
      </c>
      <c r="O169" s="3177" t="n"/>
      <c r="P169" s="3177" t="n"/>
    </row>
    <row r="170" ht="27.75" customHeight="1" s="1666">
      <c r="A170" s="3240" t="n">
        <v>165</v>
      </c>
      <c r="B170" s="3241" t="n">
        <v>188</v>
      </c>
      <c r="C170" s="3242" t="inlineStr">
        <is>
          <t>LowestRates.ca</t>
        </is>
      </c>
      <c r="D170" s="3243" t="inlineStr">
        <is>
          <t>lowestrates.ca</t>
        </is>
      </c>
      <c r="E170" s="3243" t="inlineStr">
        <is>
          <t>BANQUE &amp; MAISON 2030</t>
        </is>
      </c>
      <c r="F170" s="3243" t="inlineStr">
        <is>
          <t>Comparateur CA</t>
        </is>
      </c>
      <c r="G170" s="3244" t="n">
        <v>71</v>
      </c>
      <c r="H170" s="3245" t="inlineStr">
        <is>
          <t>B</t>
        </is>
      </c>
      <c r="I170" s="3246" t="inlineStr">
        <is>
          <t>✅</t>
        </is>
      </c>
      <c r="J170" s="3247" t="inlineStr">
        <is>
          <t>Sélective</t>
        </is>
      </c>
      <c r="K170" s="3243" t="inlineStr">
        <is>
          <t>Taux hypothèques · assurances · CPG · prêts auto</t>
        </is>
      </c>
      <c r="L170" s="3247" t="inlineStr">
        <is>
          <t>Contexte taux hypothèques 2030 · planification achat maison</t>
        </is>
      </c>
      <c r="M170" s="3241" t="inlineStr">
        <is>
          <t>🟢 ACTIF</t>
        </is>
      </c>
      <c r="N170" s="3243" t="inlineStr">
        <is>
          <t>12/03/2026</t>
        </is>
      </c>
      <c r="O170" s="3177" t="n"/>
      <c r="P170" s="3177" t="n"/>
    </row>
    <row r="171" ht="27.75" customHeight="1" s="1666">
      <c r="A171" s="3248" t="n">
        <v>166</v>
      </c>
      <c r="B171" s="3249" t="n">
        <v>189</v>
      </c>
      <c r="C171" s="3250" t="inlineStr">
        <is>
          <t>Nesto.ca</t>
        </is>
      </c>
      <c r="D171" s="3251" t="inlineStr">
        <is>
          <t>nesto.ca</t>
        </is>
      </c>
      <c r="E171" s="3251" t="inlineStr">
        <is>
          <t>BANQUE &amp; MAISON 2030</t>
        </is>
      </c>
      <c r="F171" s="3251" t="inlineStr">
        <is>
          <t>Hypothèque CA</t>
        </is>
      </c>
      <c r="G171" s="3252" t="n">
        <v>71</v>
      </c>
      <c r="H171" s="3253" t="inlineStr">
        <is>
          <t>B</t>
        </is>
      </c>
      <c r="I171" s="3254" t="inlineStr">
        <is>
          <t>✅</t>
        </is>
      </c>
      <c r="J171" s="3255" t="inlineStr">
        <is>
          <t>Sélective</t>
        </is>
      </c>
      <c r="K171" s="3251" t="inlineStr">
        <is>
          <t>Taux hypothèques · calendrier BdC · préqualification</t>
        </is>
      </c>
      <c r="L171" s="3255" t="inlineStr">
        <is>
          <t>Planification maison 2030 · impact taux · mise $100K</t>
        </is>
      </c>
      <c r="M171" s="3249" t="inlineStr">
        <is>
          <t>🟢 ACTIF</t>
        </is>
      </c>
      <c r="N171" s="3251" t="inlineStr">
        <is>
          <t>12/03/2026</t>
        </is>
      </c>
      <c r="O171" s="3177" t="n"/>
      <c r="P171" s="3177" t="n"/>
    </row>
    <row r="172" ht="27.75" customHeight="1" s="1666">
      <c r="A172" s="3240" t="n">
        <v>167</v>
      </c>
      <c r="B172" s="3241" t="n">
        <v>190</v>
      </c>
      <c r="C172" s="3242" t="inlineStr">
        <is>
          <t>CMHC</t>
        </is>
      </c>
      <c r="D172" s="3243" t="inlineStr">
        <is>
          <t>cmhc-schl.gc.ca</t>
        </is>
      </c>
      <c r="E172" s="3243" t="inlineStr">
        <is>
          <t>BANQUE &amp; MAISON 2030</t>
        </is>
      </c>
      <c r="F172" s="3243" t="inlineStr">
        <is>
          <t>Officiel CA logement</t>
        </is>
      </c>
      <c r="G172" s="3244" t="n">
        <v>71</v>
      </c>
      <c r="H172" s="3245" t="inlineStr">
        <is>
          <t>B</t>
        </is>
      </c>
      <c r="I172" s="3246" t="inlineStr">
        <is>
          <t>✅</t>
        </is>
      </c>
      <c r="J172" s="3247" t="inlineStr">
        <is>
          <t>Sélective</t>
        </is>
      </c>
      <c r="K172" s="3243" t="inlineStr">
        <is>
          <t>Données marché immobilier · assurance mise &lt;20% · règles</t>
        </is>
      </c>
      <c r="L172" s="3247" t="inlineStr">
        <is>
          <t>Règles mise de fonds · RAP/FHSA · marché QC/Nunavik</t>
        </is>
      </c>
      <c r="M172" s="3241" t="inlineStr">
        <is>
          <t>🟢 ACTIF</t>
        </is>
      </c>
      <c r="N172" s="3243" t="inlineStr">
        <is>
          <t>12/03/2026</t>
        </is>
      </c>
      <c r="O172" s="3177" t="n"/>
      <c r="P172" s="3177" t="n"/>
    </row>
    <row r="173" ht="27.75" customHeight="1" s="1666">
      <c r="A173" s="3248" t="n">
        <v>168</v>
      </c>
      <c r="B173" s="3249" t="n">
        <v>191</v>
      </c>
      <c r="C173" s="3250" t="inlineStr">
        <is>
          <t>CDIC</t>
        </is>
      </c>
      <c r="D173" s="3251" t="inlineStr">
        <is>
          <t>cdic.ca</t>
        </is>
      </c>
      <c r="E173" s="3251" t="inlineStr">
        <is>
          <t>BANQUE &amp; MAISON 2030</t>
        </is>
      </c>
      <c r="F173" s="3251" t="inlineStr">
        <is>
          <t>Protection officielle</t>
        </is>
      </c>
      <c r="G173" s="3252" t="n">
        <v>71</v>
      </c>
      <c r="H173" s="3253" t="inlineStr">
        <is>
          <t>B</t>
        </is>
      </c>
      <c r="I173" s="3254" t="inlineStr">
        <is>
          <t>✅</t>
        </is>
      </c>
      <c r="J173" s="3255" t="inlineStr">
        <is>
          <t>Sélective</t>
        </is>
      </c>
      <c r="K173" s="3251" t="inlineStr">
        <is>
          <t>Protection dépôts $100K/catégorie · HISA éligibilité</t>
        </is>
      </c>
      <c r="L173" s="3255" t="inlineStr">
        <is>
          <t>Vérifier protection EQ Bank HISA · CDIC membre</t>
        </is>
      </c>
      <c r="M173" s="3249" t="inlineStr">
        <is>
          <t>🟢 ACTIF</t>
        </is>
      </c>
      <c r="N173" s="3251" t="inlineStr">
        <is>
          <t>12/03/2026</t>
        </is>
      </c>
      <c r="O173" s="3177" t="n"/>
      <c r="P173" s="3177" t="n"/>
    </row>
    <row r="174" ht="27.75" customHeight="1" s="1666">
      <c r="A174" s="3240" t="n">
        <v>169</v>
      </c>
      <c r="B174" s="3241" t="n">
        <v>192</v>
      </c>
      <c r="C174" s="3242" t="inlineStr">
        <is>
          <t>REER et maison Guide</t>
        </is>
      </c>
      <c r="D174" s="3243" t="inlineStr">
        <is>
          <t>canada.ca/rap-guide</t>
        </is>
      </c>
      <c r="E174" s="3243" t="inlineStr">
        <is>
          <t>BANQUE &amp; MAISON 2030</t>
        </is>
      </c>
      <c r="F174" s="3243" t="inlineStr">
        <is>
          <t>Officiel ARC</t>
        </is>
      </c>
      <c r="G174" s="3244" t="n">
        <v>71</v>
      </c>
      <c r="H174" s="3245" t="inlineStr">
        <is>
          <t>B</t>
        </is>
      </c>
      <c r="I174" s="3246" t="inlineStr">
        <is>
          <t>✅</t>
        </is>
      </c>
      <c r="J174" s="3247" t="inlineStr">
        <is>
          <t>Sélective</t>
        </is>
      </c>
      <c r="K174" s="3243" t="inlineStr">
        <is>
          <t>RAP complet · $60K max · admissibilité · remboursement</t>
        </is>
      </c>
      <c r="L174" s="3247" t="inlineStr">
        <is>
          <t>Plan RAP $60K + FHSA $40K = $100K mise 2030</t>
        </is>
      </c>
      <c r="M174" s="3241" t="inlineStr">
        <is>
          <t>🟢 ACTIF</t>
        </is>
      </c>
      <c r="N174" s="3243" t="inlineStr">
        <is>
          <t>12/03/2026</t>
        </is>
      </c>
      <c r="O174" s="3177" t="n"/>
      <c r="P174" s="3177" t="n"/>
    </row>
    <row r="175" ht="27.75" customHeight="1" s="1666">
      <c r="A175" s="3248" t="n">
        <v>170</v>
      </c>
      <c r="B175" s="3249" t="n">
        <v>193</v>
      </c>
      <c r="C175" s="3250" t="inlineStr">
        <is>
          <t>Insurance Bureau of Canada</t>
        </is>
      </c>
      <c r="D175" s="3251" t="inlineStr">
        <is>
          <t>ibc.ca</t>
        </is>
      </c>
      <c r="E175" s="3251" t="inlineStr">
        <is>
          <t>BANQUE &amp; MAISON 2030</t>
        </is>
      </c>
      <c r="F175" s="3251" t="inlineStr">
        <is>
          <t>Assurance CA</t>
        </is>
      </c>
      <c r="G175" s="3252" t="n">
        <v>71</v>
      </c>
      <c r="H175" s="3253" t="inlineStr">
        <is>
          <t>B</t>
        </is>
      </c>
      <c r="I175" s="3254" t="inlineStr">
        <is>
          <t>✅</t>
        </is>
      </c>
      <c r="J175" s="3255" t="inlineStr">
        <is>
          <t>Sélective</t>
        </is>
      </c>
      <c r="K175" s="3251" t="inlineStr">
        <is>
          <t>Assurance vie · invalidité · habitation · analyses</t>
        </is>
      </c>
      <c r="L175" s="3255" t="inlineStr">
        <is>
          <t>Planification assurance invalidité (policier) · protection</t>
        </is>
      </c>
      <c r="M175" s="3249" t="inlineStr">
        <is>
          <t>🟢 ACTIF</t>
        </is>
      </c>
      <c r="N175" s="3251" t="inlineStr">
        <is>
          <t>12/03/2026</t>
        </is>
      </c>
      <c r="O175" s="3177" t="n"/>
      <c r="P175" s="3177" t="n"/>
    </row>
    <row r="176" ht="27.75" customHeight="1" s="1666">
      <c r="A176" s="3240" t="n">
        <v>171</v>
      </c>
      <c r="B176" s="3241" t="n">
        <v>162</v>
      </c>
      <c r="C176" s="3242" t="inlineStr">
        <is>
          <t>Build Wealth Canada</t>
        </is>
      </c>
      <c r="D176" s="3243" t="inlineStr">
        <is>
          <t>buildwealthcanada.ca</t>
        </is>
      </c>
      <c r="E176" s="3243" t="inlineStr">
        <is>
          <t>PODCASTS &amp; MÉDIAS</t>
        </is>
      </c>
      <c r="F176" s="3243" t="inlineStr">
        <is>
          <t>Podcast CA</t>
        </is>
      </c>
      <c r="G176" s="3244" t="n">
        <v>70</v>
      </c>
      <c r="H176" s="3245" t="inlineStr">
        <is>
          <t>B</t>
        </is>
      </c>
      <c r="I176" s="3246" t="inlineStr">
        <is>
          <t>✅</t>
        </is>
      </c>
      <c r="J176" s="3247" t="inlineStr">
        <is>
          <t>Sélective</t>
        </is>
      </c>
      <c r="K176" s="3243" t="inlineStr">
        <is>
          <t>FIRE CA · optimisation · REER/TFSA · décaissement</t>
        </is>
      </c>
      <c r="L176" s="3247" t="inlineStr">
        <is>
          <t>Cas pratiques · retrait anticipé · spécifique CA</t>
        </is>
      </c>
      <c r="M176" s="3241" t="inlineStr">
        <is>
          <t>🟢 ACTIF</t>
        </is>
      </c>
      <c r="N176" s="3243" t="inlineStr">
        <is>
          <t>12/03/2026</t>
        </is>
      </c>
      <c r="O176" s="3177" t="n"/>
      <c r="P176" s="3177" t="n"/>
    </row>
    <row r="177" ht="27.75" customHeight="1" s="1666">
      <c r="A177" s="3248" t="n">
        <v>172</v>
      </c>
      <c r="B177" s="3249" t="n">
        <v>163</v>
      </c>
      <c r="C177" s="3250" t="inlineStr">
        <is>
          <t>We Study Billionaires</t>
        </is>
      </c>
      <c r="D177" s="3251" t="inlineStr">
        <is>
          <t>theinvestorspodcast.com</t>
        </is>
      </c>
      <c r="E177" s="3251" t="inlineStr">
        <is>
          <t>PODCASTS &amp; MÉDIAS</t>
        </is>
      </c>
      <c r="F177" s="3251" t="inlineStr">
        <is>
          <t>Podcast US</t>
        </is>
      </c>
      <c r="G177" s="3252" t="n">
        <v>70</v>
      </c>
      <c r="H177" s="3253" t="inlineStr">
        <is>
          <t>B</t>
        </is>
      </c>
      <c r="I177" s="3254" t="inlineStr">
        <is>
          <t>✅</t>
        </is>
      </c>
      <c r="J177" s="3255" t="inlineStr">
        <is>
          <t>Sélective</t>
        </is>
      </c>
      <c r="K177" s="3251" t="inlineStr">
        <is>
          <t>Analyse titres · Warren Buffett · Dalio · thèses</t>
        </is>
      </c>
      <c r="L177" s="3255" t="inlineStr">
        <is>
          <t>Thèses approfondies · approche value · T1 inspiration</t>
        </is>
      </c>
      <c r="M177" s="3249" t="inlineStr">
        <is>
          <t>🟢 ACTIF</t>
        </is>
      </c>
      <c r="N177" s="3251" t="inlineStr">
        <is>
          <t>12/03/2026</t>
        </is>
      </c>
      <c r="O177" s="3177" t="n"/>
      <c r="P177" s="3177" t="n"/>
    </row>
    <row r="178" ht="27.75" customHeight="1" s="1666">
      <c r="A178" s="3240" t="n">
        <v>173</v>
      </c>
      <c r="B178" s="3241" t="n">
        <v>164</v>
      </c>
      <c r="C178" s="3242" t="inlineStr">
        <is>
          <t>Acquired Podcast</t>
        </is>
      </c>
      <c r="D178" s="3243" t="inlineStr">
        <is>
          <t>acquired.fm</t>
        </is>
      </c>
      <c r="E178" s="3243" t="inlineStr">
        <is>
          <t>PODCASTS &amp; MÉDIAS</t>
        </is>
      </c>
      <c r="F178" s="3243" t="inlineStr">
        <is>
          <t>Podcast US tech</t>
        </is>
      </c>
      <c r="G178" s="3244" t="n">
        <v>70</v>
      </c>
      <c r="H178" s="3245" t="inlineStr">
        <is>
          <t>B</t>
        </is>
      </c>
      <c r="I178" s="3246" t="inlineStr">
        <is>
          <t>✅</t>
        </is>
      </c>
      <c r="J178" s="3247" t="inlineStr">
        <is>
          <t>Sélective</t>
        </is>
      </c>
      <c r="K178" s="3243" t="inlineStr">
        <is>
          <t>Histoire entreprises: Amazon · NVIDIA · TSMC profond</t>
        </is>
      </c>
      <c r="L178" s="3247" t="inlineStr">
        <is>
          <t>Contexte qualitatif AMZN/NVDA/GOOG · moat profond</t>
        </is>
      </c>
      <c r="M178" s="3241" t="inlineStr">
        <is>
          <t>🟢 ACTIF</t>
        </is>
      </c>
      <c r="N178" s="3243" t="inlineStr">
        <is>
          <t>12/03/2026</t>
        </is>
      </c>
      <c r="O178" s="3177" t="n"/>
      <c r="P178" s="3177" t="n"/>
    </row>
    <row r="179" ht="27.75" customHeight="1" s="1666">
      <c r="A179" s="3248" t="n">
        <v>174</v>
      </c>
      <c r="B179" s="3249" t="n">
        <v>196</v>
      </c>
      <c r="C179" s="3250" t="inlineStr">
        <is>
          <t>REER maison calculator</t>
        </is>
      </c>
      <c r="D179" s="3251" t="inlineStr">
        <is>
          <t>rbc.com/homebuying/rrsp-home-buyers-plan</t>
        </is>
      </c>
      <c r="E179" s="3251" t="inlineStr">
        <is>
          <t>BANQUE &amp; MAISON 2030</t>
        </is>
      </c>
      <c r="F179" s="3251" t="inlineStr">
        <is>
          <t>Outil RBC</t>
        </is>
      </c>
      <c r="G179" s="3252" t="n">
        <v>70</v>
      </c>
      <c r="H179" s="3253" t="inlineStr">
        <is>
          <t>B</t>
        </is>
      </c>
      <c r="I179" s="3254" t="inlineStr">
        <is>
          <t>✅</t>
        </is>
      </c>
      <c r="J179" s="3255" t="inlineStr">
        <is>
          <t>Sélective</t>
        </is>
      </c>
      <c r="K179" s="3251" t="inlineStr">
        <is>
          <t>Simulation RAP · épargne REER pour maison · calendrier</t>
        </is>
      </c>
      <c r="L179" s="3255" t="inlineStr">
        <is>
          <t>Simuler REER $60K RAP · timing 2030 · remboursement</t>
        </is>
      </c>
      <c r="M179" s="3249" t="inlineStr">
        <is>
          <t>🟢 ACTIF</t>
        </is>
      </c>
      <c r="N179" s="3251" t="inlineStr">
        <is>
          <t>12/03/2026</t>
        </is>
      </c>
      <c r="O179" s="3177" t="n"/>
      <c r="P179" s="3177" t="n"/>
    </row>
    <row r="180" ht="27.75" customHeight="1" s="1666">
      <c r="A180" s="3240" t="n">
        <v>175</v>
      </c>
      <c r="B180" s="3241" t="n">
        <v>199</v>
      </c>
      <c r="C180" s="3242" t="inlineStr">
        <is>
          <t>Fonds Solidarité FTQ</t>
        </is>
      </c>
      <c r="D180" s="3243" t="inlineStr">
        <is>
          <t>fondsftq.com/fr</t>
        </is>
      </c>
      <c r="E180" s="3243" t="inlineStr">
        <is>
          <t>BANQUE &amp; MAISON 2030</t>
        </is>
      </c>
      <c r="F180" s="3243" t="inlineStr">
        <is>
          <t>QC officiel</t>
        </is>
      </c>
      <c r="G180" s="3244" t="n">
        <v>70</v>
      </c>
      <c r="H180" s="3245" t="inlineStr">
        <is>
          <t>B</t>
        </is>
      </c>
      <c r="I180" s="3246" t="inlineStr">
        <is>
          <t>✅</t>
        </is>
      </c>
      <c r="J180" s="3247" t="inlineStr">
        <is>
          <t>Sélective</t>
        </is>
      </c>
      <c r="K180" s="3243" t="inlineStr">
        <is>
          <t>Crédit impôt 30% · rendement · liquidité · conditions retrait</t>
        </is>
      </c>
      <c r="L180" s="3247" t="inlineStr">
        <is>
          <t>FTQ REER QC · crédit 30% = ~$1,500 économie impôt/an</t>
        </is>
      </c>
      <c r="M180" s="3241" t="inlineStr">
        <is>
          <t>🟢 ACTIF</t>
        </is>
      </c>
      <c r="N180" s="3243" t="inlineStr">
        <is>
          <t>12/03/2026</t>
        </is>
      </c>
      <c r="O180" s="3177" t="n"/>
      <c r="P180" s="3177" t="n"/>
    </row>
    <row r="181" ht="27.75" customHeight="1" s="1666">
      <c r="A181" s="3248" t="n">
        <v>176</v>
      </c>
      <c r="B181" s="3249" t="n">
        <v>200</v>
      </c>
      <c r="C181" s="3250" t="inlineStr">
        <is>
          <t>Claude (Anthropic) + Web Search</t>
        </is>
      </c>
      <c r="D181" s="3251" t="n"/>
      <c r="E181" s="3251" t="inlineStr">
        <is>
          <t>BANQUE &amp; MAISON 2030</t>
        </is>
      </c>
      <c r="F181" s="3251" t="inlineStr">
        <is>
          <t>IA · Copilote</t>
        </is>
      </c>
      <c r="G181" s="3252" t="n">
        <v>70</v>
      </c>
      <c r="H181" s="3253" t="inlineStr">
        <is>
          <t>B</t>
        </is>
      </c>
      <c r="I181" s="3254" t="inlineStr">
        <is>
          <t>✅</t>
        </is>
      </c>
      <c r="J181" s="3255" t="inlineStr">
        <is>
          <t>Sélective</t>
        </is>
      </c>
      <c r="K181" s="3251" t="inlineStr">
        <is>
          <t>Synthèse · analyse · calculs · fichier · stratégie FI $2.1M</t>
        </is>
      </c>
      <c r="L181" s="3255" t="inlineStr">
        <is>
          <t>⭐⭐⭐⭐⭐ Copilote central · toutes les sources en un</t>
        </is>
      </c>
      <c r="M181" s="3249" t="inlineStr">
        <is>
          <t>🟢 ACTIF</t>
        </is>
      </c>
      <c r="N181" s="3251" t="inlineStr">
        <is>
          <t>12/03/2026</t>
        </is>
      </c>
      <c r="O181" s="3177" t="n"/>
      <c r="P181" s="3177" t="n"/>
    </row>
    <row r="182" ht="27.75" customHeight="1" s="1666">
      <c r="A182" s="1665" t="n">
        <v>201</v>
      </c>
      <c r="B182" s="1665" t="n">
        <v>201</v>
      </c>
      <c r="C182" s="1665" t="inlineStr">
        <is>
          <t>PortfoliosLab ETF Comparison</t>
        </is>
      </c>
      <c r="D182" s="1665" t="inlineStr">
        <is>
          <t>portfolioslab.com</t>
        </is>
      </c>
      <c r="E182" s="1665" t="inlineStr">
        <is>
          <t>ETFs CANADIENS</t>
        </is>
      </c>
      <c r="F182" s="1665" t="inlineStr">
        <is>
          <t>Comparateur ETF</t>
        </is>
      </c>
      <c r="G182" s="1665" t="n">
        <v>88</v>
      </c>
      <c r="H182" s="1665" t="inlineStr">
        <is>
          <t>A ⭐</t>
        </is>
      </c>
      <c r="I182" s="1665" t="inlineStr">
        <is>
          <t>✅</t>
        </is>
      </c>
      <c r="J182" s="1665" t="inlineStr">
        <is>
          <t>Haute</t>
        </is>
      </c>
      <c r="K182" s="1665" t="inlineStr">
        <is>
          <t>Comparaison VFV.TO/XEQT.TO/VEQT · Sharpe · drawdown · rendement</t>
        </is>
      </c>
      <c r="L182" s="1665" t="inlineStr">
        <is>
          <t>Analyse FHSA S34-S35 · XEQT vs VFV Sharpe 1.46 vs 0.83</t>
        </is>
      </c>
      <c r="M182" s="1665" t="inlineStr">
        <is>
          <t>🟢 ACTIF</t>
        </is>
      </c>
      <c r="N182" s="1665" t="inlineStr">
        <is>
          <t>13/03/2026</t>
        </is>
      </c>
      <c r="O182" s="1665" t="inlineStr">
        <is>
          <t>Utilisé S34-S35</t>
        </is>
      </c>
    </row>
    <row r="183" ht="27.75" customHeight="1" s="1666">
      <c r="A183" s="1665" t="n">
        <v>202</v>
      </c>
      <c r="B183" s="1665" t="n">
        <v>202</v>
      </c>
      <c r="C183" s="1665" t="inlineStr">
        <is>
          <t>Canadian Portfolio Manager Blog</t>
        </is>
      </c>
      <c r="D183" s="1665" t="inlineStr">
        <is>
          <t>canadianportfoliomanagerblog.com</t>
        </is>
      </c>
      <c r="E183" s="1665" t="inlineStr">
        <is>
          <t>ETFs CANADIENS</t>
        </is>
      </c>
      <c r="F183" s="1665" t="inlineStr">
        <is>
          <t>Blog CA pro</t>
        </is>
      </c>
      <c r="G183" s="1665" t="n">
        <v>92</v>
      </c>
      <c r="H183" s="1665" t="inlineStr">
        <is>
          <t>AA ⭐⭐</t>
        </is>
      </c>
      <c r="I183" s="1665" t="inlineStr">
        <is>
          <t>✅</t>
        </is>
      </c>
      <c r="J183" s="1665" t="inlineStr">
        <is>
          <t>Haute</t>
        </is>
      </c>
      <c r="K183" s="1665" t="inlineStr">
        <is>
          <t>Rendements annuels all-equity ETFs CA · XEQT/VEQT/ZEQT comparés</t>
        </is>
      </c>
      <c r="L183" s="1665" t="inlineStr">
        <is>
          <t>Référence rendements 2025: XEQT+VEQT +20.5% vs VFV +12.18%</t>
        </is>
      </c>
      <c r="M183" s="1665" t="inlineStr">
        <is>
          <t>🟢 ACTIF</t>
        </is>
      </c>
      <c r="N183" s="1665" t="inlineStr">
        <is>
          <t>13/03/2026</t>
        </is>
      </c>
      <c r="O183" s="1665" t="inlineStr">
        <is>
          <t>Utilisé S34-S35</t>
        </is>
      </c>
    </row>
    <row r="184" ht="27.75" customHeight="1" s="1666">
      <c r="A184" s="1665" t="n">
        <v>203</v>
      </c>
      <c r="B184" s="1665" t="n">
        <v>203</v>
      </c>
      <c r="C184" s="1665" t="inlineStr">
        <is>
          <t>Global Macro Monitor</t>
        </is>
      </c>
      <c r="D184" s="1665" t="inlineStr">
        <is>
          <t>global-macro-monitor.com</t>
        </is>
      </c>
      <c r="E184" s="1665" t="inlineStr">
        <is>
          <t>MACRO &amp; GÉOPOLITIQUE</t>
        </is>
      </c>
      <c r="F184" s="1665" t="inlineStr">
        <is>
          <t>Macro indépendant</t>
        </is>
      </c>
      <c r="G184" s="1665" t="n">
        <v>78</v>
      </c>
      <c r="H184" s="1665" t="inlineStr">
        <is>
          <t>B+</t>
        </is>
      </c>
      <c r="I184" s="1665" t="inlineStr">
        <is>
          <t>✅</t>
        </is>
      </c>
      <c r="J184" s="1665" t="inlineStr">
        <is>
          <t>Sélective</t>
        </is>
      </c>
      <c r="K184" s="1665" t="inlineStr">
        <is>
          <t>Analyses chocs pétroliers · Iran · rotation sectorielle mars 2026</t>
        </is>
      </c>
      <c r="L184" s="1665" t="inlineStr">
        <is>
          <t>Contexte Iran/pétrole/WTI S34 · oil shock vs resilience</t>
        </is>
      </c>
      <c r="M184" s="1665" t="inlineStr">
        <is>
          <t>🟢 ACTIF</t>
        </is>
      </c>
      <c r="N184" s="1665" t="inlineStr">
        <is>
          <t>13/03/2026</t>
        </is>
      </c>
      <c r="O184" s="1665" t="inlineStr">
        <is>
          <t>Utilisé S34-S35</t>
        </is>
      </c>
    </row>
    <row r="185" ht="27.75" customHeight="1" s="1666">
      <c r="A185" s="1665" t="n">
        <v>204</v>
      </c>
      <c r="B185" s="1665" t="n">
        <v>204</v>
      </c>
      <c r="C185" s="1665" t="inlineStr">
        <is>
          <t>Wikipedia Economic Impact 2026 Iran War</t>
        </is>
      </c>
      <c r="D185" s="1665" t="inlineStr">
        <is>
          <t>en.wikipedia.org/wiki/Economic_impact_of_the_2026_Iran_war</t>
        </is>
      </c>
      <c r="E185" s="1665" t="inlineStr">
        <is>
          <t>MACRO &amp; GÉOPOLITIQUE</t>
        </is>
      </c>
      <c r="F185" s="1665" t="inlineStr">
        <is>
          <t>Encyclopédie</t>
        </is>
      </c>
      <c r="G185" s="1665" t="n">
        <v>72</v>
      </c>
      <c r="H185" s="1665" t="inlineStr">
        <is>
          <t>B+</t>
        </is>
      </c>
      <c r="I185" s="1665" t="inlineStr">
        <is>
          <t>✅</t>
        </is>
      </c>
      <c r="J185" s="1665" t="inlineStr">
        <is>
          <t>Sélective</t>
        </is>
      </c>
      <c r="K185" s="1665" t="inlineStr">
        <is>
          <t>Impact économique guerre Iran 2026 · pétrole · marchés · géopolitique</t>
        </is>
      </c>
      <c r="L185" s="1665" t="inlineStr">
        <is>
          <t>Contexte macro S34 · opération Epic Fury · Ormuz</t>
        </is>
      </c>
      <c r="M185" s="1665" t="inlineStr">
        <is>
          <t>🟢 ACTIF</t>
        </is>
      </c>
      <c r="N185" s="1665" t="inlineStr">
        <is>
          <t>13/03/2026</t>
        </is>
      </c>
      <c r="O185" s="1665" t="inlineStr">
        <is>
          <t>Utilisé S34-S35</t>
        </is>
      </c>
    </row>
    <row r="186" ht="27.75" customHeight="1" s="1666">
      <c r="A186" s="1665" t="n">
        <v>205</v>
      </c>
      <c r="B186" s="1665" t="n">
        <v>205</v>
      </c>
      <c r="C186" s="1665" t="inlineStr">
        <is>
          <t>Boomer &amp; Echo Investment Returns</t>
        </is>
      </c>
      <c r="D186" s="1665" t="inlineStr">
        <is>
          <t>boomerandecho.com</t>
        </is>
      </c>
      <c r="E186" s="1665" t="inlineStr">
        <is>
          <t>ETFs CANADIENS</t>
        </is>
      </c>
      <c r="F186" s="1665" t="inlineStr">
        <is>
          <t>Blog CA</t>
        </is>
      </c>
      <c r="G186" s="1665" t="n">
        <v>82</v>
      </c>
      <c r="H186" s="1665" t="inlineStr">
        <is>
          <t>B+</t>
        </is>
      </c>
      <c r="I186" s="1665" t="inlineStr">
        <is>
          <t>✅</t>
        </is>
      </c>
      <c r="J186" s="1665" t="inlineStr">
        <is>
          <t>Sélective</t>
        </is>
      </c>
      <c r="K186" s="1665" t="inlineStr">
        <is>
          <t>Rendements annuels 2024-2025 ETFs CA · VFV/XEQT/VEQT historique</t>
        </is>
      </c>
      <c r="L186" s="1665" t="inlineStr">
        <is>
          <t>Validation historique rendements · VFV 2024 +35.24% vs 2025 +12.18%</t>
        </is>
      </c>
      <c r="M186" s="1665" t="inlineStr">
        <is>
          <t>🟢 ACTIF</t>
        </is>
      </c>
      <c r="N186" s="1665" t="inlineStr">
        <is>
          <t>13/03/2026</t>
        </is>
      </c>
      <c r="O186" s="1665" t="inlineStr">
        <is>
          <t>Utilisé S34-S35</t>
        </is>
      </c>
    </row>
    <row r="187" ht="27.75" customHeight="1" s="1666">
      <c r="A187" s="1665" t="n">
        <v>206</v>
      </c>
      <c r="B187" s="1665" t="n">
        <v>206</v>
      </c>
      <c r="C187" s="1665" t="inlineStr">
        <is>
          <t>BlackRock XEQT Product Brief</t>
        </is>
      </c>
      <c r="D187" s="1665" t="inlineStr">
        <is>
          <t>blackrock.com/ca</t>
        </is>
      </c>
      <c r="E187" s="1665" t="inlineStr">
        <is>
          <t>ETFs CANADIENS</t>
        </is>
      </c>
      <c r="F187" s="1665" t="inlineStr">
        <is>
          <t>Émetteur officiel</t>
        </is>
      </c>
      <c r="G187" s="1665" t="n">
        <v>97</v>
      </c>
      <c r="H187" s="1665" t="inlineStr">
        <is>
          <t>AAA ⭐⭐⭐</t>
        </is>
      </c>
      <c r="I187" s="1665" t="inlineStr">
        <is>
          <t>✅</t>
        </is>
      </c>
      <c r="J187" s="1665" t="inlineStr">
        <is>
          <t>Haute</t>
        </is>
      </c>
      <c r="K187" s="1665" t="inlineStr">
        <is>
          <t>Fiche produit XEQT · composition 45%US/25%CA/25%intl/5%EM · MER 0.20%</t>
        </is>
      </c>
      <c r="L187" s="1665" t="inlineStr">
        <is>
          <t>Source primaire XEQT · allocation géographique officielle</t>
        </is>
      </c>
      <c r="M187" s="1665" t="inlineStr">
        <is>
          <t>🟢 ACTIF</t>
        </is>
      </c>
      <c r="N187" s="1665" t="inlineStr">
        <is>
          <t>13/03/2026</t>
        </is>
      </c>
      <c r="O187" s="1665" t="inlineStr">
        <is>
          <t>Utilisé S34-S35</t>
        </is>
      </c>
    </row>
    <row r="188" ht="27.75" customHeight="1" s="1666">
      <c r="A188" s="1665" t="n">
        <v>207</v>
      </c>
      <c r="B188" s="1665" t="n">
        <v>207</v>
      </c>
      <c r="C188" s="1665" t="inlineStr">
        <is>
          <t>WealthRadiant XEQT vs VFV</t>
        </is>
      </c>
      <c r="D188" s="1665" t="inlineStr">
        <is>
          <t>wealthradiant.com</t>
        </is>
      </c>
      <c r="E188" s="1665" t="inlineStr">
        <is>
          <t>ETFs CANADIENS</t>
        </is>
      </c>
      <c r="F188" s="1665" t="inlineStr">
        <is>
          <t>Analyse CA</t>
        </is>
      </c>
      <c r="G188" s="1665" t="n">
        <v>76</v>
      </c>
      <c r="H188" s="1665" t="inlineStr">
        <is>
          <t>B+</t>
        </is>
      </c>
      <c r="I188" s="1665" t="inlineStr">
        <is>
          <t>✅</t>
        </is>
      </c>
      <c r="J188" s="1665" t="inlineStr">
        <is>
          <t>Sélective</t>
        </is>
      </c>
      <c r="K188" s="1665" t="inlineStr">
        <is>
          <t>Comparaison détaillée XEQT vs VFV · profil investisseur · cas usage</t>
        </is>
      </c>
      <c r="L188" s="1665" t="inlineStr">
        <is>
          <t>Argument 100% XEQT pour investisseur déjà exposé US S34</t>
        </is>
      </c>
      <c r="M188" s="1665" t="inlineStr">
        <is>
          <t>🟢 ACTIF</t>
        </is>
      </c>
      <c r="N188" s="1665" t="inlineStr">
        <is>
          <t>13/03/2026</t>
        </is>
      </c>
      <c r="O188" s="1665" t="inlineStr">
        <is>
          <t>Utilisé S34-S35</t>
        </is>
      </c>
    </row>
    <row r="189" ht="27.75" customHeight="1" s="1666">
      <c r="A189" s="1665" t="n">
        <v>208</v>
      </c>
      <c r="B189" s="1665" t="n">
        <v>208</v>
      </c>
      <c r="C189" s="1665" t="inlineStr">
        <is>
          <t>Vanguard Canada VEQT Fact Sheet</t>
        </is>
      </c>
      <c r="D189" s="1665" t="inlineStr">
        <is>
          <t>fund-docs.vanguard.com</t>
        </is>
      </c>
      <c r="E189" s="1665" t="inlineStr">
        <is>
          <t>ETFs CANADIENS</t>
        </is>
      </c>
      <c r="F189" s="1665" t="inlineStr">
        <is>
          <t>Émetteur officiel</t>
        </is>
      </c>
      <c r="G189" s="1665" t="n">
        <v>97</v>
      </c>
      <c r="H189" s="1665" t="inlineStr">
        <is>
          <t>AAA ⭐⭐⭐</t>
        </is>
      </c>
      <c r="I189" s="1665" t="inlineStr">
        <is>
          <t>✅</t>
        </is>
      </c>
      <c r="J189" s="1665" t="inlineStr">
        <is>
          <t>Sélective</t>
        </is>
      </c>
      <c r="K189" s="1665" t="inlineStr">
        <is>
          <t>VEQT · 44.6%US/30.2%CA/18.5%intl/6.7%EM · MER 0.24%</t>
        </is>
      </c>
      <c r="L189" s="1665" t="inlineStr">
        <is>
          <t>Comparaison VEQT vs XEQT S34 · plus Canada (30% vs 25%)</t>
        </is>
      </c>
      <c r="M189" s="1665" t="inlineStr">
        <is>
          <t>🟢 ACTIF</t>
        </is>
      </c>
      <c r="N189" s="1665" t="inlineStr">
        <is>
          <t>13/03/2026</t>
        </is>
      </c>
      <c r="O189" s="1665" t="inlineStr">
        <is>
          <t>Utilisé S34-S35</t>
        </is>
      </c>
    </row>
    <row r="190" ht="27.75" customHeight="1" s="1666">
      <c r="A190" s="1665" t="n">
        <v>209</v>
      </c>
      <c r="B190" s="1665" t="n">
        <v>209</v>
      </c>
      <c r="C190" s="1665" t="inlineStr">
        <is>
          <t>Seeking Alpha XEQT Analysis</t>
        </is>
      </c>
      <c r="D190" s="1665" t="inlineStr">
        <is>
          <t>seekingalpha.com</t>
        </is>
      </c>
      <c r="E190" s="1665" t="inlineStr">
        <is>
          <t>ETFs CANADIENS</t>
        </is>
      </c>
      <c r="F190" s="1665" t="inlineStr">
        <is>
          <t>Analyse indép.</t>
        </is>
      </c>
      <c r="G190" s="1665" t="n">
        <v>74</v>
      </c>
      <c r="H190" s="1665" t="inlineStr">
        <is>
          <t>B+</t>
        </is>
      </c>
      <c r="I190" s="1665" t="inlineStr">
        <is>
          <t>⚠️ Limité</t>
        </is>
      </c>
      <c r="J190" s="1665" t="inlineStr">
        <is>
          <t>Sélective</t>
        </is>
      </c>
      <c r="K190" s="1665" t="inlineStr">
        <is>
          <t>Analyse XEQT diversification · défensivité vs S&amp;P 500 pur</t>
        </is>
      </c>
      <c r="L190" s="1665" t="inlineStr">
        <is>
          <t>Contexte XEQT S34 · broad diversification for defensiveness</t>
        </is>
      </c>
      <c r="M190" s="1665" t="inlineStr">
        <is>
          <t>🟢 ACTIF</t>
        </is>
      </c>
      <c r="N190" s="1665" t="inlineStr">
        <is>
          <t>13/03/2026</t>
        </is>
      </c>
      <c r="O190" s="1665" t="inlineStr">
        <is>
          <t>Utilisé S34-S35</t>
        </is>
      </c>
    </row>
    <row r="191" ht="27.75" customHeight="1" s="1666">
      <c r="A191" s="1665" t="n">
        <v>210</v>
      </c>
      <c r="B191" s="1665" t="n">
        <v>210</v>
      </c>
      <c r="C191" s="1665" t="inlineStr">
        <is>
          <t>Fidelity Canada FEQT</t>
        </is>
      </c>
      <c r="D191" s="1665" t="inlineStr">
        <is>
          <t>fidelity.ca</t>
        </is>
      </c>
      <c r="E191" s="1665" t="inlineStr">
        <is>
          <t>ETFs CANADIENS</t>
        </is>
      </c>
      <c r="F191" s="1665" t="inlineStr">
        <is>
          <t>Émetteur officiel</t>
        </is>
      </c>
      <c r="G191" s="1665" t="n">
        <v>92</v>
      </c>
      <c r="H191" s="1665" t="inlineStr">
        <is>
          <t>AA ⭐⭐</t>
        </is>
      </c>
      <c r="I191" s="1665" t="inlineStr">
        <is>
          <t>✅</t>
        </is>
      </c>
      <c r="J191" s="1665" t="inlineStr">
        <is>
          <t>Sélective</t>
        </is>
      </c>
      <c r="K191" s="1665" t="inlineStr">
        <is>
          <t>FEQT · MER 0.43% · 3% BTC · rendement 3 ans 15.74% · facteurs actifs</t>
        </is>
      </c>
      <c r="L191" s="1665" t="inlineStr">
        <is>
          <t>Alternative FEQT évaluée S34 · meilleur 3 ans mais MER élevé</t>
        </is>
      </c>
      <c r="M191" s="1665" t="inlineStr">
        <is>
          <t>🟢 ACTIF</t>
        </is>
      </c>
      <c r="N191" s="1665" t="inlineStr">
        <is>
          <t>13/03/2026</t>
        </is>
      </c>
      <c r="O191" s="1665" t="inlineStr">
        <is>
          <t>Utilisé S34-S35</t>
        </is>
      </c>
    </row>
    <row r="192" ht="27.75" customHeight="1" s="1666">
      <c r="A192" s="3240" t="n">
        <v>211</v>
      </c>
      <c r="B192" s="3241" t="n">
        <v>211</v>
      </c>
      <c r="C192" s="3242" t="inlineStr">
        <is>
          <t>Stronger by Science</t>
        </is>
      </c>
      <c r="D192" s="3243" t="inlineStr">
        <is>
          <t>strongerbyscience.com</t>
        </is>
      </c>
      <c r="E192" s="3243" t="inlineStr">
        <is>
          <t>CORPS &amp; PERFORMANCE</t>
        </is>
      </c>
      <c r="F192" s="3243" t="inlineStr">
        <is>
          <t>Science entraînement</t>
        </is>
      </c>
      <c r="G192" s="3244" t="n">
        <v>90</v>
      </c>
      <c r="H192" s="3245" t="inlineStr">
        <is>
          <t>A ⭐</t>
        </is>
      </c>
      <c r="I192" s="3256" t="inlineStr">
        <is>
          <t>⚠️ Payant</t>
        </is>
      </c>
      <c r="J192" s="3247" t="inlineStr">
        <is>
          <t>Sélective</t>
        </is>
      </c>
      <c r="K192" s="3243" t="inlineStr">
        <is>
          <t>Modélisation financière · dashboards · NPV · amortisation</t>
        </is>
      </c>
      <c r="L192" s="3247" t="inlineStr">
        <is>
          <t>Formation structurée GSheets financier · FIRE modeling</t>
        </is>
      </c>
      <c r="M192" s="3241" t="inlineStr">
        <is>
          <t>🟢 ACTIF</t>
        </is>
      </c>
      <c r="N192" s="3243" t="inlineStr">
        <is>
          <t>12/03/2026</t>
        </is>
      </c>
      <c r="O192" s="3177" t="n"/>
      <c r="P192" s="3177" t="n"/>
    </row>
    <row r="193" ht="27.75" customHeight="1" s="1666">
      <c r="A193" s="3248" t="n">
        <v>212</v>
      </c>
      <c r="B193" s="3249" t="n">
        <v>212</v>
      </c>
      <c r="C193" s="3250" t="inlineStr">
        <is>
          <t>Alan Aragon Research Review</t>
        </is>
      </c>
      <c r="D193" s="3251" t="inlineStr">
        <is>
          <t>alanaragon.com</t>
        </is>
      </c>
      <c r="E193" s="3251" t="inlineStr">
        <is>
          <t>CORPS &amp; PERFORMANCE</t>
        </is>
      </c>
      <c r="F193" s="3251" t="inlineStr">
        <is>
          <t>Nutrition science</t>
        </is>
      </c>
      <c r="G193" s="3252" t="n">
        <v>91</v>
      </c>
      <c r="H193" s="3253" t="inlineStr">
        <is>
          <t>AA ⭐⭐</t>
        </is>
      </c>
      <c r="I193" s="3257" t="inlineStr">
        <is>
          <t>⚠️ Payant</t>
        </is>
      </c>
      <c r="J193" s="3255" t="inlineStr">
        <is>
          <t>Sélective</t>
        </is>
      </c>
      <c r="K193" s="3251" t="inlineStr">
        <is>
          <t>20 ans historique · income statement · ratios · WISE()</t>
        </is>
      </c>
      <c r="L193" s="3255" t="inlineStr">
        <is>
          <t>Fondamentaux AVGO/GOOG dans Google Sheets direct</t>
        </is>
      </c>
      <c r="M193" s="3249" t="inlineStr">
        <is>
          <t>🟢 ACTIF</t>
        </is>
      </c>
      <c r="N193" s="3251" t="inlineStr">
        <is>
          <t>12/03/2026</t>
        </is>
      </c>
      <c r="O193" s="3177" t="n"/>
      <c r="P193" s="3177" t="n"/>
    </row>
    <row r="194" ht="27.75" customHeight="1" s="1666">
      <c r="A194" s="3240" t="n">
        <v>213</v>
      </c>
      <c r="B194" s="3241" t="n">
        <v>213</v>
      </c>
      <c r="C194" s="3242" t="inlineStr">
        <is>
          <t>Jeff Nippard (YouTube/Site)</t>
        </is>
      </c>
      <c r="D194" s="3243" t="inlineStr">
        <is>
          <t>youtube.com/@JeffNippard</t>
        </is>
      </c>
      <c r="E194" s="3243" t="inlineStr">
        <is>
          <t>CORPS &amp; PERFORMANCE</t>
        </is>
      </c>
      <c r="F194" s="3243" t="inlineStr">
        <is>
          <t>PPL evidence-based</t>
        </is>
      </c>
      <c r="G194" s="3244" t="n">
        <v>88</v>
      </c>
      <c r="H194" s="3245" t="inlineStr">
        <is>
          <t>A ⭐</t>
        </is>
      </c>
      <c r="I194" s="3246" t="inlineStr">
        <is>
          <t>✅</t>
        </is>
      </c>
      <c r="J194" s="3247" t="inlineStr">
        <is>
          <t>Sélective</t>
        </is>
      </c>
      <c r="K194" s="3243" t="inlineStr">
        <is>
          <t>Macro · AI · tech · réglementation · discussion ouverte</t>
        </is>
      </c>
      <c r="L194" s="3247" t="inlineStr">
        <is>
          <t>Contexte AI/tech · no-nonsense · bull/bear debates</t>
        </is>
      </c>
      <c r="M194" s="3241" t="inlineStr">
        <is>
          <t>🟢 ACTIF</t>
        </is>
      </c>
      <c r="N194" s="3243" t="inlineStr">
        <is>
          <t>12/03/2026</t>
        </is>
      </c>
      <c r="O194" s="3177" t="n"/>
      <c r="P194" s="3177" t="n"/>
    </row>
    <row r="195" ht="27.75" customHeight="1" s="1666">
      <c r="A195" s="3248" t="n">
        <v>214</v>
      </c>
      <c r="B195" s="3249" t="n">
        <v>214</v>
      </c>
      <c r="C195" s="3250" t="inlineStr">
        <is>
          <t>BJJ Fanatics</t>
        </is>
      </c>
      <c r="D195" s="3251" t="inlineStr">
        <is>
          <t>bjjfanatics.com</t>
        </is>
      </c>
      <c r="E195" s="3251" t="inlineStr">
        <is>
          <t>CORPS &amp; PERFORMANCE</t>
        </is>
      </c>
      <c r="F195" s="3251" t="inlineStr">
        <is>
          <t>BJJ technique</t>
        </is>
      </c>
      <c r="G195" s="3252" t="n">
        <v>80</v>
      </c>
      <c r="H195" s="3253" t="inlineStr">
        <is>
          <t>B+</t>
        </is>
      </c>
      <c r="I195" s="3254" t="inlineStr">
        <is>
          <t>✅</t>
        </is>
      </c>
      <c r="J195" s="3255" t="inlineStr">
        <is>
          <t>Sélective</t>
        </is>
      </c>
      <c r="K195" s="3251" t="inlineStr">
        <is>
          <t>Définitions · tutoriels · ratios · stratégies · simulations</t>
        </is>
      </c>
      <c r="L195" s="3255" t="inlineStr">
        <is>
          <t>Vérifier définitions · comprendre métriques nouvelles</t>
        </is>
      </c>
      <c r="M195" s="3249" t="inlineStr">
        <is>
          <t>🟢 ACTIF</t>
        </is>
      </c>
      <c r="N195" s="3251" t="inlineStr">
        <is>
          <t>12/03/2026</t>
        </is>
      </c>
      <c r="O195" s="3177" t="n"/>
      <c r="P195" s="3177" t="n"/>
    </row>
    <row r="196" ht="27.75" customHeight="1" s="1666">
      <c r="A196" s="3240" t="n">
        <v>215</v>
      </c>
      <c r="B196" s="3241" t="n">
        <v>215</v>
      </c>
      <c r="C196" s="3242" t="inlineStr">
        <is>
          <t>Examine.com</t>
        </is>
      </c>
      <c r="D196" s="3243" t="inlineStr">
        <is>
          <t>examine.com</t>
        </is>
      </c>
      <c r="E196" s="3243" t="inlineStr">
        <is>
          <t>CORPS &amp; PERFORMANCE</t>
        </is>
      </c>
      <c r="F196" s="3243" t="inlineStr">
        <is>
          <t>Suppléments science</t>
        </is>
      </c>
      <c r="G196" s="3244" t="n">
        <v>93</v>
      </c>
      <c r="H196" s="3245" t="inlineStr">
        <is>
          <t>AA ⭐⭐</t>
        </is>
      </c>
      <c r="I196" s="3246" t="inlineStr">
        <is>
          <t>✅</t>
        </is>
      </c>
      <c r="J196" s="3247" t="inlineStr">
        <is>
          <t>Sélective</t>
        </is>
      </c>
      <c r="K196" s="3243" t="inlineStr">
        <is>
          <t>Analyses institutionnelles · ESG · allocations · éthique</t>
        </is>
      </c>
      <c r="L196" s="3247" t="inlineStr">
        <is>
          <t>Niveau CFP/CFA · valider approches d'allocation</t>
        </is>
      </c>
      <c r="M196" s="3241" t="inlineStr">
        <is>
          <t>🟢 ACTIF</t>
        </is>
      </c>
      <c r="N196" s="3243" t="inlineStr">
        <is>
          <t>12/03/2026</t>
        </is>
      </c>
      <c r="O196" s="3177" t="n"/>
      <c r="P196" s="3177" t="n"/>
    </row>
    <row r="197" ht="27.75" customHeight="1" s="1666">
      <c r="A197" s="3248" t="n">
        <v>216</v>
      </c>
      <c r="B197" s="3249" t="n">
        <v>216</v>
      </c>
      <c r="C197" s="3250" t="inlineStr">
        <is>
          <t>Atomic Habits — James Clear</t>
        </is>
      </c>
      <c r="D197" s="3251" t="inlineStr">
        <is>
          <t>jamesclear.com</t>
        </is>
      </c>
      <c r="E197" s="3251" t="inlineStr">
        <is>
          <t>CULTURE &amp; DÉVELOPPEMENT</t>
        </is>
      </c>
      <c r="F197" s="3251" t="inlineStr">
        <is>
          <t>Habits / systèmes</t>
        </is>
      </c>
      <c r="G197" s="3252" t="n">
        <v>92</v>
      </c>
      <c r="H197" s="3253" t="inlineStr">
        <is>
          <t>AA ⭐⭐</t>
        </is>
      </c>
      <c r="I197" s="3254" t="inlineStr">
        <is>
          <t>✅</t>
        </is>
      </c>
      <c r="J197" s="3255" t="inlineStr">
        <is>
          <t>Sélective</t>
        </is>
      </c>
      <c r="K197" s="3251" t="inlineStr">
        <is>
          <t>Gestion active vs passive · evidence CA · coûts</t>
        </is>
      </c>
      <c r="L197" s="3255" t="inlineStr">
        <is>
          <t>Perspective professionnelle CA · critique fonds actifs</t>
        </is>
      </c>
      <c r="M197" s="3249" t="inlineStr">
        <is>
          <t>🟢 ACTIF</t>
        </is>
      </c>
      <c r="N197" s="3251" t="inlineStr">
        <is>
          <t>12/03/2026</t>
        </is>
      </c>
      <c r="O197" s="3177" t="n"/>
      <c r="P197" s="3177" t="n"/>
    </row>
    <row r="198" ht="27.75" customHeight="1" s="1666">
      <c r="A198" s="3240" t="n">
        <v>217</v>
      </c>
      <c r="B198" s="3241" t="n">
        <v>217</v>
      </c>
      <c r="C198" s="3242" t="inlineStr">
        <is>
          <t>Morgan Housel Blog</t>
        </is>
      </c>
      <c r="D198" s="3243" t="inlineStr">
        <is>
          <t>collabfund.com/blog</t>
        </is>
      </c>
      <c r="E198" s="3243" t="inlineStr">
        <is>
          <t>CULTURE &amp; DÉVELOPPEMENT</t>
        </is>
      </c>
      <c r="F198" s="3243" t="inlineStr">
        <is>
          <t>Finance / psychologie</t>
        </is>
      </c>
      <c r="G198" s="3244" t="n">
        <v>91</v>
      </c>
      <c r="H198" s="3245" t="inlineStr">
        <is>
          <t>AA ⭐⭐</t>
        </is>
      </c>
      <c r="I198" s="3246" t="inlineStr">
        <is>
          <t>✅</t>
        </is>
      </c>
      <c r="J198" s="3247" t="inlineStr">
        <is>
          <t>Sélective</t>
        </is>
      </c>
      <c r="K198" s="3243" t="inlineStr">
        <is>
          <t>Vidéos evidence-based · facteurs · erreurs courantes</t>
        </is>
      </c>
      <c r="L198" s="3247" t="inlineStr">
        <is>
          <t>Best vulgarisation finance CA · anti-hype · fiable</t>
        </is>
      </c>
      <c r="M198" s="3241" t="inlineStr">
        <is>
          <t>🟢 ACTIF</t>
        </is>
      </c>
      <c r="N198" s="3243" t="inlineStr">
        <is>
          <t>12/03/2026</t>
        </is>
      </c>
      <c r="O198" s="3177" t="n"/>
      <c r="P198" s="3177" t="n"/>
    </row>
    <row r="199" ht="27.75" customHeight="1" s="1666">
      <c r="A199" s="3248" t="n">
        <v>218</v>
      </c>
      <c r="B199" s="3249" t="n">
        <v>218</v>
      </c>
      <c r="C199" s="3250" t="inlineStr">
        <is>
          <t>Centris.ca</t>
        </is>
      </c>
      <c r="D199" s="3251" t="inlineStr">
        <is>
          <t>centris.ca</t>
        </is>
      </c>
      <c r="E199" s="3251" t="inlineStr">
        <is>
          <t>PROJET DE VIE · MAISON</t>
        </is>
      </c>
      <c r="F199" s="3251" t="inlineStr">
        <is>
          <t>Immobilier QC officiel</t>
        </is>
      </c>
      <c r="G199" s="3252" t="n">
        <v>94</v>
      </c>
      <c r="H199" s="3253" t="inlineStr">
        <is>
          <t>AA ⭐⭐</t>
        </is>
      </c>
      <c r="I199" s="3254" t="inlineStr">
        <is>
          <t>✅</t>
        </is>
      </c>
      <c r="J199" s="3255" t="inlineStr">
        <is>
          <t>Sélective</t>
        </is>
      </c>
      <c r="K199" s="3251" t="inlineStr">
        <is>
          <t>Forums FIRE · calculateurs · expériences · ressources</t>
        </is>
      </c>
      <c r="L199" s="3255" t="inlineStr">
        <is>
          <t>Communauté FI CA · partage · validation stratégies</t>
        </is>
      </c>
      <c r="M199" s="3249" t="inlineStr">
        <is>
          <t>🟢 ACTIF</t>
        </is>
      </c>
      <c r="N199" s="3251" t="inlineStr">
        <is>
          <t>12/03/2026</t>
        </is>
      </c>
      <c r="O199" s="3177" t="n"/>
      <c r="P199" s="3177" t="n"/>
    </row>
    <row r="200" ht="27.75" customHeight="1" s="1666">
      <c r="A200" s="3240" t="n">
        <v>219</v>
      </c>
      <c r="B200" s="3241" t="n">
        <v>219</v>
      </c>
      <c r="C200" s="3242" t="inlineStr">
        <is>
          <t>SCHL — Société hypothèque Canada</t>
        </is>
      </c>
      <c r="D200" s="3243" t="inlineStr">
        <is>
          <t>cmhc-schl.gc.ca</t>
        </is>
      </c>
      <c r="E200" s="3243" t="inlineStr">
        <is>
          <t>PROJET DE VIE · MAISON</t>
        </is>
      </c>
      <c r="F200" s="3243" t="inlineStr">
        <is>
          <t>Hypothèque CA officiel</t>
        </is>
      </c>
      <c r="G200" s="3244" t="n">
        <v>97</v>
      </c>
      <c r="H200" s="3245" t="inlineStr">
        <is>
          <t>AAA ⭐⭐⭐</t>
        </is>
      </c>
      <c r="I200" s="3246" t="inlineStr">
        <is>
          <t>✅</t>
        </is>
      </c>
      <c r="J200" s="3247" t="inlineStr">
        <is>
          <t>Sélective</t>
        </is>
      </c>
      <c r="K200" s="3243" t="inlineStr">
        <is>
          <t>Simulation Monte Carlo · SWR · durée · actifs</t>
        </is>
      </c>
      <c r="L200" s="3247" t="inlineStr">
        <is>
          <t>Simuler SWR $2.1M · durée 30 ans · scénarios marchés</t>
        </is>
      </c>
      <c r="M200" s="3241" t="inlineStr">
        <is>
          <t>🟢 ACTIF</t>
        </is>
      </c>
      <c r="N200" s="3243" t="inlineStr">
        <is>
          <t>12/03/2026</t>
        </is>
      </c>
      <c r="O200" s="3177" t="n"/>
      <c r="P200" s="3177" t="n"/>
    </row>
    <row r="201" ht="27.75" customHeight="1" s="1666">
      <c r="A201" s="3248" t="n">
        <v>220</v>
      </c>
      <c r="B201" s="3249" t="n">
        <v>220</v>
      </c>
      <c r="C201" s="3250" t="inlineStr">
        <is>
          <t>NutritionFacts.org — Dr Greger</t>
        </is>
      </c>
      <c r="D201" s="3251" t="inlineStr">
        <is>
          <t>nutritionfacts.org</t>
        </is>
      </c>
      <c r="E201" s="3251" t="inlineStr">
        <is>
          <t>CORPS &amp; PERFORMANCE</t>
        </is>
      </c>
      <c r="F201" s="3251" t="inlineStr">
        <is>
          <t>Nutrition evidence-based</t>
        </is>
      </c>
      <c r="G201" s="3252" t="n">
        <v>85</v>
      </c>
      <c r="H201" s="3253" t="inlineStr">
        <is>
          <t>A ⭐</t>
        </is>
      </c>
      <c r="I201" s="3257" t="inlineStr">
        <is>
          <t>⚠️ Limité</t>
        </is>
      </c>
      <c r="J201" s="3255" t="inlineStr">
        <is>
          <t>Sélective</t>
        </is>
      </c>
      <c r="K201" s="3251" t="inlineStr">
        <is>
          <t>Analyses profondes chips · AI · wafer · supply chain</t>
        </is>
      </c>
      <c r="L201" s="3255" t="inlineStr">
        <is>
          <t>Contexte AVGO custom silicon · NVDA · SMH thèse</t>
        </is>
      </c>
      <c r="M201" s="3249" t="inlineStr">
        <is>
          <t>🟢 ACTIF</t>
        </is>
      </c>
      <c r="N201" s="3251" t="inlineStr">
        <is>
          <t>12/03/2026</t>
        </is>
      </c>
      <c r="O201" s="3177" t="n"/>
      <c r="P201" s="3177" t="n"/>
    </row>
    <row r="202" ht="27.75" customHeight="1" s="1666">
      <c r="A202" s="3240" t="n">
        <v>187</v>
      </c>
      <c r="B202" s="3241" t="n">
        <v>149</v>
      </c>
      <c r="C202" s="3242" t="inlineStr">
        <is>
          <t>Wood Mackenzie Energy</t>
        </is>
      </c>
      <c r="D202" s="3243" t="inlineStr">
        <is>
          <t>woodmac.com</t>
        </is>
      </c>
      <c r="E202" s="3243" t="inlineStr">
        <is>
          <t>SECTEURS SPÉCIALISÉS</t>
        </is>
      </c>
      <c r="F202" s="3243" t="inlineStr">
        <is>
          <t>Énergie pro</t>
        </is>
      </c>
      <c r="G202" s="3244" t="n">
        <v>68</v>
      </c>
      <c r="H202" s="3245" t="inlineStr">
        <is>
          <t>B</t>
        </is>
      </c>
      <c r="I202" s="3256" t="inlineStr">
        <is>
          <t>⚠️ Pro</t>
        </is>
      </c>
      <c r="J202" s="3247" t="inlineStr">
        <is>
          <t>Sélective</t>
        </is>
      </c>
      <c r="K202" s="3243" t="inlineStr">
        <is>
          <t>Analyses pipeline · énergie renouvelable · transition</t>
        </is>
      </c>
      <c r="L202" s="3247" t="inlineStr">
        <is>
          <t>Contexte ENB · GEV grid · transition énergétique</t>
        </is>
      </c>
      <c r="M202" s="3241" t="inlineStr">
        <is>
          <t>🟢 ACTIF</t>
        </is>
      </c>
      <c r="N202" s="3243" t="inlineStr">
        <is>
          <t>12/03/2026</t>
        </is>
      </c>
      <c r="O202" s="3177" t="n"/>
      <c r="P202" s="3177" t="n"/>
    </row>
    <row r="203" ht="27.75" customHeight="1" s="1666">
      <c r="A203" s="3248" t="n">
        <v>188</v>
      </c>
      <c r="B203" s="3249" t="n">
        <v>181</v>
      </c>
      <c r="C203" s="3250" t="inlineStr">
        <is>
          <t>Calculateur REER ARC</t>
        </is>
      </c>
      <c r="D203" s="3251" t="inlineStr">
        <is>
          <t>canada.ca/calculateur-reer</t>
        </is>
      </c>
      <c r="E203" s="3251" t="inlineStr">
        <is>
          <t>COMMUNAUTÉS &amp; OUTILS</t>
        </is>
      </c>
      <c r="F203" s="3251" t="inlineStr">
        <is>
          <t>Officiel</t>
        </is>
      </c>
      <c r="G203" s="3252" t="n">
        <v>68</v>
      </c>
      <c r="H203" s="3253" t="inlineStr">
        <is>
          <t>B</t>
        </is>
      </c>
      <c r="I203" s="3254" t="inlineStr">
        <is>
          <t>✅</t>
        </is>
      </c>
      <c r="J203" s="3255" t="inlineStr">
        <is>
          <t>Sélective</t>
        </is>
      </c>
      <c r="K203" s="3251" t="inlineStr">
        <is>
          <t>Économies REER · projection · taux effectif</t>
        </is>
      </c>
      <c r="L203" s="3255" t="inlineStr">
        <is>
          <t>Valider calculs économies REER 52.98% ·$1,060/mois</t>
        </is>
      </c>
      <c r="M203" s="3249" t="inlineStr">
        <is>
          <t>🟢 ACTIF</t>
        </is>
      </c>
      <c r="N203" s="3251" t="inlineStr">
        <is>
          <t>12/03/2026</t>
        </is>
      </c>
      <c r="O203" s="3177" t="n"/>
      <c r="P203" s="3177" t="n"/>
    </row>
    <row r="204" ht="27.75" customHeight="1" s="1666">
      <c r="A204" s="3240" t="n">
        <v>189</v>
      </c>
      <c r="B204" s="3241" t="n">
        <v>136</v>
      </c>
      <c r="C204" s="3242" t="inlineStr">
        <is>
          <t>TradingView Charts</t>
        </is>
      </c>
      <c r="D204" s="3243" t="inlineStr">
        <is>
          <t>tradingview.com</t>
        </is>
      </c>
      <c r="E204" s="3243" t="inlineStr">
        <is>
          <t>ANALYSE TECHNIQUE</t>
        </is>
      </c>
      <c r="F204" s="3243" t="inlineStr">
        <is>
          <t>Graphiques avancés</t>
        </is>
      </c>
      <c r="G204" s="3244" t="n">
        <v>67</v>
      </c>
      <c r="H204" s="3245" t="inlineStr">
        <is>
          <t>B</t>
        </is>
      </c>
      <c r="I204" s="3256" t="inlineStr">
        <is>
          <t>⚠️ Limité</t>
        </is>
      </c>
      <c r="J204" s="3247" t="inlineStr">
        <is>
          <t>Sélective</t>
        </is>
      </c>
      <c r="K204" s="3243" t="inlineStr">
        <is>
          <t>MA20/50/200 · RSI · MACD · Bollinger · volumes · alertes</t>
        </is>
      </c>
      <c r="L204" s="3247" t="inlineStr">
        <is>
          <t>Analyse T1 avant achat · supports clés SMH/AVGO/GEV</t>
        </is>
      </c>
      <c r="M204" s="3241" t="inlineStr">
        <is>
          <t>🟢 ACTIF</t>
        </is>
      </c>
      <c r="N204" s="3243" t="inlineStr">
        <is>
          <t>12/03/2026</t>
        </is>
      </c>
      <c r="O204" s="3177" t="n"/>
      <c r="P204" s="3177" t="n"/>
    </row>
    <row r="205" ht="27.75" customHeight="1" s="1666">
      <c r="A205" s="3248" t="n">
        <v>190</v>
      </c>
      <c r="B205" s="3249" t="n">
        <v>137</v>
      </c>
      <c r="C205" s="3250" t="inlineStr">
        <is>
          <t>Stockcharts.com</t>
        </is>
      </c>
      <c r="D205" s="3251" t="inlineStr">
        <is>
          <t>stockcharts.com</t>
        </is>
      </c>
      <c r="E205" s="3251" t="inlineStr">
        <is>
          <t>ANALYSE TECHNIQUE</t>
        </is>
      </c>
      <c r="F205" s="3251" t="inlineStr">
        <is>
          <t>Technique pro</t>
        </is>
      </c>
      <c r="G205" s="3252" t="n">
        <v>67</v>
      </c>
      <c r="H205" s="3253" t="inlineStr">
        <is>
          <t>B</t>
        </is>
      </c>
      <c r="I205" s="3257" t="inlineStr">
        <is>
          <t>⚠️ Limité</t>
        </is>
      </c>
      <c r="J205" s="3255" t="inlineStr">
        <is>
          <t>Sélective</t>
        </is>
      </c>
      <c r="K205" s="3251" t="inlineStr">
        <is>
          <t>Point&amp;Figure · SCTR · breadth · secteurs · ratio charts</t>
        </is>
      </c>
      <c r="L205" s="3255" t="inlineStr">
        <is>
          <t>Analyse sectorielle tech/semis · force relative T1 vs TSX</t>
        </is>
      </c>
      <c r="M205" s="3249" t="inlineStr">
        <is>
          <t>🟢 ACTIF</t>
        </is>
      </c>
      <c r="N205" s="3251" t="inlineStr">
        <is>
          <t>12/03/2026</t>
        </is>
      </c>
      <c r="O205" s="3177" t="n"/>
      <c r="P205" s="3177" t="n"/>
    </row>
    <row r="206">
      <c r="A206" s="3240" t="n">
        <v>191</v>
      </c>
      <c r="B206" s="3241" t="n">
        <v>140</v>
      </c>
      <c r="C206" s="3242" t="inlineStr">
        <is>
          <t>Barchart Options Flow</t>
        </is>
      </c>
      <c r="D206" s="3243" t="inlineStr">
        <is>
          <t>barchart.com/stocks/unusual-activity</t>
        </is>
      </c>
      <c r="E206" s="3243" t="inlineStr">
        <is>
          <t>ANALYSE TECHNIQUE</t>
        </is>
      </c>
      <c r="F206" s="3243" t="inlineStr">
        <is>
          <t>Options/Activité</t>
        </is>
      </c>
      <c r="G206" s="3244" t="n">
        <v>67</v>
      </c>
      <c r="H206" s="3245" t="inlineStr">
        <is>
          <t>B</t>
        </is>
      </c>
      <c r="I206" s="3256" t="inlineStr">
        <is>
          <t>⚠️ Limité</t>
        </is>
      </c>
      <c r="J206" s="3247" t="inlineStr">
        <is>
          <t>Sélective</t>
        </is>
      </c>
      <c r="K206" s="3243" t="inlineStr">
        <is>
          <t>Activité options inhabituelles · smart money signals</t>
        </is>
      </c>
      <c r="L206" s="3247" t="inlineStr">
        <is>
          <t>Détecter activité institutionnelle avant earnings T1</t>
        </is>
      </c>
      <c r="M206" s="3241" t="inlineStr">
        <is>
          <t>🟢 ACTIF</t>
        </is>
      </c>
      <c r="N206" s="3243" t="inlineStr">
        <is>
          <t>12/03/2026</t>
        </is>
      </c>
      <c r="O206" s="3177" t="n"/>
      <c r="P206" s="3177" t="n"/>
    </row>
    <row r="207" ht="24" customHeight="1" s="1666">
      <c r="A207" s="3248" t="n">
        <v>192</v>
      </c>
      <c r="B207" s="2089" t="n"/>
      <c r="C207" s="2089" t="n"/>
      <c r="D207" s="2089" t="n"/>
      <c r="E207" s="2089" t="n"/>
      <c r="F207" s="2089" t="n"/>
      <c r="G207" s="2089" t="n"/>
      <c r="H207" s="2089" t="n"/>
      <c r="I207" s="2089" t="n"/>
      <c r="J207" s="2089" t="n"/>
      <c r="K207" s="2089" t="n"/>
      <c r="L207" s="2089" t="n"/>
      <c r="M207" s="2089" t="n"/>
      <c r="N207" s="2089" t="n"/>
      <c r="O207" s="2089" t="n"/>
      <c r="P207" s="2090" t="n"/>
    </row>
    <row r="208" ht="19.5" customHeight="1" s="1666">
      <c r="A208" s="3240" t="n">
        <v>193</v>
      </c>
      <c r="B208" s="3241" t="n">
        <v>158</v>
      </c>
      <c r="C208" s="3242" t="inlineStr">
        <is>
          <t>Uranium Insider</t>
        </is>
      </c>
      <c r="D208" s="3243" t="inlineStr">
        <is>
          <t>uraniuminsider.com</t>
        </is>
      </c>
      <c r="E208" s="3243" t="inlineStr">
        <is>
          <t>SECTEURS SPÉCIALISÉS</t>
        </is>
      </c>
      <c r="F208" s="3243" t="inlineStr">
        <is>
          <t>Uranium</t>
        </is>
      </c>
      <c r="G208" s="3244" t="n">
        <v>67</v>
      </c>
      <c r="H208" s="3245" t="inlineStr">
        <is>
          <t>B</t>
        </is>
      </c>
      <c r="I208" s="3256" t="inlineStr">
        <is>
          <t>⚠️ Limité</t>
        </is>
      </c>
      <c r="J208" s="3247" t="inlineStr">
        <is>
          <t>Sélective</t>
        </is>
      </c>
      <c r="K208" s="3243" t="inlineStr">
        <is>
          <t>Spot price · utilities · contrats · production · reactor builds</t>
        </is>
      </c>
      <c r="L208" s="3247" t="inlineStr">
        <is>
          <t>Contexte HURA.TO · cycle uranium long terme T3</t>
        </is>
      </c>
      <c r="M208" s="3241" t="inlineStr">
        <is>
          <t>🟢 ACTIF</t>
        </is>
      </c>
      <c r="N208" s="3243" t="inlineStr">
        <is>
          <t>12/03/2026</t>
        </is>
      </c>
      <c r="O208" s="3177" t="n"/>
      <c r="P208" s="3177" t="n"/>
    </row>
    <row r="209">
      <c r="A209" s="3248" t="n">
        <v>194</v>
      </c>
      <c r="B209" s="3249" t="n">
        <v>147</v>
      </c>
      <c r="C209" s="3250" t="inlineStr">
        <is>
          <t>The Information AI</t>
        </is>
      </c>
      <c r="D209" s="3251" t="inlineStr">
        <is>
          <t>theinformation.com</t>
        </is>
      </c>
      <c r="E209" s="3251" t="inlineStr">
        <is>
          <t>SECTEURS SPÉCIALISÉS</t>
        </is>
      </c>
      <c r="F209" s="3251" t="inlineStr">
        <is>
          <t>AI/Tech</t>
        </is>
      </c>
      <c r="G209" s="3252" t="n">
        <v>65</v>
      </c>
      <c r="H209" s="3253" t="inlineStr">
        <is>
          <t>B</t>
        </is>
      </c>
      <c r="I209" s="3257" t="inlineStr">
        <is>
          <t>⚠️ Payant</t>
        </is>
      </c>
      <c r="J209" s="3255" t="inlineStr">
        <is>
          <t>Sélective</t>
        </is>
      </c>
      <c r="K209" s="3251" t="inlineStr">
        <is>
          <t>Scoop AI · hyperscalers capex · modèles · deals</t>
        </is>
      </c>
      <c r="L209" s="3255" t="inlineStr">
        <is>
          <t>Contexte AI spending → AVGO/GEV/GOOG/AMZN</t>
        </is>
      </c>
      <c r="M209" s="3249" t="inlineStr">
        <is>
          <t>🟢 ACTIF</t>
        </is>
      </c>
      <c r="N209" s="3251" t="inlineStr">
        <is>
          <t>12/03/2026</t>
        </is>
      </c>
      <c r="O209" s="3177" t="n"/>
      <c r="P209" s="3177" t="n"/>
    </row>
    <row r="210" ht="19.5" customHeight="1" s="1666">
      <c r="A210" s="3240" t="n">
        <v>195</v>
      </c>
      <c r="B210" s="3241" t="n">
        <v>198</v>
      </c>
      <c r="C210" s="3242" t="inlineStr">
        <is>
          <t>HSBC Global Research (via Bloomberg)</t>
        </is>
      </c>
      <c r="D210" s="3243" t="n"/>
      <c r="E210" s="3243" t="inlineStr">
        <is>
          <t>BANQUE &amp; MAISON 2030</t>
        </is>
      </c>
      <c r="F210" s="3243" t="inlineStr">
        <is>
          <t>Macro international</t>
        </is>
      </c>
      <c r="G210" s="3244" t="n">
        <v>65</v>
      </c>
      <c r="H210" s="3245" t="inlineStr">
        <is>
          <t>B</t>
        </is>
      </c>
      <c r="I210" s="3256" t="inlineStr">
        <is>
          <t>⚠️ Pro</t>
        </is>
      </c>
      <c r="J210" s="3247" t="inlineStr">
        <is>
          <t>Sélective</t>
        </is>
      </c>
      <c r="K210" s="3243" t="inlineStr">
        <is>
          <t>Analyses géopolitiques · devises · marchés émergents</t>
        </is>
      </c>
      <c r="L210" s="3247" t="inlineStr">
        <is>
          <t>Contexte macro global · risques géopolitiques USD/CAD</t>
        </is>
      </c>
      <c r="M210" s="3241" t="inlineStr">
        <is>
          <t>🟢 ACTIF</t>
        </is>
      </c>
      <c r="N210" s="3243" t="inlineStr">
        <is>
          <t>12/03/2026</t>
        </is>
      </c>
      <c r="O210" s="3177" t="n"/>
      <c r="P210" s="3177" t="n"/>
    </row>
    <row r="211">
      <c r="A211" s="3248" t="n">
        <v>196</v>
      </c>
      <c r="B211" s="3249" t="n">
        <v>145</v>
      </c>
      <c r="C211" s="3250" t="inlineStr">
        <is>
          <t>Sentimentrader</t>
        </is>
      </c>
      <c r="D211" s="3251" t="inlineStr">
        <is>
          <t>sentimentrader.com</t>
        </is>
      </c>
      <c r="E211" s="3251" t="inlineStr">
        <is>
          <t>ANALYSE TECHNIQUE</t>
        </is>
      </c>
      <c r="F211" s="3251" t="inlineStr">
        <is>
          <t>Sentiment pro</t>
        </is>
      </c>
      <c r="G211" s="3252" t="n">
        <v>64</v>
      </c>
      <c r="H211" s="3253" t="inlineStr">
        <is>
          <t>B</t>
        </is>
      </c>
      <c r="I211" s="3257" t="inlineStr">
        <is>
          <t>⚠️ Payant</t>
        </is>
      </c>
      <c r="J211" s="3255" t="inlineStr">
        <is>
          <t>Sélective</t>
        </is>
      </c>
      <c r="K211" s="3251" t="inlineStr">
        <is>
          <t>Smart money vs dumb money · sentiment historique · breadth</t>
        </is>
      </c>
      <c r="L211" s="3255" t="inlineStr">
        <is>
          <t>Contexte sentiment pro · signaux contrarians avancés</t>
        </is>
      </c>
      <c r="M211" s="3249" t="inlineStr">
        <is>
          <t>🟢 ACTIF</t>
        </is>
      </c>
      <c r="N211" s="3251" t="inlineStr">
        <is>
          <t>12/03/2026</t>
        </is>
      </c>
      <c r="O211" s="3177" t="n"/>
      <c r="P211" s="3177" t="n"/>
    </row>
    <row r="212">
      <c r="A212" s="3240" t="n">
        <v>197</v>
      </c>
      <c r="B212" s="3241" t="n">
        <v>150</v>
      </c>
      <c r="C212" s="3242" t="inlineStr">
        <is>
          <t>S&amp;P Global Platts Energy</t>
        </is>
      </c>
      <c r="D212" s="3243" t="inlineStr">
        <is>
          <t>spglobal.com/commodity-insights</t>
        </is>
      </c>
      <c r="E212" s="3243" t="inlineStr">
        <is>
          <t>SECTEURS SPÉCIALISÉS</t>
        </is>
      </c>
      <c r="F212" s="3243" t="inlineStr">
        <is>
          <t>Énergie données</t>
        </is>
      </c>
      <c r="G212" s="3244" t="n">
        <v>64</v>
      </c>
      <c r="H212" s="3245" t="inlineStr">
        <is>
          <t>B</t>
        </is>
      </c>
      <c r="I212" s="3256" t="inlineStr">
        <is>
          <t>⚠️ Payant</t>
        </is>
      </c>
      <c r="J212" s="3247" t="inlineStr">
        <is>
          <t>Sélective</t>
        </is>
      </c>
      <c r="K212" s="3243" t="inlineStr">
        <is>
          <t>Prix pétrole/gaz · LNG · pipeline · data Platts</t>
        </is>
      </c>
      <c r="L212" s="3247" t="inlineStr">
        <is>
          <t>Fondements ENB.TO · valorisation infrastructures</t>
        </is>
      </c>
      <c r="M212" s="3241" t="inlineStr">
        <is>
          <t>🟢 ACTIF</t>
        </is>
      </c>
      <c r="N212" s="3243" t="inlineStr">
        <is>
          <t>12/03/2026</t>
        </is>
      </c>
      <c r="O212" s="3177" t="n"/>
      <c r="P212" s="3177" t="n"/>
    </row>
    <row r="213">
      <c r="A213" s="3248" t="n">
        <v>198</v>
      </c>
      <c r="B213" s="3249" t="n">
        <v>184</v>
      </c>
      <c r="C213" s="3250" t="inlineStr">
        <is>
          <t>Passiv App</t>
        </is>
      </c>
      <c r="D213" s="3251" t="inlineStr">
        <is>
          <t>passiv.com</t>
        </is>
      </c>
      <c r="E213" s="3251" t="inlineStr">
        <is>
          <t>COMMUNAUTÉS &amp; OUTILS</t>
        </is>
      </c>
      <c r="F213" s="3251" t="inlineStr">
        <is>
          <t>Portfolio manager CA</t>
        </is>
      </c>
      <c r="G213" s="3252" t="n">
        <v>63</v>
      </c>
      <c r="H213" s="3253" t="inlineStr">
        <is>
          <t>B</t>
        </is>
      </c>
      <c r="I213" s="3257" t="inlineStr">
        <is>
          <t>⚠️ Limité</t>
        </is>
      </c>
      <c r="J213" s="3255" t="inlineStr">
        <is>
          <t>Sélective</t>
        </is>
      </c>
      <c r="K213" s="3251" t="inlineStr">
        <is>
          <t>Questrade integration · rebalancement auto · alloc cibles</t>
        </is>
      </c>
      <c r="L213" s="3255" t="inlineStr">
        <is>
          <t>Automatiser rebalancement Questrade · si décaissement FI</t>
        </is>
      </c>
      <c r="M213" s="3249" t="inlineStr">
        <is>
          <t>🟢 ACTIF</t>
        </is>
      </c>
      <c r="N213" s="3251" t="inlineStr">
        <is>
          <t>12/03/2026</t>
        </is>
      </c>
      <c r="O213" s="3177" t="n"/>
      <c r="P213" s="3177" t="n"/>
    </row>
    <row r="214" ht="21.75" customHeight="1" s="1666">
      <c r="A214" s="3240" t="n">
        <v>199</v>
      </c>
      <c r="B214" s="2089" t="n"/>
      <c r="C214" s="2089" t="n"/>
      <c r="D214" s="2089" t="n"/>
      <c r="E214" s="2089" t="n"/>
      <c r="F214" s="2089" t="n"/>
      <c r="G214" s="2089" t="n"/>
      <c r="H214" s="2089" t="n"/>
      <c r="I214" s="2089" t="n"/>
      <c r="J214" s="2089" t="n"/>
      <c r="K214" s="2089" t="n"/>
      <c r="L214" s="2089" t="n"/>
      <c r="M214" s="2089" t="n"/>
      <c r="N214" s="2089" t="n"/>
      <c r="O214" s="2089" t="n"/>
      <c r="P214" s="2090" t="n"/>
    </row>
    <row r="215" ht="19.5" customHeight="1" s="1666">
      <c r="A215" s="3248" t="n">
        <v>200</v>
      </c>
      <c r="B215" s="3249" t="n">
        <v>180</v>
      </c>
      <c r="C215" s="2089" t="n"/>
      <c r="D215" s="2089" t="n"/>
      <c r="E215" s="2089" t="n"/>
      <c r="F215" s="2089" t="n"/>
      <c r="G215" s="2089" t="n"/>
      <c r="H215" s="2089" t="n"/>
      <c r="I215" s="2089" t="n"/>
      <c r="J215" s="2089" t="n"/>
      <c r="K215" s="2089" t="n"/>
      <c r="L215" s="2089" t="n"/>
      <c r="M215" s="2089" t="n"/>
      <c r="N215" s="2089" t="n"/>
      <c r="O215" s="2089" t="n"/>
      <c r="P215" s="2090" t="n"/>
    </row>
    <row r="216" ht="19.5" customHeight="1" s="1666"/>
    <row r="217" ht="19.5" customHeight="1" s="1666">
      <c r="A217" s="3258" t="inlineStr">
        <is>
          <t>📊  TABLEAU DE BORD  ·  STATISTIQUES INDICE  ·  Mise à jour automatique à chaque session</t>
        </is>
      </c>
    </row>
    <row r="218" ht="19.5" customHeight="1" s="1666">
      <c r="A218" s="3259" t="inlineStr">
        <is>
          <t>TOTAL SOURCES</t>
        </is>
      </c>
      <c r="B218" s="3240" t="inlineStr">
        <is>
          <t>220</t>
        </is>
      </c>
      <c r="C218" s="2089" t="n"/>
      <c r="D218" s="2089" t="n"/>
      <c r="E218" s="2089" t="n"/>
      <c r="F218" s="2089" t="n"/>
      <c r="G218" s="2089" t="n"/>
      <c r="H218" s="2089" t="n"/>
      <c r="I218" s="2089" t="n"/>
      <c r="J218" s="2089" t="n"/>
      <c r="K218" s="2089" t="n"/>
      <c r="L218" s="2089" t="n"/>
      <c r="M218" s="2089" t="n"/>
      <c r="N218" s="2089" t="n"/>
      <c r="O218" s="2089" t="n"/>
      <c r="P218" s="2090" t="n"/>
    </row>
    <row r="219" ht="19.5" customHeight="1" s="1666"/>
    <row r="220" ht="19.5" customHeight="1" s="1666">
      <c r="A220" s="3259" t="inlineStr">
        <is>
          <t>B (&lt;75)</t>
        </is>
      </c>
      <c r="B220" s="3240" t="inlineStr">
        <is>
          <t>62</t>
        </is>
      </c>
      <c r="C220" s="2089" t="n"/>
      <c r="D220" s="2089" t="n"/>
      <c r="E220" s="2089" t="n"/>
      <c r="F220" s="2089" t="n"/>
      <c r="G220" s="2089" t="n"/>
      <c r="H220" s="2089" t="n"/>
      <c r="I220" s="2089" t="n"/>
      <c r="J220" s="2089" t="n"/>
      <c r="K220" s="2089" t="n"/>
      <c r="L220" s="2089" t="n"/>
      <c r="M220" s="2089" t="n"/>
      <c r="N220" s="2089" t="n"/>
      <c r="O220" s="2089" t="n"/>
      <c r="P220" s="2090" t="n"/>
    </row>
    <row r="224">
      <c r="A224" s="3260" t="inlineStr">
        <is>
          <t>⚙️  RÈGLES D'INDEXATION  ·  Comment ce classement fonctionne  ·  Inspiré du comité S&amp;P 500</t>
        </is>
      </c>
    </row>
    <row r="225">
      <c r="A225" s="3250" t="inlineStr">
        <is>
          <t>R1 — ENTRÉE</t>
        </is>
      </c>
      <c r="B225" s="3261" t="inlineStr">
        <is>
          <t>Une source entre dans l'indice si : fiabilité ≥B+ ET pertinence directe au portfolio ET données vérifiables. Évaluation chaque session.</t>
        </is>
      </c>
      <c r="C225" s="2089" t="n"/>
      <c r="D225" s="2089" t="n"/>
      <c r="E225" s="2089" t="n"/>
      <c r="F225" s="2089" t="n"/>
      <c r="G225" s="2089" t="n"/>
      <c r="H225" s="2089" t="n"/>
      <c r="I225" s="2089" t="n"/>
      <c r="J225" s="2089" t="n"/>
      <c r="K225" s="2089" t="n"/>
      <c r="L225" s="2089" t="n"/>
      <c r="M225" s="2089" t="n"/>
      <c r="N225" s="2089" t="n"/>
      <c r="O225" s="2089" t="n"/>
      <c r="P225" s="2090" t="n"/>
    </row>
    <row r="226">
      <c r="A226" s="3250" t="inlineStr">
        <is>
          <t>R2 — SORTIE</t>
        </is>
      </c>
      <c r="B226" s="3234" t="inlineStr">
        <is>
          <t>Une source sort si : URL morte, données fausses répétées, remplacée par meilleure source, ou devenue inaccessible. Statut → 🔴 RETIRÉ.</t>
        </is>
      </c>
      <c r="C226" s="2089" t="n"/>
      <c r="D226" s="2089" t="n"/>
      <c r="E226" s="2089" t="n"/>
      <c r="F226" s="2089" t="n"/>
      <c r="G226" s="2089" t="n"/>
      <c r="H226" s="2089" t="n"/>
      <c r="I226" s="2089" t="n"/>
      <c r="J226" s="2089" t="n"/>
      <c r="K226" s="2089" t="n"/>
      <c r="L226" s="2089" t="n"/>
      <c r="M226" s="2089" t="n"/>
      <c r="N226" s="2089" t="n"/>
      <c r="O226" s="2089" t="n"/>
      <c r="P226" s="2090" t="n"/>
    </row>
    <row r="227">
      <c r="A227" s="3250" t="inlineStr">
        <is>
          <t>R3 — UPGRADE</t>
        </is>
      </c>
      <c r="B227" s="3199" t="inlineStr">
        <is>
          <t>Upgrade de tier si : nouvelles données actionnables, usage actif confirmé 2+ sessions, score +5 ou plus après validation réelle.</t>
        </is>
      </c>
      <c r="C227" s="2089" t="n"/>
      <c r="D227" s="2089" t="n"/>
      <c r="E227" s="2089" t="n"/>
      <c r="F227" s="2089" t="n"/>
      <c r="G227" s="2089" t="n"/>
      <c r="H227" s="2089" t="n"/>
      <c r="I227" s="2089" t="n"/>
      <c r="J227" s="2089" t="n"/>
      <c r="K227" s="2089" t="n"/>
      <c r="L227" s="2089" t="n"/>
      <c r="M227" s="2089" t="n"/>
      <c r="N227" s="2089" t="n"/>
      <c r="O227" s="2089" t="n"/>
      <c r="P227" s="2090" t="n"/>
    </row>
    <row r="228">
      <c r="A228" s="3250" t="inlineStr">
        <is>
          <t>R4 — DOWNGRADE</t>
        </is>
      </c>
      <c r="B228" s="3217" t="inlineStr">
        <is>
          <t>Downgrade si : donnée incorrecte constatée, accès limité devenu bloquant, ou remplacement par meilleure source dans le même domaine.</t>
        </is>
      </c>
      <c r="C228" s="2089" t="n"/>
      <c r="D228" s="2089" t="n"/>
      <c r="E228" s="2089" t="n"/>
      <c r="F228" s="2089" t="n"/>
      <c r="G228" s="2089" t="n"/>
      <c r="H228" s="2089" t="n"/>
      <c r="I228" s="2089" t="n"/>
      <c r="J228" s="2089" t="n"/>
      <c r="K228" s="2089" t="n"/>
      <c r="L228" s="2089" t="n"/>
      <c r="M228" s="2089" t="n"/>
      <c r="N228" s="2089" t="n"/>
      <c r="O228" s="2089" t="n"/>
      <c r="P228" s="2090" t="n"/>
    </row>
    <row r="229">
      <c r="A229" s="3250" t="inlineStr">
        <is>
          <t>R5 — REBALANCEMENT</t>
        </is>
      </c>
      <c r="B229" s="3262" t="inlineStr">
        <is>
          <t>Rebalancement trimestriel : Q1 (mars), Q2 (juin), Q3 (sept), Q4 (déc). Score recalculé. Nouvelles sources évaluées. Max 200 sources actives.</t>
        </is>
      </c>
      <c r="C229" s="2089" t="n"/>
      <c r="D229" s="2089" t="n"/>
      <c r="E229" s="2089" t="n"/>
      <c r="F229" s="2089" t="n"/>
      <c r="G229" s="2089" t="n"/>
      <c r="H229" s="2089" t="n"/>
      <c r="I229" s="2089" t="n"/>
      <c r="J229" s="2089" t="n"/>
      <c r="K229" s="2089" t="n"/>
      <c r="L229" s="2089" t="n"/>
      <c r="M229" s="2089" t="n"/>
      <c r="N229" s="2089" t="n"/>
      <c r="O229" s="2089" t="n"/>
      <c r="P229" s="2090" t="n"/>
    </row>
    <row r="230">
      <c r="A230" s="3250" t="inlineStr">
        <is>
          <t>R6 — SCORE</t>
        </is>
      </c>
      <c r="B230" s="3263" t="inlineStr">
        <is>
          <t>Score /100 = Fiabilité source (30) + Pertinence portfolio (25) + Fraîcheur données (20) + Accessibilité (15) + Profondeur contenu (10)</t>
        </is>
      </c>
      <c r="C230" s="2089" t="n"/>
      <c r="D230" s="2089" t="n"/>
      <c r="E230" s="2089" t="n"/>
      <c r="F230" s="2089" t="n"/>
      <c r="G230" s="2089" t="n"/>
      <c r="H230" s="2089" t="n"/>
      <c r="I230" s="2089" t="n"/>
      <c r="J230" s="2089" t="n"/>
      <c r="K230" s="2089" t="n"/>
      <c r="L230" s="2089" t="n"/>
      <c r="M230" s="2089" t="n"/>
      <c r="N230" s="2089" t="n"/>
      <c r="O230" s="2089" t="n"/>
      <c r="P230" s="2090" t="n"/>
    </row>
  </sheetData>
  <autoFilter ref="A5:P205"/>
  <mergeCells count="11">
    <mergeCell ref="B218:P218"/>
    <mergeCell ref="A207:P207"/>
    <mergeCell ref="A1:P1"/>
    <mergeCell ref="A2:P2"/>
    <mergeCell ref="B216:P216"/>
    <mergeCell ref="A214:P214"/>
    <mergeCell ref="B215:P215"/>
    <mergeCell ref="B217:P217"/>
    <mergeCell ref="A3:P3"/>
    <mergeCell ref="B220:P220"/>
    <mergeCell ref="B219:P219"/>
  </mergeCells>
  <conditionalFormatting sqref="G6:G205">
    <cfRule type="colorScale" priority="2">
      <colorScale>
        <cfvo type="min" val="0"/>
        <cfvo type="percentile" val="50"/>
        <cfvo type="max" val="0"/>
        <color rgb="FFFF6B6B"/>
        <color rgb="FFFFEB3B"/>
        <color rgb="FF4CAF50"/>
      </colorScale>
    </cfRule>
    <cfRule type="colorScale" priority="3">
      <colorScale>
        <cfvo type="min" val="0"/>
        <cfvo type="percentile" val="50"/>
        <cfvo type="max" val="0"/>
        <color rgb="FFFF6B6B"/>
        <color rgb="FFFFEB3B"/>
        <color rgb="FF4CAF50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B1:G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65" min="1" max="1"/>
    <col width="22" customWidth="1" style="1665" min="2" max="2"/>
    <col width="18" customWidth="1" style="1665" min="3" max="5"/>
    <col width="25" customWidth="1" style="1665" min="6" max="6"/>
    <col width="30" customWidth="1" style="1665" min="7" max="7"/>
  </cols>
  <sheetData>
    <row r="1" ht="27.75" customHeight="1" s="1666">
      <c r="B1" s="3264" t="inlineStr">
        <is>
          <t>💪  CORPS &amp; PERFORMANCE  ·  Cerveau physique de HeyOS  ·  Mis à jour chaque session</t>
        </is>
      </c>
    </row>
    <row r="2" ht="15" customHeight="1" s="1666">
      <c r="B2" s="3265" t="inlineStr">
        <is>
          <t>PRs documentés · Programme PPL · Blessures · Objectifs · Nutrition</t>
        </is>
      </c>
    </row>
    <row r="4" ht="15" customHeight="1" s="1666">
      <c r="B4" s="3266" t="inlineStr">
        <is>
          <t>① PROFIL PHYSIQUE ACTUEL</t>
        </is>
      </c>
    </row>
    <row r="5" ht="15" customHeight="1" s="1666">
      <c r="B5" s="3267" t="inlineStr">
        <is>
          <t>Taille</t>
        </is>
      </c>
      <c r="C5" s="3268" t="inlineStr">
        <is>
          <t>6'0"</t>
        </is>
      </c>
      <c r="D5" s="3269" t="inlineStr">
        <is>
          <t>stable</t>
        </is>
      </c>
    </row>
    <row r="6" ht="15" customHeight="1" s="1666">
      <c r="B6" s="3267" t="inlineStr">
        <is>
          <t>Poids actuel</t>
        </is>
      </c>
      <c r="C6" s="3268" t="inlineStr">
        <is>
          <t>170-175 lbs</t>
        </is>
      </c>
      <c r="D6" s="3269" t="inlineStr">
        <is>
          <t>objectif: 190 lbs lean · S32 confirmé</t>
        </is>
      </c>
    </row>
    <row r="7" ht="15" customHeight="1" s="1666">
      <c r="B7" s="3267" t="inlineStr">
        <is>
          <t>% gras estimé</t>
        </is>
      </c>
      <c r="C7" s="3268" t="inlineStr">
        <is>
          <t>⬜ à mesurer</t>
        </is>
      </c>
      <c r="D7" s="3269" t="n"/>
    </row>
    <row r="8" ht="15" customHeight="1" s="1666">
      <c r="B8" s="3267" t="inlineStr">
        <is>
          <t>Niveau fitness général</t>
        </is>
      </c>
      <c r="C8" s="3268" t="inlineStr">
        <is>
          <t>Élevé</t>
        </is>
      </c>
      <c r="D8" s="3269" t="inlineStr">
        <is>
          <t>policier actif, entraînement régulier</t>
        </is>
      </c>
    </row>
    <row r="9" ht="15" customHeight="1" s="1666">
      <c r="B9" s="3267" t="inlineStr">
        <is>
          <t>Suppléments actifs</t>
        </is>
      </c>
      <c r="C9" s="3268" t="inlineStr">
        <is>
          <t>Protéine + Créatine</t>
        </is>
      </c>
      <c r="D9" s="3269" t="inlineStr">
        <is>
          <t>revoir dosage si objectif 190 lbs</t>
        </is>
      </c>
    </row>
    <row r="10" ht="23.25" customHeight="1" s="1666">
      <c r="B10" s="3267" t="inlineStr">
        <is>
          <t>Équipement ON (Nunavik)</t>
        </is>
      </c>
      <c r="C10" s="3268" t="inlineStr">
        <is>
          <t>Limité</t>
        </is>
      </c>
      <c r="D10" s="3269" t="inlineStr">
        <is>
          <t>bodyweight + disponible sur place</t>
        </is>
      </c>
    </row>
    <row r="11" ht="23.25" customHeight="1" s="1666">
      <c r="B11" s="3267" t="inlineStr">
        <is>
          <t>Équipement OFF (maison)</t>
        </is>
      </c>
      <c r="C11" s="3268" t="inlineStr">
        <is>
          <t>Home gym complet</t>
        </is>
      </c>
      <c r="D11" s="3269" t="inlineStr">
        <is>
          <t>PPL full program</t>
        </is>
      </c>
    </row>
    <row r="13" ht="15" customHeight="1" s="1666">
      <c r="B13" s="3266" t="inlineStr">
        <is>
          <t>② PERSONAL RECORDS (PRs)  ·  Mis à jour à chaque mention entraînement</t>
        </is>
      </c>
    </row>
    <row r="14" ht="15" customHeight="1" s="1666">
      <c r="B14" s="3270" t="inlineStr">
        <is>
          <t>EXERCICE</t>
        </is>
      </c>
      <c r="C14" s="3270" t="inlineStr">
        <is>
          <t>PR ACTUEL</t>
        </is>
      </c>
      <c r="D14" s="3270" t="inlineStr">
        <is>
          <t>DATE</t>
        </is>
      </c>
      <c r="E14" s="3270" t="inlineStr">
        <is>
          <t>OBJECTIF</t>
        </is>
      </c>
      <c r="F14" s="3270" t="inlineStr">
        <is>
          <t>NOTES</t>
        </is>
      </c>
      <c r="G14" s="3270" t="n"/>
    </row>
    <row r="15" ht="15" customHeight="1" s="1666">
      <c r="B15" s="2105" t="inlineStr">
        <is>
          <t>Bench Press</t>
        </is>
      </c>
      <c r="C15" s="2105" t="inlineStr">
        <is>
          <t>205 lbs</t>
        </is>
      </c>
      <c r="D15" s="2105" t="inlineStr">
        <is>
          <t>2026</t>
        </is>
      </c>
      <c r="E15" s="2105" t="inlineStr">
        <is>
          <t>225 lbs</t>
        </is>
      </c>
      <c r="F15" s="2105" t="n"/>
    </row>
    <row r="16" ht="15" customHeight="1" s="1666">
      <c r="B16" s="2105" t="inlineStr">
        <is>
          <t>Squat</t>
        </is>
      </c>
      <c r="C16" s="2105" t="inlineStr">
        <is>
          <t>275 lbs</t>
        </is>
      </c>
      <c r="D16" s="2105" t="inlineStr">
        <is>
          <t>2026</t>
        </is>
      </c>
      <c r="E16" s="2105" t="inlineStr">
        <is>
          <t>315 lbs</t>
        </is>
      </c>
      <c r="F16" s="2105" t="n"/>
    </row>
    <row r="17" ht="15" customHeight="1" s="1666">
      <c r="B17" s="2105" t="inlineStr">
        <is>
          <t>Deadlift</t>
        </is>
      </c>
      <c r="C17" s="2105" t="inlineStr">
        <is>
          <t>315 lbs</t>
        </is>
      </c>
      <c r="D17" s="2105" t="inlineStr">
        <is>
          <t>2026</t>
        </is>
      </c>
      <c r="E17" s="2105" t="inlineStr">
        <is>
          <t>365 lbs</t>
        </is>
      </c>
      <c r="F17" s="2105" t="n"/>
    </row>
    <row r="18" ht="15" customHeight="1" s="1666">
      <c r="B18" s="2105" t="inlineStr">
        <is>
          <t>Overhead Press (OHP)</t>
        </is>
      </c>
      <c r="C18" s="2105" t="inlineStr">
        <is>
          <t>135 lbs</t>
        </is>
      </c>
      <c r="D18" s="2105" t="inlineStr">
        <is>
          <t>2026</t>
        </is>
      </c>
      <c r="E18" s="2105" t="inlineStr">
        <is>
          <t>155 lbs</t>
        </is>
      </c>
      <c r="F18" s="2105" t="n"/>
    </row>
    <row r="19" ht="15" customHeight="1" s="1666">
      <c r="B19" s="2105" t="inlineStr">
        <is>
          <t>Pull-ups</t>
        </is>
      </c>
      <c r="C19" s="2105" t="inlineStr">
        <is>
          <t>⬜</t>
        </is>
      </c>
      <c r="D19" s="2105" t="n"/>
      <c r="E19" s="2105" t="inlineStr">
        <is>
          <t>15 reps</t>
        </is>
      </c>
      <c r="F19" s="2105" t="n"/>
    </row>
    <row r="20" ht="15" customHeight="1" s="1666">
      <c r="B20" s="2105" t="inlineStr">
        <is>
          <t>5km Course</t>
        </is>
      </c>
      <c r="C20" s="2105" t="inlineStr">
        <is>
          <t>24:30</t>
        </is>
      </c>
      <c r="D20" s="2105" t="inlineStr">
        <is>
          <t>2026</t>
        </is>
      </c>
      <c r="E20" s="2105" t="inlineStr">
        <is>
          <t>22:00</t>
        </is>
      </c>
      <c r="F20" s="2105" t="inlineStr">
        <is>
          <t>standard policier maintenu</t>
        </is>
      </c>
    </row>
    <row r="21" ht="15" customHeight="1" s="1666">
      <c r="B21" s="2105" t="inlineStr">
        <is>
          <t>1km Course</t>
        </is>
      </c>
      <c r="C21" s="2105" t="inlineStr">
        <is>
          <t>⬜</t>
        </is>
      </c>
      <c r="D21" s="2105" t="n"/>
      <c r="E21" s="2105" t="n"/>
      <c r="F21" s="2105" t="n"/>
    </row>
    <row r="22">
      <c r="B22" s="3271" t="inlineStr">
        <is>
          <t>③ ÉTAT ACTUEL — S32 · 13 mars 2026</t>
        </is>
      </c>
    </row>
    <row r="23" ht="15" customHeight="1" s="1666">
      <c r="B23" s="3271" t="inlineStr">
        <is>
          <t>MÉTRIQUE</t>
        </is>
      </c>
    </row>
    <row r="24" ht="23.25" customHeight="1" s="1666">
      <c r="B24" s="1665" t="inlineStr">
        <is>
          <t>Fréquence entraînement</t>
        </is>
      </c>
      <c r="C24" s="1665" t="inlineStr">
        <is>
          <t>2-3x / semaine</t>
        </is>
      </c>
    </row>
    <row r="25" ht="15" customHeight="1" s="1666">
      <c r="B25" s="1665" t="inlineStr">
        <is>
          <t>Mix actuel</t>
        </is>
      </c>
      <c r="C25" s="1665" t="inlineStr">
        <is>
          <t>PPL + Course + Yoga + BJJ</t>
        </is>
      </c>
    </row>
    <row r="26" ht="34.5" customHeight="1" s="1666">
      <c r="B26" s="1665" t="inlineStr">
        <is>
          <t>BJJ — dernière session</t>
        </is>
      </c>
      <c r="C26" s="1665" t="inlineStr">
        <is>
          <t>Plus de 6 mois</t>
        </is>
      </c>
    </row>
    <row r="27" ht="15" customHeight="1" s="1666">
      <c r="B27" s="1665" t="inlineStr">
        <is>
          <t>Dernier 5km chronométré</t>
        </is>
      </c>
      <c r="C27" s="1665" t="inlineStr">
        <is>
          <t>~24-25 min</t>
        </is>
      </c>
    </row>
    <row r="28" ht="15" customHeight="1" s="1666">
      <c r="B28" s="1665" t="inlineStr">
        <is>
          <t>Énergie / sommeil</t>
        </is>
      </c>
      <c r="C28" s="1665" t="inlineStr">
        <is>
          <t>Bon — stable</t>
        </is>
      </c>
    </row>
    <row r="29" ht="15" customHeight="1" s="1666"/>
    <row r="30" ht="15" customHeight="1" s="1666"/>
    <row r="31">
      <c r="B31" s="3266" t="inlineStr">
        <is>
          <t>③ PROGRAMME PPL  ·  Adapté 2on/2off</t>
        </is>
      </c>
    </row>
    <row r="32" ht="15" customHeight="1" s="1666">
      <c r="B32" s="3267" t="inlineStr">
        <is>
          <t>PUSH — Chest·Shoulders·Triceps</t>
        </is>
      </c>
    </row>
    <row r="33" ht="15" customHeight="1" s="1666">
      <c r="B33" s="3267" t="inlineStr">
        <is>
          <t>PULL — Back·Biceps</t>
        </is>
      </c>
      <c r="C33" s="2105" t="inlineStr">
        <is>
          <t>Deadlift 4×4-6 · Pull-ups 3×8-12 · Barbell Row 3×8-10 · Face Pulls 3×15 · Barbell Curls 3×10-12 · Hammer Curls 3×12</t>
        </is>
      </c>
    </row>
    <row r="34" ht="15" customHeight="1" s="1666">
      <c r="B34" s="3267" t="inlineStr">
        <is>
          <t>LEGS — Quads·Hamstrings·Glutes</t>
        </is>
      </c>
      <c r="C34" s="2105" t="inlineStr">
        <is>
          <t>Squat 4×6-10 · Romanian DL 3×10-12 · Leg Press 3×12-15 · Leg Curl 3×12-15 · Calf Raises 4×15-20 · Plank 3×45s</t>
        </is>
      </c>
    </row>
    <row r="35" ht="15" customHeight="1" s="1666">
      <c r="B35" s="3267" t="inlineStr">
        <is>
          <t>COMBAT</t>
        </is>
      </c>
      <c r="C35" s="2105" t="inlineStr">
        <is>
          <t>BJJ: retour Q2 2026 · Boxing: maintenir sessions régulières</t>
        </is>
      </c>
    </row>
    <row r="36" ht="15" customHeight="1" s="1666">
      <c r="B36" s="3267" t="inlineStr">
        <is>
          <t>CARDIO</t>
        </is>
      </c>
      <c r="C36" s="2105" t="inlineStr">
        <is>
          <t>Course principale · 500m standard policier maintenu</t>
        </is>
      </c>
    </row>
    <row r="37" ht="15" customHeight="1" s="1666">
      <c r="B37" s="3267" t="inlineStr">
        <is>
          <t>MODE ON (Nunavik)</t>
        </is>
      </c>
      <c r="C37" s="2105" t="inlineStr">
        <is>
          <t>Adapter programme · bodyweight + équipement disponible · priorité cardio</t>
        </is>
      </c>
    </row>
    <row r="38">
      <c r="B38" s="3267" t="inlineStr">
        <is>
          <t>MODE OFF (maison)</t>
        </is>
      </c>
      <c r="C38" s="2105" t="inlineStr">
        <is>
          <t>PPL full program · home gym · BJJ/boxing disponibles</t>
        </is>
      </c>
    </row>
    <row r="39" ht="15" customHeight="1" s="1666"/>
    <row r="40" ht="15" customHeight="1" s="1666">
      <c r="B40" s="3266" t="inlineStr">
        <is>
          <t>④ OBJECTIFS PHYSIQUES ACTIFS</t>
        </is>
      </c>
    </row>
    <row r="41" ht="15" customHeight="1" s="1666">
      <c r="B41" s="3270" t="inlineStr">
        <is>
          <t>OBJECTIF</t>
        </is>
      </c>
      <c r="C41" s="3270" t="inlineStr">
        <is>
          <t>STATUT</t>
        </is>
      </c>
      <c r="D41" s="3270" t="inlineStr">
        <is>
          <t>DEADLINE</t>
        </is>
      </c>
      <c r="E41" s="3270" t="inlineStr">
        <is>
          <t>PROGRÈS</t>
        </is>
      </c>
      <c r="F41" s="3270" t="inlineStr">
        <is>
          <t>NOTES</t>
        </is>
      </c>
    </row>
    <row r="42">
      <c r="B42" s="3268" t="inlineStr">
        <is>
          <t>Atteindre 190 lbs lean</t>
        </is>
      </c>
      <c r="C42" s="3268" t="inlineStr">
        <is>
          <t>🟡 En cours</t>
        </is>
      </c>
      <c r="D42" s="3268" t="inlineStr">
        <is>
          <t>2027</t>
        </is>
      </c>
      <c r="E42" s="3268" t="inlineStr">
        <is>
          <t>175 lbs → 190 lbs</t>
        </is>
      </c>
      <c r="F42" s="3268" t="inlineStr">
        <is>
          <t>+15 lbs masse maigre</t>
        </is>
      </c>
    </row>
    <row r="43">
      <c r="B43" s="3268" t="inlineStr">
        <is>
          <t>Retour BJJ</t>
        </is>
      </c>
      <c r="C43" s="3268" t="inlineStr">
        <is>
          <t>🟡 Planifié</t>
        </is>
      </c>
      <c r="D43" s="3268" t="inlineStr">
        <is>
          <t>Q2 2026</t>
        </is>
      </c>
      <c r="E43" s="3268" t="n"/>
      <c r="F43" s="3268" t="inlineStr">
        <is>
          <t>objectif maintenu actif</t>
        </is>
      </c>
    </row>
    <row r="44">
      <c r="B44" s="3268" t="inlineStr">
        <is>
          <t>Maintenir standard cardio policier</t>
        </is>
      </c>
      <c r="C44" s="3268" t="inlineStr">
        <is>
          <t>✅ Actif</t>
        </is>
      </c>
      <c r="D44" s="3268" t="inlineStr">
        <is>
          <t>continu</t>
        </is>
      </c>
      <c r="E44" s="3268" t="inlineStr">
        <is>
          <t>500m maintenu</t>
        </is>
      </c>
      <c r="F44" s="3268" t="n"/>
    </row>
    <row r="45">
      <c r="B45" s="3268" t="inlineStr">
        <is>
          <t>Yoga régulier</t>
        </is>
      </c>
      <c r="C45" s="3268" t="inlineStr">
        <is>
          <t>🟡 Irrégulier</t>
        </is>
      </c>
      <c r="D45" s="3268" t="inlineStr">
        <is>
          <t>continu</t>
        </is>
      </c>
      <c r="E45" s="3268" t="n"/>
      <c r="F45" s="3268" t="inlineStr">
        <is>
          <t>santé mentale + mobilité</t>
        </is>
      </c>
    </row>
    <row r="47">
      <c r="B47" s="3266" t="inlineStr">
        <is>
          <t>⑤ JOURNAL BLESSURES / ADAPTATIONS</t>
        </is>
      </c>
    </row>
    <row r="48">
      <c r="B48" s="3270" t="inlineStr">
        <is>
          <t>DATE</t>
        </is>
      </c>
      <c r="C48" s="3270" t="inlineStr">
        <is>
          <t>BLESSURE/SITUATION</t>
        </is>
      </c>
      <c r="D48" s="3270" t="inlineStr">
        <is>
          <t>MUSCLES AFFECTÉS</t>
        </is>
      </c>
      <c r="E48" s="3270" t="inlineStr">
        <is>
          <t>ADAPTATION PROGRAMME</t>
        </is>
      </c>
      <c r="F48" s="3270" t="inlineStr">
        <is>
          <t>GUÉRISON</t>
        </is>
      </c>
      <c r="G48" s="3270" t="inlineStr">
        <is>
          <t>NOTES</t>
        </is>
      </c>
    </row>
    <row r="49">
      <c r="B49" s="3272" t="inlineStr">
        <is>
          <t>⬜ À documenter</t>
        </is>
      </c>
    </row>
    <row r="51">
      <c r="B51" s="1665" t="inlineStr">
        <is>
          <t>④ PRIORITÉS S36 — Actions concrètes identifiées</t>
        </is>
      </c>
    </row>
    <row r="52">
      <c r="B52" s="1665" t="inlineStr">
        <is>
          <t>PRIORITÉ</t>
        </is>
      </c>
      <c r="C52" s="1665" t="inlineStr">
        <is>
          <t>ACTION</t>
        </is>
      </c>
      <c r="D52" s="1665" t="inlineStr">
        <is>
          <t>ÉCHÉANCE</t>
        </is>
      </c>
    </row>
    <row r="53">
      <c r="B53" s="1665" t="inlineStr">
        <is>
          <t>🔴 URGENT</t>
        </is>
      </c>
      <c r="C53" s="1665" t="inlineStr">
        <is>
          <t>Research PPL 2on/2off + nutrition 170→190 lbs — même rigueur que Research FHSA</t>
        </is>
      </c>
      <c r="D53" s="1665" t="inlineStr">
        <is>
          <t>S37</t>
        </is>
      </c>
    </row>
    <row r="54">
      <c r="B54" s="1665" t="inlineStr">
        <is>
          <t>🟡 IMPORTANT</t>
        </is>
      </c>
      <c r="C54" s="1665" t="inlineStr">
        <is>
          <t>Plan retour BJJ Q2 2026 — date concrète + gym identifiée</t>
        </is>
      </c>
      <c r="D54" s="1665" t="inlineStr">
        <is>
          <t>Avril 2026</t>
        </is>
      </c>
    </row>
    <row r="55">
      <c r="B55" s="1665" t="inlineStr">
        <is>
          <t>🟡 IMPORTANT</t>
        </is>
      </c>
      <c r="C55" s="1665" t="inlineStr">
        <is>
          <t>Documenter programme ON (Nunavik) vs OFF (maison) séparément</t>
        </is>
      </c>
      <c r="D55" s="1665" t="inlineStr">
        <is>
          <t>S37</t>
        </is>
      </c>
    </row>
    <row r="57">
      <c r="B57" s="1665" t="inlineStr">
        <is>
          <t>⑤ OBJECTIFS QUANTIFIÉS</t>
        </is>
      </c>
    </row>
    <row r="58">
      <c r="B58" s="1665" t="inlineStr">
        <is>
          <t>MÉTRIQUE</t>
        </is>
      </c>
      <c r="C58" s="1665" t="inlineStr">
        <is>
          <t>ACTUEL</t>
        </is>
      </c>
      <c r="D58" s="1665" t="inlineStr">
        <is>
          <t>CIBLE</t>
        </is>
      </c>
      <c r="E58" s="1665" t="inlineStr">
        <is>
          <t>DÉLAI</t>
        </is>
      </c>
    </row>
    <row r="59">
      <c r="B59" s="1665" t="inlineStr">
        <is>
          <t>Poids</t>
        </is>
      </c>
      <c r="C59" s="1665" t="inlineStr">
        <is>
          <t>170-175 lbs</t>
        </is>
      </c>
      <c r="D59" s="1665" t="inlineStr">
        <is>
          <t>190 lbs lean</t>
        </is>
      </c>
      <c r="E59" s="1665" t="inlineStr">
        <is>
          <t>Fin 2026</t>
        </is>
      </c>
    </row>
    <row r="60">
      <c r="B60" s="1665" t="inlineStr">
        <is>
          <t>Bench Press</t>
        </is>
      </c>
      <c r="C60" s="1665" t="inlineStr">
        <is>
          <t>205 lbs</t>
        </is>
      </c>
      <c r="D60" s="1665" t="inlineStr">
        <is>
          <t>225 lbs</t>
        </is>
      </c>
      <c r="E60" s="1665" t="inlineStr">
        <is>
          <t>Q3 2026</t>
        </is>
      </c>
    </row>
    <row r="61">
      <c r="B61" s="1665" t="inlineStr">
        <is>
          <t>Squat</t>
        </is>
      </c>
      <c r="C61" s="1665" t="inlineStr">
        <is>
          <t>275 lbs</t>
        </is>
      </c>
      <c r="D61" s="1665" t="inlineStr">
        <is>
          <t>315 lbs</t>
        </is>
      </c>
      <c r="E61" s="1665" t="inlineStr">
        <is>
          <t>Q4 2026</t>
        </is>
      </c>
    </row>
    <row r="62">
      <c r="B62" s="1665" t="inlineStr">
        <is>
          <t>Deadlift</t>
        </is>
      </c>
      <c r="C62" s="1665" t="inlineStr">
        <is>
          <t>315 lbs</t>
        </is>
      </c>
      <c r="D62" s="1665" t="inlineStr">
        <is>
          <t>365 lbs</t>
        </is>
      </c>
      <c r="E62" s="1665" t="inlineStr">
        <is>
          <t>Q4 2026</t>
        </is>
      </c>
    </row>
    <row r="63">
      <c r="B63" s="1665" t="inlineStr">
        <is>
          <t>5km Course</t>
        </is>
      </c>
      <c r="C63" s="1665" t="inlineStr">
        <is>
          <t>24:30</t>
        </is>
      </c>
      <c r="D63" s="1665" t="inlineStr">
        <is>
          <t>22:00</t>
        </is>
      </c>
      <c r="E63" s="1665" t="inlineStr">
        <is>
          <t>Q3 2026</t>
        </is>
      </c>
    </row>
    <row r="64">
      <c r="B64" s="1665" t="inlineStr">
        <is>
          <t>BJJ retour</t>
        </is>
      </c>
      <c r="C64" s="1665" t="inlineStr">
        <is>
          <t>&gt;6 mois inactif</t>
        </is>
      </c>
      <c r="D64" s="1665" t="inlineStr">
        <is>
          <t>Retour régulier 1x/semaine</t>
        </is>
      </c>
      <c r="E64" s="1665" t="inlineStr">
        <is>
          <t>Q2 2026</t>
        </is>
      </c>
    </row>
  </sheetData>
  <mergeCells count="14">
    <mergeCell ref="B2:G2"/>
    <mergeCell ref="C29:G29"/>
    <mergeCell ref="C30:G30"/>
    <mergeCell ref="C24:G24"/>
    <mergeCell ref="B23:G23"/>
    <mergeCell ref="B1:G1"/>
    <mergeCell ref="C25:G25"/>
    <mergeCell ref="C27:G27"/>
    <mergeCell ref="B4:G4"/>
    <mergeCell ref="C28:G28"/>
    <mergeCell ref="B32:G32"/>
    <mergeCell ref="B13:G13"/>
    <mergeCell ref="B39:G39"/>
    <mergeCell ref="C26:G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B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65" min="1" max="1"/>
    <col width="25" customWidth="1" style="1665" min="2" max="2"/>
    <col width="15" customWidth="1" style="1665" min="3" max="5"/>
    <col width="30" customWidth="1" style="1665" min="6" max="7"/>
  </cols>
  <sheetData>
    <row r="1" ht="27.75" customHeight="1" s="1666">
      <c r="B1" s="3264" t="inlineStr">
        <is>
          <t>📚  CULTURE &amp; IDÉES  ·  Livres · Films · Idées importantes · Ce qui forge la pensée de Hey</t>
        </is>
      </c>
    </row>
    <row r="4" ht="15" customHeight="1" s="1666">
      <c r="B4" s="3266" t="inlineStr">
        <is>
          <t>① LIVRES  ·  Chaque livre connecté à un pilier HeyOS</t>
        </is>
      </c>
    </row>
    <row r="5" ht="15" customHeight="1" s="1666">
      <c r="B5" s="3270" t="inlineStr">
        <is>
          <t>TITRE / AUTEUR</t>
        </is>
      </c>
      <c r="C5" s="3270" t="inlineStr">
        <is>
          <t>STATUT</t>
        </is>
      </c>
      <c r="D5" s="3270" t="inlineStr">
        <is>
          <t>PILIER</t>
        </is>
      </c>
      <c r="E5" s="3270" t="inlineStr">
        <is>
          <t>NOTE /10</t>
        </is>
      </c>
      <c r="F5" s="3270" t="inlineStr">
        <is>
          <t>LEÇON PRINCIPALE</t>
        </is>
      </c>
      <c r="G5" s="3270" t="inlineStr">
        <is>
          <t>CONNECTION À MA VIE</t>
        </is>
      </c>
    </row>
    <row r="6" ht="15" customHeight="1" s="1666">
      <c r="B6" s="3272" t="inlineStr">
        <is>
          <t>⬜ À documenter — ajouter à chaque lecture</t>
        </is>
      </c>
    </row>
    <row r="7">
      <c r="B7" s="1665" t="inlineStr">
        <is>
          <t>Développement personnel (en cours)</t>
        </is>
      </c>
      <c r="C7" s="1665" t="inlineStr">
        <is>
          <t>En cours</t>
        </is>
      </c>
      <c r="D7" s="1665" t="inlineStr">
        <is>
          <t>Projet de vie</t>
        </is>
      </c>
      <c r="E7" s="1665" t="inlineStr">
        <is>
          <t>⬜ À compléter</t>
        </is>
      </c>
      <c r="F7" s="1665" t="inlineStr">
        <is>
          <t>⬜ À compléter</t>
        </is>
      </c>
      <c r="G7" s="1665" t="inlineStr">
        <is>
          <t>⬜ À compléter</t>
        </is>
      </c>
    </row>
    <row r="9" ht="15" customHeight="1" s="1666"/>
    <row r="10" ht="15" customHeight="1" s="1666">
      <c r="B10" s="3266" t="inlineStr">
        <is>
          <t>② FILMS / SÉRIES  ·  Ce qui marque l'esprit</t>
        </is>
      </c>
    </row>
    <row r="11" ht="15" customHeight="1" s="1666">
      <c r="B11" s="3270" t="inlineStr">
        <is>
          <t>TITRE</t>
        </is>
      </c>
      <c r="C11" s="3270" t="inlineStr">
        <is>
          <t>TYPE</t>
        </is>
      </c>
      <c r="D11" s="3270" t="inlineStr">
        <is>
          <t>ANNÉE</t>
        </is>
      </c>
      <c r="E11" s="3270" t="inlineStr">
        <is>
          <t>NOTE /10</t>
        </is>
      </c>
      <c r="F11" s="3270" t="inlineStr">
        <is>
          <t>THÈME PRINCIPAL</t>
        </is>
      </c>
      <c r="G11" s="3270" t="inlineStr">
        <is>
          <t>POURQUOI ÇA M'A MARQUÉ</t>
        </is>
      </c>
    </row>
    <row r="12">
      <c r="B12" s="3272" t="inlineStr">
        <is>
          <t>⬜ À documenter</t>
        </is>
      </c>
    </row>
    <row r="14" ht="15" customHeight="1" s="1666"/>
    <row r="15" ht="15" customHeight="1" s="1666">
      <c r="B15" s="3266" t="inlineStr">
        <is>
          <t>③ IDÉES IMPORTANTES  ·  Pensées, insights, connexions entre domaines</t>
        </is>
      </c>
    </row>
    <row r="16" ht="15" customHeight="1" s="1666">
      <c r="B16" s="3270" t="inlineStr">
        <is>
          <t>DATE</t>
        </is>
      </c>
      <c r="C16" s="3270" t="inlineStr">
        <is>
          <t>IDÉE</t>
        </is>
      </c>
      <c r="D16" s="3270" t="inlineStr">
        <is>
          <t>SOURCE</t>
        </is>
      </c>
      <c r="E16" s="3270" t="inlineStr">
        <is>
          <t>PILIER</t>
        </is>
      </c>
      <c r="F16" s="3270" t="inlineStr">
        <is>
          <t>IMPACT SUR HeyOS</t>
        </is>
      </c>
      <c r="G16" s="3270" t="inlineStr">
        <is>
          <t>ACTION GÉNÉRÉE</t>
        </is>
      </c>
    </row>
    <row r="17">
      <c r="B17" s="3268" t="inlineStr">
        <is>
          <t>2026-03-13</t>
        </is>
      </c>
      <c r="C17" s="3268" t="inlineStr">
        <is>
          <t>xlsx = cerveau vivant de TOUS les piliers HeyOS — pas juste finances. Chaque session alimente le cerveau.</t>
        </is>
      </c>
      <c r="D17" s="3268" t="inlineStr">
        <is>
          <t>Session S30</t>
        </is>
      </c>
      <c r="E17" s="3268" t="inlineStr">
        <is>
          <t>Système</t>
        </is>
      </c>
      <c r="F17" s="3268" t="inlineStr">
        <is>
          <t>Architectural — change tout le flow de session</t>
        </is>
      </c>
      <c r="G17" s="3268" t="inlineStr">
        <is>
          <t>4 nouveaux onglets ajoutés au xlsx</t>
        </is>
      </c>
    </row>
    <row r="19" ht="15" customHeight="1" s="1666"/>
    <row r="20" ht="15" customHeight="1" s="1666">
      <c r="B20" s="3266" t="inlineStr">
        <is>
          <t>④ GAMING  ·  Jeux marquants · Partie de l'identité</t>
        </is>
      </c>
    </row>
    <row r="21" ht="15" customHeight="1" s="1666">
      <c r="B21" s="3270" t="inlineStr">
        <is>
          <t>JEU</t>
        </is>
      </c>
      <c r="C21" s="3270" t="inlineStr">
        <is>
          <t>PLATEFORME</t>
        </is>
      </c>
      <c r="D21" s="3270" t="inlineStr">
        <is>
          <t>STATUT</t>
        </is>
      </c>
      <c r="E21" s="3270" t="inlineStr">
        <is>
          <t>GENRE</t>
        </is>
      </c>
      <c r="F21" s="3270" t="inlineStr">
        <is>
          <t>NOTES</t>
        </is>
      </c>
    </row>
    <row r="22">
      <c r="B22" s="1665" t="inlineStr">
        <is>
          <t>⬜ Jeu actif (à préciser)</t>
        </is>
      </c>
      <c r="C22" s="1665" t="inlineStr">
        <is>
          <t>⬜</t>
        </is>
      </c>
      <c r="D22" s="1665" t="inlineStr">
        <is>
          <t>Actif — joue régulièrement S32</t>
        </is>
      </c>
      <c r="E22" s="1665" t="inlineStr">
        <is>
          <t>⬜</t>
        </is>
      </c>
      <c r="F22" s="1665" t="inlineStr">
        <is>
          <t>Gaming actif confirmé S32</t>
        </is>
      </c>
    </row>
    <row r="23">
      <c r="B23" s="3272" t="inlineStr">
        <is>
          <t>⬜ À documenter</t>
        </is>
      </c>
    </row>
    <row r="25">
      <c r="B25" s="1665" t="inlineStr">
        <is>
          <t>⑤ IDÉES CONNEXIONS INTER-PILIERS — S36</t>
        </is>
      </c>
    </row>
    <row r="26">
      <c r="B26" s="1665" t="inlineStr">
        <is>
          <t>DATE</t>
        </is>
      </c>
      <c r="C26" s="1665" t="inlineStr">
        <is>
          <t>CONNEXION</t>
        </is>
      </c>
      <c r="D26" s="1665" t="inlineStr">
        <is>
          <t>PILIERS RELIÉS</t>
        </is>
      </c>
    </row>
    <row r="27">
      <c r="B27" s="1665" t="inlineStr">
        <is>
          <t>2026-03-13</t>
        </is>
      </c>
      <c r="C27" s="1665" t="inlineStr">
        <is>
          <t>Research financier (FHSA) = même méthode applicable corps (PPL) et vie (maison 2030). Sources → analyse exhaustive → décision documentée → verdict J+30. Un seul système pour tout.</t>
        </is>
      </c>
      <c r="D27" s="1665" t="inlineStr">
        <is>
          <t>Finances · Corps · Projet de vie</t>
        </is>
      </c>
    </row>
    <row r="28">
      <c r="B28" s="1665" t="inlineStr">
        <is>
          <t>2026-03-13</t>
        </is>
      </c>
      <c r="C28" s="1665" t="inlineStr">
        <is>
          <t>La boucle d'apprentissage cassée (verdicts J+30 ⬜) en finances = même pattern dans corps (PRs documentés mais pas de suivi progression mensuelle). Fermer les boucles = principe universel HeyOS.</t>
        </is>
      </c>
      <c r="D28" s="1665" t="inlineStr">
        <is>
          <t>Finances · Corps · Système</t>
        </is>
      </c>
    </row>
    <row r="30">
      <c r="B30" s="1665" t="inlineStr">
        <is>
          <t>⑥ LECTURES PRIORITAIRES — Alignées vision HeyOS</t>
        </is>
      </c>
    </row>
    <row r="31">
      <c r="B31" s="1665" t="inlineStr">
        <is>
          <t>LIVRE</t>
        </is>
      </c>
      <c r="C31" s="1665" t="inlineStr">
        <is>
          <t>PILIER</t>
        </is>
      </c>
      <c r="D31" s="1665" t="inlineStr">
        <is>
          <t>POURQUOI</t>
        </is>
      </c>
    </row>
    <row r="32">
      <c r="B32" s="1665" t="inlineStr">
        <is>
          <t>The Psychology of Money — Morgan Housel</t>
        </is>
      </c>
      <c r="C32" s="1665" t="inlineStr">
        <is>
          <t>Finances · Système</t>
        </is>
      </c>
      <c r="D32" s="1665" t="inlineStr">
        <is>
          <t>Comportement &gt; rendement. Renforce buy-the-dip, patience, FI comme liberté.</t>
        </is>
      </c>
    </row>
    <row r="33">
      <c r="B33" s="1665" t="inlineStr">
        <is>
          <t>Atomic Habits — James Clear</t>
        </is>
      </c>
      <c r="C33" s="1665" t="inlineStr">
        <is>
          <t>Corps · Système</t>
        </is>
      </c>
      <c r="D33" s="1665" t="inlineStr">
        <is>
          <t>Systèmes &gt; objectifs. PPL 2on/2off = habit stacking parfait. 1% mieux chaque jour.</t>
        </is>
      </c>
    </row>
    <row r="34">
      <c r="B34" s="1665" t="inlineStr">
        <is>
          <t>Can't Hurt Me — David Goggins</t>
        </is>
      </c>
      <c r="C34" s="1665" t="inlineStr">
        <is>
          <t>Corps · Projet de vie</t>
        </is>
      </c>
      <c r="D34" s="1665" t="inlineStr">
        <is>
          <t>Discipline extrême. Résonance avec profil policier + objectif 190 lbs + retour BJJ.</t>
        </is>
      </c>
    </row>
  </sheetData>
  <mergeCells count="5">
    <mergeCell ref="B19:G19"/>
    <mergeCell ref="B14:G14"/>
    <mergeCell ref="B9:G9"/>
    <mergeCell ref="B1:G1"/>
    <mergeCell ref="B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B1:G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65" min="1" max="1"/>
    <col width="25" customWidth="1" style="1665" min="2" max="2"/>
    <col width="15" customWidth="1" style="1665" min="3" max="4"/>
    <col width="20" customWidth="1" style="1665" min="5" max="5"/>
    <col width="30" customWidth="1" style="1665" min="6" max="6"/>
    <col width="25" customWidth="1" style="1665" min="7" max="7"/>
  </cols>
  <sheetData>
    <row r="1" ht="27.75" customHeight="1" s="1666">
      <c r="B1" s="3264" t="inlineStr">
        <is>
          <t>🎯  PROJET DE VIE  ·  Vision · Famille · Maison · Liberté · Ce qui compte vraiment</t>
        </is>
      </c>
    </row>
    <row r="4" ht="15" customHeight="1" s="1666">
      <c r="B4" s="3266" t="inlineStr">
        <is>
          <t>① VISION 10 ANS (2036)  ·  Révisée annuellement</t>
        </is>
      </c>
    </row>
    <row r="5" ht="15" customHeight="1" s="1666">
      <c r="B5" s="3270" t="inlineStr">
        <is>
          <t>DOMAINE</t>
        </is>
      </c>
      <c r="C5" s="3270" t="inlineStr">
        <is>
          <t>OBJECTIF</t>
        </is>
      </c>
      <c r="D5" s="3270" t="inlineStr">
        <is>
          <t>STATUT</t>
        </is>
      </c>
      <c r="E5" s="3270" t="inlineStr">
        <is>
          <t>TIMELINE / NOTE</t>
        </is>
      </c>
    </row>
    <row r="6" ht="34.5" customHeight="1" s="1666">
      <c r="B6" s="2105" t="inlineStr">
        <is>
          <t>Travail</t>
        </is>
      </c>
      <c r="C6" s="2105" t="inlineStr">
        <is>
          <t>Travailler par choix, pas par obligation</t>
        </is>
      </c>
      <c r="D6" s="2105" t="inlineStr">
        <is>
          <t>🟡 En cours</t>
        </is>
      </c>
      <c r="E6" s="2105" t="inlineStr">
        <is>
          <t>FI $2.1M+ · 2043 réaliste</t>
        </is>
      </c>
    </row>
    <row r="7" ht="23.25" customHeight="1" s="1666">
      <c r="B7" s="2105" t="inlineStr">
        <is>
          <t>Famille</t>
        </is>
      </c>
      <c r="C7" s="2105" t="inlineStr">
        <is>
          <t>J'y pense mais flou</t>
        </is>
      </c>
      <c r="D7" s="2105" t="inlineStr">
        <is>
          <t>⬜ À clarifier</t>
        </is>
      </c>
      <c r="E7" s="2105" t="inlineStr">
        <is>
          <t>2028-2035 · vision pas encore définie S32</t>
        </is>
      </c>
    </row>
    <row r="8" ht="15" customHeight="1" s="1666">
      <c r="B8" s="2105" t="inlineStr">
        <is>
          <t>Maison</t>
        </is>
      </c>
      <c r="C8" s="2105" t="inlineStr">
        <is>
          <t>Achat solo 2030+</t>
        </is>
      </c>
      <c r="D8" s="2105" t="inlineStr">
        <is>
          <t>🟡 En cours</t>
        </is>
      </c>
      <c r="E8" s="2105" t="inlineStr">
        <is>
          <t>RAP $60K + FHSA $40K = $100K · lieu pas encore défini S32</t>
        </is>
      </c>
    </row>
    <row r="9" ht="34.5" customHeight="1" s="1666">
      <c r="B9" s="2105" t="inlineStr">
        <is>
          <t>Santé</t>
        </is>
      </c>
      <c r="C9" s="2105" t="inlineStr">
        <is>
          <t>190 lbs lean · BJJ actif · yoga régulier</t>
        </is>
      </c>
      <c r="D9" s="2105" t="inlineStr">
        <is>
          <t>🟡 En cours</t>
        </is>
      </c>
      <c r="E9" s="2105" t="inlineStr">
        <is>
          <t>2026-2027</t>
        </is>
      </c>
    </row>
    <row r="10" ht="23.25" customHeight="1" s="1666">
      <c r="B10" s="2105" t="inlineStr">
        <is>
          <t>Liberté géographique</t>
        </is>
      </c>
      <c r="C10" s="2105" t="inlineStr">
        <is>
          <t>Gérer actifs de chez moi</t>
        </is>
      </c>
      <c r="D10" s="2105" t="inlineStr">
        <is>
          <t>⬜ Futur</t>
        </is>
      </c>
      <c r="E10" s="2105" t="inlineStr">
        <is>
          <t>post-FI</t>
        </is>
      </c>
    </row>
    <row r="11" ht="45.75" customHeight="1" s="1666">
      <c r="B11" s="2105" t="inlineStr">
        <is>
          <t>Tech/IA</t>
        </is>
      </c>
      <c r="C11" s="2105" t="inlineStr">
        <is>
          <t>Orchestrer Claude Code · systèmes qui se bonifient</t>
        </is>
      </c>
      <c r="D11" s="2105" t="inlineStr">
        <is>
          <t>🟡 En cours</t>
        </is>
      </c>
      <c r="E11" s="2105" t="inlineStr">
        <is>
          <t>2026</t>
        </is>
      </c>
    </row>
    <row r="12" ht="34.5" customHeight="1" s="1666">
      <c r="B12" s="2105" t="inlineStr">
        <is>
          <t>Finances</t>
        </is>
      </c>
      <c r="C12" s="2105" t="inlineStr">
        <is>
          <t>$2.1M+ autonomie complète</t>
        </is>
      </c>
      <c r="D12" s="2105" t="inlineStr">
        <is>
          <t>🟡 En cours</t>
        </is>
      </c>
      <c r="E12" s="2105" t="inlineStr">
        <is>
          <t>2040-2043</t>
        </is>
      </c>
    </row>
    <row r="14" ht="15" customHeight="1" s="1666">
      <c r="B14" s="3266" t="inlineStr">
        <is>
          <t>② PROJETS ACTIFS NON-FINANCIERS</t>
        </is>
      </c>
    </row>
    <row r="15" ht="15" customHeight="1" s="1666">
      <c r="B15" s="3270" t="inlineStr">
        <is>
          <t>PROJET</t>
        </is>
      </c>
      <c r="C15" s="3270" t="inlineStr">
        <is>
          <t>STATUT</t>
        </is>
      </c>
      <c r="D15" s="3270" t="inlineStr">
        <is>
          <t>PRIORITÉ</t>
        </is>
      </c>
      <c r="E15" s="3270" t="inlineStr">
        <is>
          <t>PROCHAINE ACTION</t>
        </is>
      </c>
      <c r="F15" s="3270" t="inlineStr">
        <is>
          <t>DEADLINE</t>
        </is>
      </c>
      <c r="G15" s="3270" t="inlineStr">
        <is>
          <t>NOTES</t>
        </is>
      </c>
    </row>
    <row r="16" ht="23.25" customHeight="1" s="1666">
      <c r="B16" s="2105" t="inlineStr">
        <is>
          <t>HeyOS — Système de vie complet</t>
        </is>
      </c>
      <c r="C16" s="2105" t="inlineStr">
        <is>
          <t>🟡 En cours</t>
        </is>
      </c>
      <c r="D16" s="2105" t="inlineStr">
        <is>
          <t>🔴 Haute</t>
        </is>
      </c>
      <c r="E16" s="2105" t="inlineStr">
        <is>
          <t>Uploader xlsx chaque session</t>
        </is>
      </c>
      <c r="F16" s="2105" t="inlineStr">
        <is>
          <t>continu</t>
        </is>
      </c>
      <c r="G16" s="2105" t="inlineStr">
        <is>
          <t>5 piliers · xlsx = cerveau</t>
        </is>
      </c>
    </row>
    <row r="17" ht="15" customHeight="1" s="1666">
      <c r="B17" s="2105" t="inlineStr">
        <is>
          <t>Dashboard GitHub Pages live</t>
        </is>
      </c>
      <c r="C17" s="2105" t="inlineStr">
        <is>
          <t>✅ Actif</t>
        </is>
      </c>
      <c r="D17" s="2105" t="inlineStr">
        <is>
          <t>🟡 Moyenne</t>
        </is>
      </c>
      <c r="E17" s="2105" t="inlineStr">
        <is>
          <t>v14 discussion pending</t>
        </is>
      </c>
      <c r="F17" s="2105" t="inlineStr">
        <is>
          <t>S31</t>
        </is>
      </c>
      <c r="G17" s="2105" t="inlineStr">
        <is>
          <t>v13 live ✅</t>
        </is>
      </c>
    </row>
    <row r="18" ht="23.25" customHeight="1" s="1666">
      <c r="B18" s="2105" t="inlineStr">
        <is>
          <t>Maîtriser Claude Code</t>
        </is>
      </c>
      <c r="C18" s="2105" t="inlineStr">
        <is>
          <t>🟡 En cours</t>
        </is>
      </c>
      <c r="D18" s="2105" t="inlineStr">
        <is>
          <t>🟡 Moyenne</t>
        </is>
      </c>
      <c r="E18" s="2105" t="inlineStr">
        <is>
          <t>Orchestrer sans coder manuellement</t>
        </is>
      </c>
      <c r="F18" s="2105" t="inlineStr">
        <is>
          <t>2026</t>
        </is>
      </c>
      <c r="G18" s="2105" t="n"/>
    </row>
    <row r="19" ht="23.25" customHeight="1" s="1666">
      <c r="B19" s="2105" t="inlineStr">
        <is>
          <t>EQ Bank HISA</t>
        </is>
      </c>
      <c r="C19" s="2105" t="inlineStr">
        <is>
          <t>🔴 Bloqué</t>
        </is>
      </c>
      <c r="D19" s="2105" t="inlineStr">
        <is>
          <t>🔴 Urgente</t>
        </is>
      </c>
      <c r="E19" s="2105" t="inlineStr">
        <is>
          <t>Ouvrir compte sur eqbank.ca</t>
        </is>
      </c>
      <c r="F19" s="2105" t="inlineStr">
        <is>
          <t>ASAP</t>
        </is>
      </c>
      <c r="G19" s="2105" t="inlineStr">
        <is>
          <t>$1,500/mois qui dort</t>
        </is>
      </c>
    </row>
    <row r="20" ht="23.25" customHeight="1" s="1666">
      <c r="B20" s="2105" t="inlineStr">
        <is>
          <t>Retour BJJ</t>
        </is>
      </c>
      <c r="C20" s="2105" t="inlineStr">
        <is>
          <t>🟡 Planifié</t>
        </is>
      </c>
      <c r="D20" s="2105" t="inlineStr">
        <is>
          <t>🟡 Moyenne</t>
        </is>
      </c>
      <c r="E20" s="2105" t="inlineStr">
        <is>
          <t>Trouver gym dès retour OFF</t>
        </is>
      </c>
      <c r="F20" s="2105" t="inlineStr">
        <is>
          <t>Q2 2026</t>
        </is>
      </c>
      <c r="G20" s="2105" t="n"/>
    </row>
    <row r="22" ht="15" customHeight="1" s="1666">
      <c r="B22" s="3266" t="inlineStr">
        <is>
          <t>③ FREINS IDENTIFIÉS  ·  Ce qui ralentit Hey — nommer pour agir</t>
        </is>
      </c>
    </row>
    <row r="23" ht="15" customHeight="1" s="1666">
      <c r="B23" s="3270" t="inlineStr">
        <is>
          <t>FREIN</t>
        </is>
      </c>
      <c r="C23" s="3270" t="inlineStr">
        <is>
          <t>DOMAINE AFFECTÉ</t>
        </is>
      </c>
      <c r="D23" s="3270" t="inlineStr">
        <is>
          <t>MANIFESTATION</t>
        </is>
      </c>
      <c r="E23" s="3270" t="inlineStr">
        <is>
          <t>STRATÉGIE</t>
        </is>
      </c>
      <c r="F23" s="3270" t="inlineStr">
        <is>
          <t>STATUT</t>
        </is>
      </c>
    </row>
    <row r="24" ht="34.5" customHeight="1" s="1666">
      <c r="B24" s="2105" t="inlineStr">
        <is>
          <t>Regard des autres</t>
        </is>
      </c>
      <c r="C24" s="2105" t="inlineStr">
        <is>
          <t>Décisions de vie</t>
        </is>
      </c>
      <c r="D24" s="2105" t="inlineStr">
        <is>
          <t>Hésitation sur choix non-conventionnels</t>
        </is>
      </c>
      <c r="E24" s="2105" t="inlineStr">
        <is>
          <t>Nommer explicitement quand il apparaît</t>
        </is>
      </c>
      <c r="F24" s="2105" t="inlineStr">
        <is>
          <t>🟡 Actif — travailler dessus</t>
        </is>
      </c>
    </row>
    <row r="25" ht="45.75" customHeight="1" s="1666">
      <c r="B25" s="2105" t="inlineStr">
        <is>
          <t>Inaction sur urgences simples</t>
        </is>
      </c>
      <c r="C25" s="2105" t="inlineStr">
        <is>
          <t>Finances / Vie</t>
        </is>
      </c>
      <c r="D25" s="2105" t="inlineStr">
        <is>
          <t>EQ Bank, bénéficiaires non faits depuis 4+ sessions</t>
        </is>
      </c>
      <c r="E25" s="2105" t="inlineStr">
        <is>
          <t>Alarme téléphone immédiatement</t>
        </is>
      </c>
      <c r="F25" s="2105" t="inlineStr">
        <is>
          <t>🔴 Pattern dangereux</t>
        </is>
      </c>
    </row>
    <row r="26" ht="34.5" customHeight="1" s="1666">
      <c r="B26" s="2105" t="inlineStr">
        <is>
          <t>Perfectionnisme timing</t>
        </is>
      </c>
      <c r="C26" s="2105" t="inlineStr">
        <is>
          <t>Finances</t>
        </is>
      </c>
      <c r="D26" s="2105" t="inlineStr">
        <is>
          <t>Attendre le parfait moment au lieu d'agir</t>
        </is>
      </c>
      <c r="E26" s="2105" t="inlineStr">
        <is>
          <t>Pre-commitment · DCA automatique</t>
        </is>
      </c>
      <c r="F26" s="2105" t="inlineStr">
        <is>
          <t>🟡 En amélioration</t>
        </is>
      </c>
    </row>
    <row r="28" ht="15" customHeight="1" s="1666">
      <c r="B28" s="3266" t="inlineStr">
        <is>
          <t>④ DÉCISIONS MAJEURES DE VIE  ·  Contexte + raisonnement + verdict J+30</t>
        </is>
      </c>
    </row>
    <row r="29" ht="15" customHeight="1" s="1666">
      <c r="B29" s="3270" t="inlineStr">
        <is>
          <t>DATE</t>
        </is>
      </c>
      <c r="C29" s="3270" t="inlineStr">
        <is>
          <t>DÉCISION</t>
        </is>
      </c>
      <c r="D29" s="3270" t="inlineStr">
        <is>
          <t>CONTEXTE</t>
        </is>
      </c>
      <c r="E29" s="3270" t="inlineStr">
        <is>
          <t>RAISONNEMENT</t>
        </is>
      </c>
      <c r="F29" s="3270" t="inlineStr">
        <is>
          <t>VERDICT J+30</t>
        </is>
      </c>
      <c r="G29" s="3270" t="inlineStr">
        <is>
          <t>RÉSULTAT RÉEL</t>
        </is>
      </c>
    </row>
    <row r="30" ht="57" customHeight="1" s="1666">
      <c r="B30" s="2105" t="inlineStr">
        <is>
          <t>2026-03-13</t>
        </is>
      </c>
      <c r="C30" s="2105" t="inlineStr">
        <is>
          <t>xlsx = cerveau multi-piliers HeyOS</t>
        </is>
      </c>
      <c r="D30" s="2105" t="inlineStr">
        <is>
          <t>S30 — besoin de continuité entre sessions</t>
        </is>
      </c>
      <c r="E30" s="2105" t="inlineStr">
        <is>
          <t>Chaque session alimente le xlsx — amélioration exponentielle de Claude sur Hey</t>
        </is>
      </c>
      <c r="F30" s="2105" t="inlineStr">
        <is>
          <t>⬜ à vérifier S31+</t>
        </is>
      </c>
      <c r="G30" s="2105" t="n"/>
    </row>
    <row r="31" ht="45" customHeight="1" s="1666">
      <c r="B31" s="2105" t="inlineStr">
        <is>
          <t>2026-03-13</t>
        </is>
      </c>
      <c r="C31" s="2105" t="inlineStr">
        <is>
          <t>Mind and Body — nom officiel du projet</t>
        </is>
      </c>
      <c r="D31" s="2105" t="inlineStr">
        <is>
          <t>S31 — vision alignée entre Hey et Claude</t>
        </is>
      </c>
      <c r="E31" s="2105" t="inlineStr">
        <is>
          <t>Outil parfait + partenariat parfait + updates en temps réel. Tout en un. Finances, corps, mental, projets — en un coup d'œil.</t>
        </is>
      </c>
      <c r="F31" s="2105" t="inlineStr">
        <is>
          <t>⬜ à vérifier S32+</t>
        </is>
      </c>
      <c r="G31" s="2105" t="inlineStr">
        <is>
          <t>⬜ en construction</t>
        </is>
      </c>
    </row>
    <row r="33">
      <c r="B33" s="1665" t="inlineStr">
        <is>
          <t>⑤ DÉCISIONS MAJEURES — S36</t>
        </is>
      </c>
    </row>
    <row r="34">
      <c r="B34" s="1665" t="inlineStr">
        <is>
          <t>DATE</t>
        </is>
      </c>
      <c r="C34" s="1665" t="inlineStr">
        <is>
          <t>DÉCISION</t>
        </is>
      </c>
      <c r="D34" s="1665" t="inlineStr">
        <is>
          <t>RAISONNEMENT</t>
        </is>
      </c>
    </row>
    <row r="35">
      <c r="B35" s="1665" t="inlineStr">
        <is>
          <t>2026-03-13</t>
        </is>
      </c>
      <c r="C35" s="1665" t="inlineStr">
        <is>
          <t>Verdicts J+30 = règle obligatoire HeyOS (R-ANA-02)</t>
        </is>
      </c>
      <c r="D35" s="1665" t="inlineStr">
        <is>
          <t>Audit S36 révèle boucle apprentissage cassée depuis S16. Fermer chaque verdict = intégrité du système de décision.</t>
        </is>
      </c>
    </row>
    <row r="36">
      <c r="B36" s="1665" t="inlineStr">
        <is>
          <t>2026-03-13</t>
        </is>
      </c>
      <c r="C36" s="1665" t="inlineStr">
        <is>
          <t>Sources corps/culture/maison ajoutées à l'indice (211-220)</t>
        </is>
      </c>
      <c r="D36" s="1665" t="inlineStr">
        <is>
          <t>Research pilier 2 et 4 impossible sans sources de qualité. Équilibrer l'indice = pré-requis pour HeyOS multi-piliers complet.</t>
        </is>
      </c>
    </row>
    <row r="38">
      <c r="B38" s="1665" t="inlineStr">
        <is>
          <t>⑥ PROCHAINES DÉCISIONS MAJEURES À PRENDRE</t>
        </is>
      </c>
    </row>
    <row r="39">
      <c r="B39" s="1665" t="inlineStr">
        <is>
          <t>DÉCISION</t>
        </is>
      </c>
      <c r="C39" s="1665" t="inlineStr">
        <is>
          <t>URGENCE</t>
        </is>
      </c>
      <c r="D39" s="1665" t="inlineStr">
        <is>
          <t>QUAND</t>
        </is>
      </c>
    </row>
    <row r="40">
      <c r="B40" s="1665" t="inlineStr">
        <is>
          <t>Analyse $12K rétroactivité — allocation optimale</t>
        </is>
      </c>
      <c r="C40" s="1665" t="inlineStr">
        <is>
          <t>🔴 Haute — capital non déployé</t>
        </is>
      </c>
      <c r="D40" s="1665" t="inlineStr">
        <is>
          <t>S37</t>
        </is>
      </c>
    </row>
    <row r="41">
      <c r="B41" s="1665" t="inlineStr">
        <is>
          <t>EQ Bank HISA — ouvrir compte</t>
        </is>
      </c>
      <c r="C41" s="1665" t="inlineStr">
        <is>
          <t>🔴 Haute — pattern inaction S17-S36</t>
        </is>
      </c>
      <c r="D41" s="1665" t="inlineStr">
        <is>
          <t>Cette semaine (15 min)</t>
        </is>
      </c>
    </row>
    <row r="42">
      <c r="B42" s="1665" t="inlineStr">
        <is>
          <t>Région maison 2030 — commencer à définir</t>
        </is>
      </c>
      <c r="C42" s="1665" t="inlineStr">
        <is>
          <t>🟡 Moyenne — lieu pas défini</t>
        </is>
      </c>
      <c r="D42" s="1665" t="inlineStr">
        <is>
          <t>S38-S40</t>
        </is>
      </c>
    </row>
    <row r="43">
      <c r="B43" s="1665" t="inlineStr">
        <is>
          <t>FTQ 2027 — vérifier éligibilité et planifier</t>
        </is>
      </c>
      <c r="C43" s="1665" t="inlineStr">
        <is>
          <t>🟡 Moyenne — $4,149 récupérables</t>
        </is>
      </c>
      <c r="D43" s="1665" t="inlineStr">
        <is>
          <t>Automne 2026</t>
        </is>
      </c>
    </row>
  </sheetData>
  <mergeCells count="13">
    <mergeCell ref="E10:G10"/>
    <mergeCell ref="B28:G28"/>
    <mergeCell ref="E11:G11"/>
    <mergeCell ref="B22:G22"/>
    <mergeCell ref="B14:G14"/>
    <mergeCell ref="E5:G5"/>
    <mergeCell ref="E8:G8"/>
    <mergeCell ref="B1:G1"/>
    <mergeCell ref="B4:G4"/>
    <mergeCell ref="E9:G9"/>
    <mergeCell ref="E12:G12"/>
    <mergeCell ref="E7:G7"/>
    <mergeCell ref="E6:G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B1:G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65" min="1" max="1"/>
    <col width="20" customWidth="1" style="1665" min="2" max="4"/>
    <col width="25" customWidth="1" style="1665" min="5" max="5"/>
    <col width="30" customWidth="1" style="1665" min="6" max="6"/>
    <col width="20" customWidth="1" style="1665" min="7" max="7"/>
  </cols>
  <sheetData>
    <row r="1" ht="27.75" customHeight="1" s="1666">
      <c r="B1" s="3264" t="inlineStr">
        <is>
          <t>🤖  APPRENTISSAGE CLAUDE  ·  Ce que Claude apprend sur Hey session après session  ·  Amélioration exponentielle</t>
        </is>
      </c>
    </row>
    <row r="2" ht="15" customHeight="1" s="1666">
      <c r="B2" s="3265" t="inlineStr">
        <is>
          <t>Plus Claude connaît Hey, meilleures sont les décisions. Ce fichier = mémoire cumulative du partenariat.</t>
        </is>
      </c>
    </row>
    <row r="4" ht="15" customHeight="1" s="1666">
      <c r="B4" s="3266" t="inlineStr">
        <is>
          <t>① CORRECTIONS &amp; AJUSTEMENTS  ·  Chaque fois que Hey corrige Claude → documenté ici</t>
        </is>
      </c>
    </row>
    <row r="5" ht="15" customHeight="1" s="1666">
      <c r="B5" s="3270" t="inlineStr">
        <is>
          <t>DATE</t>
        </is>
      </c>
      <c r="C5" s="3270" t="inlineStr">
        <is>
          <t>SESSION</t>
        </is>
      </c>
      <c r="D5" s="3270" t="inlineStr">
        <is>
          <t>CE QUE CLAUDE A MAL FAIT</t>
        </is>
      </c>
      <c r="E5" s="3270" t="inlineStr">
        <is>
          <t>CORRECTION DE HEY</t>
        </is>
      </c>
      <c r="F5" s="3270" t="inlineStr">
        <is>
          <t>RÈGLE CRÉÉE</t>
        </is>
      </c>
      <c r="G5" s="3270" t="inlineStr">
        <is>
          <t>STATUT</t>
        </is>
      </c>
    </row>
    <row r="6" ht="34.5" customHeight="1" s="1666">
      <c r="B6" s="2105" t="inlineStr">
        <is>
          <t>2026-03-13</t>
        </is>
      </c>
      <c r="C6" s="2105" t="inlineStr">
        <is>
          <t>S28</t>
        </is>
      </c>
      <c r="D6" s="2105" t="inlineStr">
        <is>
          <t>Dashboard v13 design générique malgré skill lu</t>
        </is>
      </c>
      <c r="E6" s="2105" t="inlineStr">
        <is>
          <t>Appliquer le skill vraiment, pas superficiellement</t>
        </is>
      </c>
      <c r="F6" s="2105" t="inlineStr">
        <is>
          <t>Lire + appliquer skill profondément — pas juste le parcourir</t>
        </is>
      </c>
      <c r="G6" s="2105" t="inlineStr">
        <is>
          <t>✅ Enregistré</t>
        </is>
      </c>
    </row>
    <row r="7" ht="34.5" customHeight="1" s="1666">
      <c r="B7" s="2105" t="inlineStr">
        <is>
          <t>2026-03-13</t>
        </is>
      </c>
      <c r="C7" s="2105" t="inlineStr">
        <is>
          <t>S29</t>
        </is>
      </c>
      <c r="D7" s="2105" t="inlineStr">
        <is>
          <t>push.bat prenait le mauvais fichier Downloads</t>
        </is>
      </c>
      <c r="E7" s="2105" t="inlineStr">
        <is>
          <t>Vérifier nom du fichier affiché avant push</t>
        </is>
      </c>
      <c r="F7" s="2105" t="inlineStr">
        <is>
          <t>push.bat prend le plus RÉCENT — toujours vérifier le nom affiché</t>
        </is>
      </c>
      <c r="G7" s="2105" t="inlineStr">
        <is>
          <t>✅ Enregistré</t>
        </is>
      </c>
    </row>
    <row r="8" ht="34.5" customHeight="1" s="1666">
      <c r="B8" s="2105" t="inlineStr">
        <is>
          <t>2026-03-13</t>
        </is>
      </c>
      <c r="C8" s="2105" t="inlineStr">
        <is>
          <t>S30</t>
        </is>
      </c>
      <c r="D8" s="2105" t="inlineStr">
        <is>
          <t>Claude ne comprenait pas que le dashboard = URL permanente</t>
        </is>
      </c>
      <c r="E8" s="2105" t="inlineStr">
        <is>
          <t>Le dashboard c'est l'URL, pas un fichier local</t>
        </is>
      </c>
      <c r="F8" s="2105" t="inlineStr">
        <is>
          <t>Dashboard = URL GitHub Pages permanente. Le fichier = juste le moyen d'y arriver.</t>
        </is>
      </c>
      <c r="G8" s="2105" t="inlineStr">
        <is>
          <t>✅ Enregistré</t>
        </is>
      </c>
    </row>
    <row r="9" ht="34.5" customHeight="1" s="1666">
      <c r="B9" s="2105" t="inlineStr">
        <is>
          <t>2026-03-13</t>
        </is>
      </c>
      <c r="C9" s="2105" t="inlineStr">
        <is>
          <t>S30</t>
        </is>
      </c>
      <c r="D9" s="2105" t="inlineStr">
        <is>
          <t>Claude mettait à jour CLAUDE.md mais pas le xlsx</t>
        </is>
      </c>
      <c r="E9" s="2105" t="inlineStr">
        <is>
          <t>xlsx = cerveau principal. MAJ xlsx EN PREMIER, CLAUDE.md ensuite</t>
        </is>
      </c>
      <c r="F9" s="2105" t="inlineStr">
        <is>
          <t>À chaque update/sauvegarde → xlsx MAJ en premier, tous piliers</t>
        </is>
      </c>
      <c r="G9" s="2105" t="inlineStr">
        <is>
          <t>✅ Enregistré</t>
        </is>
      </c>
    </row>
    <row r="10" ht="39.75" customHeight="1" s="1666">
      <c r="B10" s="2105" t="inlineStr">
        <is>
          <t>2026-03-13</t>
        </is>
      </c>
      <c r="C10" s="2105" t="inlineStr">
        <is>
          <t>S31</t>
        </is>
      </c>
      <c r="D10" s="2105" t="inlineStr">
        <is>
          <t>Claude disait 'update automatique en place' sans que ce soit vraiment garanti</t>
        </is>
      </c>
      <c r="E10" s="2105" t="inlineStr">
        <is>
          <t>Hey a demandé analyse honnête — Claude a reconnu la fragilité du système</t>
        </is>
      </c>
      <c r="F10" s="2105" t="inlineStr">
        <is>
          <t>Être honnête sur les limites techniques plutôt que de rassurer faussement</t>
        </is>
      </c>
      <c r="G10" s="2105" t="inlineStr">
        <is>
          <t>✅ Enregistré</t>
        </is>
      </c>
    </row>
    <row r="11" ht="15" customHeight="1" s="1666">
      <c r="B11" s="3266" t="inlineStr">
        <is>
          <t>② CE QUE CLAUDE SAIT SUR HEY  ·  Profil décisionnel profond · Mis à jour en continu</t>
        </is>
      </c>
    </row>
    <row r="12" ht="15" customHeight="1" s="1666">
      <c r="B12" s="3270" t="inlineStr">
        <is>
          <t>DOMAINE</t>
        </is>
      </c>
      <c r="C12" s="3270" t="inlineStr">
        <is>
          <t>INSIGHT</t>
        </is>
      </c>
      <c r="D12" s="3270" t="inlineStr">
        <is>
          <t>SOURCE</t>
        </is>
      </c>
      <c r="E12" s="3270" t="inlineStr">
        <is>
          <t>CONFIANCE</t>
        </is>
      </c>
    </row>
    <row r="13" ht="57" customHeight="1" s="1666">
      <c r="B13" s="2105" t="inlineStr">
        <is>
          <t>Psychologie financière</t>
        </is>
      </c>
      <c r="C13" s="2105" t="inlineStr">
        <is>
          <t>Buy-the-dip = force principale. COVID 2020 = ancre émotionnelle. Achète sous pression quand d'autres vendent.</t>
        </is>
      </c>
      <c r="D13" s="2105" t="inlineStr">
        <is>
          <t>RAISONNEMENTS S21</t>
        </is>
      </c>
      <c r="E13" s="2105" t="inlineStr">
        <is>
          <t>🟢 Élevée</t>
        </is>
      </c>
    </row>
    <row r="14" ht="45.75" customHeight="1" s="1666">
      <c r="B14" s="2105" t="inlineStr">
        <is>
          <t>Style décisionnel</t>
        </is>
      </c>
      <c r="C14" s="2105" t="inlineStr">
        <is>
          <t>Pre-commitment = zéro friction. Décider le soir, exécuter à l'ouverture = résultat optimal.</t>
        </is>
      </c>
      <c r="D14" s="2105" t="inlineStr">
        <is>
          <t>JOURNAL S21</t>
        </is>
      </c>
      <c r="E14" s="2105" t="inlineStr">
        <is>
          <t>🟢 Élevée</t>
        </is>
      </c>
    </row>
    <row r="15" ht="57" customHeight="1" s="1666">
      <c r="B15" s="2105" t="inlineStr">
        <is>
          <t>Frein principal</t>
        </is>
      </c>
      <c r="C15" s="2105" t="inlineStr">
        <is>
          <t>Inaction sur urgences non-financières (EQ Bank, bénéficiaires). Pattern documenté 4+ sessions.</t>
        </is>
      </c>
      <c r="D15" s="2105" t="inlineStr">
        <is>
          <t>Sessions S17-S30</t>
        </is>
      </c>
      <c r="E15" s="2105" t="inlineStr">
        <is>
          <t>🟢 Élevée</t>
        </is>
      </c>
    </row>
    <row r="16" ht="45.75" customHeight="1" s="1666">
      <c r="B16" s="2105" t="inlineStr">
        <is>
          <t>Vision profonde</t>
        </is>
      </c>
      <c r="C16" s="2105" t="inlineStr">
        <is>
          <t>Liberté = vrai but. $2.1M = plancher jamais un plafond. Travailler par choix.</t>
        </is>
      </c>
      <c r="D16" s="2105" t="inlineStr">
        <is>
          <t>PROFIL S16</t>
        </is>
      </c>
      <c r="E16" s="2105" t="inlineStr">
        <is>
          <t>🟢 Élevée</t>
        </is>
      </c>
    </row>
    <row r="17" ht="45.75" customHeight="1" s="1666">
      <c r="B17" s="2105" t="inlineStr">
        <is>
          <t>Style communication</t>
        </is>
      </c>
      <c r="C17" s="2105" t="inlineStr">
        <is>
          <t>Direct. Pas de listes de 5 étapes. Une chose à la fois. Réponses courtes et actionnables.</t>
        </is>
      </c>
      <c r="D17" s="2105" t="inlineStr">
        <is>
          <t>Sessions S27-S30</t>
        </is>
      </c>
      <c r="E17" s="2105" t="inlineStr">
        <is>
          <t>🟢 Élevée</t>
        </is>
      </c>
    </row>
    <row r="18" ht="57" customHeight="1" s="1666">
      <c r="B18" s="2105" t="inlineStr">
        <is>
          <t>Dashboard</t>
        </is>
      </c>
      <c r="C18" s="2105" t="inlineStr">
        <is>
          <t>URL = l'outil. Pas un fichier local. Bookmarké. Doit refléter la réalité en tout temps.</t>
        </is>
      </c>
      <c r="D18" s="2105" t="inlineStr">
        <is>
          <t>S30</t>
        </is>
      </c>
      <c r="E18" s="2105" t="inlineStr">
        <is>
          <t>🟢 Élevée</t>
        </is>
      </c>
    </row>
    <row r="19" ht="57" customHeight="1" s="1666">
      <c r="B19" s="2105" t="inlineStr">
        <is>
          <t>xlsx</t>
        </is>
      </c>
      <c r="C19" s="2105" t="inlineStr">
        <is>
          <t>Cerveau vivant multi-piliers. Ne jamais recréer. Grandit chaque session. MAJ = xlsx en premier.</t>
        </is>
      </c>
      <c r="D19" s="2105" t="inlineStr">
        <is>
          <t>S30</t>
        </is>
      </c>
      <c r="E19" s="2105" t="inlineStr">
        <is>
          <t>🟢 Élevée</t>
        </is>
      </c>
    </row>
    <row r="20" ht="57" customHeight="1" s="1666">
      <c r="B20" s="2105" t="inlineStr">
        <is>
          <t>Regard des autres</t>
        </is>
      </c>
      <c r="C20" s="2105" t="inlineStr">
        <is>
          <t>Frein identifié sur décisions de vie non-conventionnelles. Travaille activement dessus.</t>
        </is>
      </c>
      <c r="D20" s="2105" t="inlineStr">
        <is>
          <t>PROFIL S23</t>
        </is>
      </c>
      <c r="E20" s="2105" t="inlineStr">
        <is>
          <t>🟡 Moyenne</t>
        </is>
      </c>
    </row>
    <row r="22" ht="15" customHeight="1" s="1666">
      <c r="B22" s="3266" t="inlineStr">
        <is>
          <t>③ JOURNAL DE SESSION  ·  Brief fin de session — contexte pour la prochaine</t>
        </is>
      </c>
    </row>
    <row r="23" ht="15" customHeight="1" s="1666">
      <c r="B23" s="3270" t="inlineStr">
        <is>
          <t>SESSION</t>
        </is>
      </c>
      <c r="C23" s="3270" t="inlineStr">
        <is>
          <t>DATE</t>
        </is>
      </c>
      <c r="D23" s="3270" t="inlineStr">
        <is>
          <t>CE QU'ON A FAIT</t>
        </is>
      </c>
      <c r="E23" s="3270" t="inlineStr">
        <is>
          <t>DÉCISIONS PRISES</t>
        </is>
      </c>
      <c r="F23" s="3270" t="inlineStr">
        <is>
          <t>OÙ ON S'EST ARRÊTÉS</t>
        </is>
      </c>
      <c r="G23" s="3270" t="inlineStr">
        <is>
          <t>PRIORITÉ PROCHAINE SESSION</t>
        </is>
      </c>
    </row>
    <row r="24" ht="45" customHeight="1" s="1666">
      <c r="B24" s="2105" t="inlineStr">
        <is>
          <t>S23</t>
        </is>
      </c>
      <c r="C24" s="2105" t="inlineStr">
        <is>
          <t>2026-03-13</t>
        </is>
      </c>
      <c r="D24" s="2105" t="inlineStr">
        <is>
          <t>HeyOS GitHub créé · CLAUDE.md v1 · Vault Obsidian</t>
        </is>
      </c>
      <c r="E24" s="2105" t="inlineStr">
        <is>
          <t>Structure 6 dossiers · Git CMD</t>
        </is>
      </c>
      <c r="F24" s="2105" t="inlineStr">
        <is>
          <t>GitHub Pages + Git PATH</t>
        </is>
      </c>
      <c r="G24" s="2105" t="inlineStr">
        <is>
          <t>Dashboard v11</t>
        </is>
      </c>
    </row>
    <row r="25" ht="45" customHeight="1" s="1666">
      <c r="B25" s="2105" t="inlineStr">
        <is>
          <t>S26-S27</t>
        </is>
      </c>
      <c r="C25" s="2105" t="inlineStr">
        <is>
          <t>2026-03-13</t>
        </is>
      </c>
      <c r="D25" s="2105" t="inlineStr">
        <is>
          <t>Dashboard v12 live · Life OS · push.bat ✅</t>
        </is>
      </c>
      <c r="E25" s="2105" t="inlineStr">
        <is>
          <t>Style light/flat approuvé · push.bat = déploiement</t>
        </is>
      </c>
      <c r="F25" s="2105" t="inlineStr">
        <is>
          <t>v13 à construire</t>
        </is>
      </c>
      <c r="G25" s="2105" t="inlineStr">
        <is>
          <t>Awwwards style v13</t>
        </is>
      </c>
    </row>
    <row r="26" ht="45" customHeight="1" s="1666">
      <c r="B26" s="2105" t="inlineStr">
        <is>
          <t>S28-S30</t>
        </is>
      </c>
      <c r="C26" s="2105" t="inlineStr">
        <is>
          <t>2026-03-13</t>
        </is>
      </c>
      <c r="D26" s="2105" t="inlineStr">
        <is>
          <t>Dashboard v13 Awwwards ✅ · push.bat débogué · données live injectées · CLAUDE.md trousse de départ</t>
        </is>
      </c>
      <c r="E26" s="2105" t="inlineStr">
        <is>
          <t>v13 keepé · xlsx = cerveau multi-piliers · CLAUDE.md = unique fichier démarrage</t>
        </is>
      </c>
      <c r="F26" s="2105" t="inlineStr">
        <is>
          <t>v14 pas encore discuté · $12K analyse pas faite</t>
        </is>
      </c>
      <c r="G26" s="2105" t="inlineStr">
        <is>
          <t>Analyse $12K rétroactivité + v14 discussion</t>
        </is>
      </c>
    </row>
    <row r="27" ht="45" customHeight="1" s="1666">
      <c r="B27" s="2105" t="inlineStr">
        <is>
          <t>S31</t>
        </is>
      </c>
      <c r="C27" s="2105" t="inlineStr">
        <is>
          <t>2026-03-13</t>
        </is>
      </c>
      <c r="D27" s="2105" t="inlineStr">
        <is>
          <t>Vision Mind and Body alignée · 4 onglets HeyOS ajoutés au xlsx · Règles core update automatique · CLAUDE.md restructuré trousse de départ</t>
        </is>
      </c>
      <c r="E27" s="2105" t="inlineStr">
        <is>
          <t>xlsx = cerveau multi-piliers · update/sauvegarde = tâche core automatique · Mind and Body = outil parfait + partenariat parfait en temps réel</t>
        </is>
      </c>
      <c r="F27" s="2105" t="inlineStr">
        <is>
          <t>v14 discussion pending · Analyse $12K pending · Nourrir les nouveaux onglets</t>
        </is>
      </c>
      <c r="G27" s="2105" t="inlineStr">
        <is>
          <t>Analyse $12K rétroactivité + v14 discussion</t>
        </is>
      </c>
    </row>
    <row r="28" ht="15" customHeight="1" s="1666">
      <c r="B28" s="3266" t="inlineStr">
        <is>
          <t>S33</t>
        </is>
      </c>
    </row>
    <row r="29" ht="15" customHeight="1" s="1666">
      <c r="B29" s="3270" t="inlineStr">
        <is>
          <t>CODE</t>
        </is>
      </c>
      <c r="C29" s="3270" t="inlineStr">
        <is>
          <t>RÈGLE</t>
        </is>
      </c>
      <c r="D29" s="3270" t="inlineStr">
        <is>
          <t>SOURCE</t>
        </is>
      </c>
      <c r="E29" s="3270" t="inlineStr">
        <is>
          <t>PILIER</t>
        </is>
      </c>
      <c r="F29" s="3270" t="inlineStr">
        <is>
          <t>STATUT</t>
        </is>
      </c>
    </row>
    <row r="30" ht="34.5" customHeight="1" s="1666">
      <c r="B30" s="2105" t="inlineStr">
        <is>
          <t>R-SYS-01</t>
        </is>
      </c>
      <c r="C30" s="2105" t="inlineStr">
        <is>
          <t>xlsx = cerveau · dashboard = yeux · Claude = pont. Cet ordre prime toujours.</t>
        </is>
      </c>
      <c r="D30" s="2105" t="inlineStr">
        <is>
          <t>S30</t>
        </is>
      </c>
      <c r="E30" s="2105" t="inlineStr">
        <is>
          <t>Système</t>
        </is>
      </c>
      <c r="F30" s="2105" t="inlineStr">
        <is>
          <t>✅ Active</t>
        </is>
      </c>
    </row>
    <row r="31" ht="34.5" customHeight="1" s="1666">
      <c r="B31" s="2105" t="inlineStr">
        <is>
          <t>R-SYS-02</t>
        </is>
      </c>
      <c r="C31" s="2105" t="inlineStr">
        <is>
          <t>À chaque update/sauvegarde → xlsx EN PREMIER → CLAUDE.md → dashboard</t>
        </is>
      </c>
      <c r="D31" s="2105" t="inlineStr">
        <is>
          <t>S30</t>
        </is>
      </c>
      <c r="E31" s="2105" t="inlineStr">
        <is>
          <t>Système</t>
        </is>
      </c>
      <c r="F31" s="2105" t="inlineStr">
        <is>
          <t>✅ Active</t>
        </is>
      </c>
    </row>
    <row r="32" ht="34.5" customHeight="1" s="1666">
      <c r="B32" s="2105" t="inlineStr">
        <is>
          <t>R-SYS-03</t>
        </is>
      </c>
      <c r="C32" s="2105" t="inlineStr">
        <is>
          <t>Chaque session alimente le xlsx — pas juste les trades. Tout ce qui se passe = valeur pour le cerveau.</t>
        </is>
      </c>
      <c r="D32" s="2105" t="inlineStr">
        <is>
          <t>S30</t>
        </is>
      </c>
      <c r="E32" s="2105" t="inlineStr">
        <is>
          <t>Système</t>
        </is>
      </c>
      <c r="F32" s="2105" t="inlineStr">
        <is>
          <t>✅ Active</t>
        </is>
      </c>
    </row>
    <row r="33" ht="34.5" customHeight="1" s="1666">
      <c r="B33" s="2105" t="inlineStr">
        <is>
          <t>R-SYS-04</t>
        </is>
      </c>
      <c r="C33" s="2105" t="inlineStr">
        <is>
          <t>Mockup obligatoire avant toute modif majeure dashboard</t>
        </is>
      </c>
      <c r="D33" s="2105" t="inlineStr">
        <is>
          <t>S27</t>
        </is>
      </c>
      <c r="E33" s="2105" t="inlineStr">
        <is>
          <t>Dashboard</t>
        </is>
      </c>
      <c r="F33" s="2105" t="inlineStr">
        <is>
          <t>✅ Active</t>
        </is>
      </c>
    </row>
    <row r="34" ht="34.5" customHeight="1" s="1666">
      <c r="B34" s="2105" t="inlineStr">
        <is>
          <t>R-SYS-05</t>
        </is>
      </c>
      <c r="C34" s="2105" t="inlineStr">
        <is>
          <t>JAMAIS modifier xlsx sans go explicite de Hey</t>
        </is>
      </c>
      <c r="D34" s="2105" t="inlineStr">
        <is>
          <t>S21</t>
        </is>
      </c>
      <c r="E34" s="2105" t="inlineStr">
        <is>
          <t>Finances</t>
        </is>
      </c>
      <c r="F34" s="2105" t="inlineStr">
        <is>
          <t>✅ Active</t>
        </is>
      </c>
    </row>
    <row r="35" ht="34.5" customHeight="1" s="1666">
      <c r="B35" s="2105" t="inlineStr">
        <is>
          <t>R-SYS-06</t>
        </is>
      </c>
      <c r="C35" s="2105" t="inlineStr">
        <is>
          <t>Dashboard = URL GitHub Pages permanente. Le fichier téléchargé = juste le moyen.</t>
        </is>
      </c>
      <c r="D35" s="2105" t="inlineStr">
        <is>
          <t>S30</t>
        </is>
      </c>
      <c r="E35" s="2105" t="inlineStr">
        <is>
          <t>Dashboard</t>
        </is>
      </c>
      <c r="F35" s="2105" t="inlineStr">
        <is>
          <t>✅ Active</t>
        </is>
      </c>
    </row>
    <row r="36" ht="34.5" customHeight="1" s="1666">
      <c r="B36" s="2105" t="inlineStr">
        <is>
          <t>R-COM-01</t>
        </is>
      </c>
      <c r="C36" s="2105" t="inlineStr">
        <is>
          <t>Une étape à la fois dans CMD/GitHub. Jamais 5 étapes simultanées.</t>
        </is>
      </c>
      <c r="D36" s="2105" t="inlineStr">
        <is>
          <t>S27</t>
        </is>
      </c>
      <c r="E36" s="2105" t="inlineStr">
        <is>
          <t>Communication</t>
        </is>
      </c>
      <c r="F36" s="2105" t="inlineStr">
        <is>
          <t>✅ Active</t>
        </is>
      </c>
    </row>
    <row r="37" ht="34.5" customHeight="1" s="1666">
      <c r="B37" s="2105" t="inlineStr">
        <is>
          <t>R-FIN-01</t>
        </is>
      </c>
      <c r="C37" s="2105" t="inlineStr">
        <is>
          <t>JAMAIS vendre T.TO ou MFC.TO TFSA — room perdue à jamais</t>
        </is>
      </c>
      <c r="D37" s="2105" t="inlineStr">
        <is>
          <t>S16</t>
        </is>
      </c>
      <c r="E37" s="2105" t="inlineStr">
        <is>
          <t>Finances</t>
        </is>
      </c>
      <c r="F37" s="2105" t="inlineStr">
        <is>
          <t>✅ Active</t>
        </is>
      </c>
    </row>
    <row r="38" ht="34.5" customHeight="1" s="1666">
      <c r="B38" s="2105" t="inlineStr">
        <is>
          <t>R-FIN-02</t>
        </is>
      </c>
      <c r="C38" s="2105" t="inlineStr">
        <is>
          <t>Ordre priorité dollar: FHSA → REER → TFSA → HISA</t>
        </is>
      </c>
      <c r="D38" s="2105" t="inlineStr">
        <is>
          <t>S16</t>
        </is>
      </c>
      <c r="E38" s="2105" t="inlineStr">
        <is>
          <t>Finances</t>
        </is>
      </c>
      <c r="F38" s="2105" t="inlineStr">
        <is>
          <t>✅ Active</t>
        </is>
      </c>
    </row>
    <row r="40">
      <c r="B40" s="1665" t="inlineStr">
        <is>
          <t>2026-03-13</t>
        </is>
      </c>
      <c r="C40" s="1665" t="inlineStr">
        <is>
          <t>S34</t>
        </is>
      </c>
      <c r="D40" s="1665" t="inlineStr">
        <is>
          <t>Analyse marché présentée AVANT décision — bonne pratique proactive</t>
        </is>
      </c>
      <c r="E40" s="1665" t="inlineStr">
        <is>
          <t>Hey a confirmé que faire l'analyse complète avant le plan = bonne approche</t>
        </is>
      </c>
      <c r="F40" s="1665" t="inlineStr">
        <is>
          <t>Analyse macro + top titres avant toute décision allocation → standard S34+</t>
        </is>
      </c>
      <c r="G40" s="1665" t="inlineStr">
        <is>
          <t>✅ Enregistré</t>
        </is>
      </c>
    </row>
    <row r="41">
      <c r="B41" s="1665" t="inlineStr">
        <is>
          <t>2026-03-13</t>
        </is>
      </c>
      <c r="C41" s="1665" t="inlineStr">
        <is>
          <t>S34</t>
        </is>
      </c>
      <c r="D41" s="1665" t="inlineStr">
        <is>
          <t>Liste top 15 actions + 15 ETFs créée pour la première fois dans HeyOS</t>
        </is>
      </c>
      <c r="E41" s="1665" t="inlineStr">
        <is>
          <t>Hey a demandé comparaison avec le plan → démontrer que le plan tient face à la concurrence</t>
        </is>
      </c>
      <c r="F41" s="1665" t="inlineStr">
        <is>
          <t>Quand Hey demande liste comparative → toujours conclure par verdict clair sur son plan</t>
        </is>
      </c>
      <c r="G41" s="1665" t="inlineStr">
        <is>
          <t>✅ Enregistré</t>
        </is>
      </c>
    </row>
    <row r="44">
      <c r="B44" s="1665" t="inlineStr">
        <is>
          <t>Analyse séquentielle</t>
        </is>
      </c>
      <c r="C44" s="1665" t="inlineStr">
        <is>
          <t>Hey préfère comprendre LE CONTEXTE COMPLET avant d'agir. Analyse marché → liste options → comparaison → décision = son process optimal.</t>
        </is>
      </c>
      <c r="D44" s="1665" t="inlineStr">
        <is>
          <t>S34</t>
        </is>
      </c>
      <c r="E44" s="1665" t="inlineStr">
        <is>
          <t>🟢 Élevée</t>
        </is>
      </c>
    </row>
    <row r="45">
      <c r="B45" s="1665" t="inlineStr">
        <is>
          <t>Rigueur comparative</t>
        </is>
      </c>
      <c r="C45" s="1665" t="inlineStr">
        <is>
          <t>Hey ne se contente pas de la première recommandation. Il veut voir le top du marché et valider que son plan est optimal vs les alternatives.</t>
        </is>
      </c>
      <c r="D45" s="1665" t="inlineStr">
        <is>
          <t>S34</t>
        </is>
      </c>
      <c r="E45" s="1665" t="inlineStr">
        <is>
          <t>🟢 Élevée</t>
        </is>
      </c>
    </row>
    <row r="48">
      <c r="B48" s="1665" t="inlineStr">
        <is>
          <t>S34</t>
        </is>
      </c>
      <c r="C48" s="1665" t="inlineStr">
        <is>
          <t>2026-03-13</t>
        </is>
      </c>
      <c r="D48" s="1665" t="inlineStr">
        <is>
          <t>Analyse marché complète · Top 15 actions · Top 15 ETFs · Comparaison FHSA · Plan 50/50 VFV+XEQT validé</t>
        </is>
      </c>
      <c r="E48" s="1665" t="inlineStr">
        <is>
          <t>Plan 50% VFV.TO + 50% XEQT.TO pour $4,015 FHSA confirmé après analyse exhaustive</t>
        </is>
      </c>
      <c r="F48" s="1665" t="inlineStr">
        <is>
          <t>Plan FHSA en attente exécution · $12K analyse non faite · EQ Bank 🔴</t>
        </is>
      </c>
      <c r="G48" s="1665" t="inlineStr">
        <is>
          <t>Exécution $4,015 FHSA · Analyse $12K rétroactivité</t>
        </is>
      </c>
    </row>
    <row r="51">
      <c r="B51" s="1665" t="inlineStr">
        <is>
          <t>R-FIN-03</t>
        </is>
      </c>
      <c r="C51" s="1665" t="inlineStr">
        <is>
          <t>Avant achat FHSA → analyse macro complète + top marché + comparaison avec plan → verdict final</t>
        </is>
      </c>
      <c r="D51" s="1665" t="inlineStr">
        <is>
          <t>S34</t>
        </is>
      </c>
      <c r="E51" s="1665" t="inlineStr">
        <is>
          <t>Finances</t>
        </is>
      </c>
      <c r="F51" s="1665" t="inlineStr">
        <is>
          <t>✅ Active</t>
        </is>
      </c>
    </row>
    <row r="52">
      <c r="B52" s="1665" t="inlineStr">
        <is>
          <t>R-ANA-01</t>
        </is>
      </c>
      <c r="C52" s="1665" t="inlineStr">
        <is>
          <t>Top 15 actions + 15 ETFs = référence HeyOS mise à jour chaque trimestre</t>
        </is>
      </c>
      <c r="D52" s="1665" t="inlineStr">
        <is>
          <t>S34</t>
        </is>
      </c>
      <c r="E52" s="1665" t="inlineStr">
        <is>
          <t>Analyse</t>
        </is>
      </c>
      <c r="F52" s="1665" t="inlineStr">
        <is>
          <t>✅ Active</t>
        </is>
      </c>
    </row>
    <row r="54">
      <c r="B54" s="1665" t="inlineStr">
        <is>
          <t>2026-03-13</t>
        </is>
      </c>
      <c r="C54" s="1665" t="inlineStr">
        <is>
          <t>S34</t>
        </is>
      </c>
      <c r="D54" s="1665" t="inlineStr">
        <is>
          <t>Plan 50/50 VFV+XEQT proposé sans Research exhaustif d'abord</t>
        </is>
      </c>
      <c r="E54" s="1665" t="inlineStr">
        <is>
          <t>Research confirme 100% XEQT &gt; 50/50 pour profil déjà 62% USD</t>
        </is>
      </c>
      <c r="F54" s="1665" t="inlineStr">
        <is>
          <t>Avant décision FHSA → Research marché obligatoire, pas juste analyse interne</t>
        </is>
      </c>
      <c r="G54" s="1665" t="inlineStr">
        <is>
          <t>✅ Enregistré</t>
        </is>
      </c>
    </row>
    <row r="55">
      <c r="B55" s="1665" t="inlineStr">
        <is>
          <t>2026-03-13</t>
        </is>
      </c>
      <c r="C55" s="1665" t="inlineStr">
        <is>
          <t>S35</t>
        </is>
      </c>
      <c r="D55" s="1665" t="inlineStr">
        <is>
          <t>Sources Research non documentées dans xlsx après analyse marché exhaustive</t>
        </is>
      </c>
      <c r="E55" s="1665" t="inlineStr">
        <is>
          <t>Hey a rappelé: après analyse marché → MAJ sources xlsx obligatoire</t>
        </is>
      </c>
      <c r="F55" s="1665" t="inlineStr">
        <is>
          <t>Analyse exhaustive marché → toujours documenter sources utilisées dans 📚 SOURCES</t>
        </is>
      </c>
      <c r="G55" s="1665" t="inlineStr">
        <is>
          <t>✅ Enregistré</t>
        </is>
      </c>
    </row>
    <row r="56">
      <c r="B56" s="1665" t="inlineStr">
        <is>
          <t>INSIGHT</t>
        </is>
      </c>
      <c r="C56" s="1665" t="inlineStr">
        <is>
          <t>Style décisionnel</t>
        </is>
      </c>
      <c r="D56" s="1665" t="inlineStr">
        <is>
          <t>Hey suit les données vs instinct — Research &gt; plan initial quand données divergent</t>
        </is>
      </c>
      <c r="E56" s="1665" t="inlineStr">
        <is>
          <t>100% XEQT vs 50/50 initial — décision basée sur Research, pas sur biais de confirmaton</t>
        </is>
      </c>
      <c r="F56" s="1665" t="inlineStr">
        <is>
          <t>🟢 Élevée</t>
        </is>
      </c>
    </row>
    <row r="58">
      <c r="B58" s="1665" t="inlineStr">
        <is>
          <t>2026-03-13</t>
        </is>
      </c>
      <c r="C58" s="1665" t="inlineStr">
        <is>
          <t>S36</t>
        </is>
      </c>
      <c r="D58" s="1665" t="inlineStr">
        <is>
          <t>Verdicts J+30 tous ⬜ depuis S16 — boucle apprentissage jamais fermée</t>
        </is>
      </c>
      <c r="E58" s="1665" t="inlineStr">
        <is>
          <t>Audit S36 identifie faille structurelle : décision documentée mais résultat jamais mesuré</t>
        </is>
      </c>
      <c r="F58" s="1665" t="inlineStr">
        <is>
          <t>Alarmes J+30 obligatoires dans JOURNAL · fermer la boucle = règle R-ANA-02</t>
        </is>
      </c>
    </row>
    <row r="59">
      <c r="B59" s="1665" t="inlineStr">
        <is>
          <t>2026-03-13</t>
        </is>
      </c>
      <c r="C59" s="1665" t="inlineStr">
        <is>
          <t>S36</t>
        </is>
      </c>
      <c r="D59" s="1665" t="inlineStr">
        <is>
          <t>Sources piliers 2-3-4 = zéro depuis S16 — indice 210 sources 95% finances</t>
        </is>
      </c>
      <c r="E59" s="1665" t="inlineStr">
        <is>
          <t>Audit S36 : Corps/Culture/Projet de vie ont 0 source indexée → Research biaisé</t>
        </is>
      </c>
      <c r="F59" s="1665" t="inlineStr">
        <is>
          <t>10 nouvelles sources piliers 2-3-4 ajoutées (211-220) · équilibrer indice chaque trimestre</t>
        </is>
      </c>
    </row>
    <row r="60">
      <c r="B60" s="1665" t="inlineStr">
        <is>
          <t>2026-03-13</t>
        </is>
      </c>
      <c r="C60" s="1665" t="inlineStr">
        <is>
          <t>S36</t>
        </is>
      </c>
      <c r="D60" s="1665" t="inlineStr">
        <is>
          <t>Hey a posé une question de vue d'ensemble sur le projet complet</t>
        </is>
      </c>
      <c r="E60" s="1665" t="inlineStr">
        <is>
          <t>Réponse = audit 5 piliers + forces/lacunes + recherches prioritaires + système apprentissage</t>
        </is>
      </c>
      <c r="F60" s="1665" t="inlineStr">
        <is>
          <t>Vue ensemble demandée → audit structuré pilier par pilier + diagnostic apprentissage Claude</t>
        </is>
      </c>
    </row>
    <row r="62">
      <c r="B62" s="1665" t="inlineStr">
        <is>
          <t>Vision système</t>
        </is>
      </c>
      <c r="C62" s="1665" t="inlineStr">
        <is>
          <t>Hey pense en systèmes, pas en tâches isolées. Quand il demande vue ensemble → il veut diagnostic complet, pas liste de to-do.</t>
        </is>
      </c>
      <c r="D62" s="1665" t="inlineStr">
        <is>
          <t>S36</t>
        </is>
      </c>
      <c r="E62" s="1665" t="inlineStr">
        <is>
          <t>🟢 Élevée</t>
        </is>
      </c>
    </row>
    <row r="63">
      <c r="B63" s="1665" t="inlineStr">
        <is>
          <t>Boucle de feedback</t>
        </is>
      </c>
      <c r="C63" s="1665" t="inlineStr">
        <is>
          <t>Lacune critique identifiée : Hey documente les décisions mais ne ferme pas les verdicts J+30. Pattern = action forte, suivi faible. À contrebalancer par rappels automatiques.</t>
        </is>
      </c>
      <c r="D63" s="1665" t="inlineStr">
        <is>
          <t>S36</t>
        </is>
      </c>
      <c r="E63" s="1665" t="inlineStr">
        <is>
          <t>🟢 Élevée</t>
        </is>
      </c>
    </row>
    <row r="64">
      <c r="B64" s="1665" t="inlineStr">
        <is>
          <t>Équilibre piliers</t>
        </is>
      </c>
      <c r="C64" s="1665" t="inlineStr">
        <is>
          <t>Hey investit dans les outils (xlsx, dashboard) mais nourrit peu le contenu des piliers 2-3-4. Infrastructure &gt; contenu = pattern récurrent. Rappeler à chaque session de nourrir au moins 1 pilier non-financier.</t>
        </is>
      </c>
      <c r="D64" s="1665" t="inlineStr">
        <is>
          <t>S36</t>
        </is>
      </c>
      <c r="E64" s="1665" t="inlineStr">
        <is>
          <t>🟢 Élevée</t>
        </is>
      </c>
    </row>
    <row r="66">
      <c r="B66" s="1665" t="inlineStr">
        <is>
          <t>R-ANA-02</t>
        </is>
      </c>
      <c r="C66" s="1665" t="inlineStr">
        <is>
          <t>Verdict J+30 = OBLIGATOIRE. Chaque trade documenté → alarme téléphone → résultat mesuré → leçon écrite. Boucle non fermée = apprentissage bloqué.</t>
        </is>
      </c>
      <c r="D66" s="1665" t="inlineStr">
        <is>
          <t>S36</t>
        </is>
      </c>
      <c r="E66" s="1665" t="inlineStr">
        <is>
          <t>Analyse</t>
        </is>
      </c>
      <c r="F66" s="1665" t="inlineStr">
        <is>
          <t>✅ Active</t>
        </is>
      </c>
    </row>
    <row r="67">
      <c r="B67" s="1665" t="inlineStr">
        <is>
          <t>R-ANA-03</t>
        </is>
      </c>
      <c r="C67" s="1665" t="inlineStr">
        <is>
          <t>Chaque trimestre → vérifier équilibre sources (piliers 2-3-4 ≥ 20% de l'indice). Si déséquilibre → ajouter 5+ sources avant prochain Research corps/vie.</t>
        </is>
      </c>
      <c r="D67" s="1665" t="inlineStr">
        <is>
          <t>S36</t>
        </is>
      </c>
      <c r="E67" s="1665" t="inlineStr">
        <is>
          <t>Analyse</t>
        </is>
      </c>
      <c r="F67" s="1665" t="inlineStr">
        <is>
          <t>✅ Active</t>
        </is>
      </c>
    </row>
    <row r="68">
      <c r="B68" s="1665" t="inlineStr">
        <is>
          <t>R-SYS-07</t>
        </is>
      </c>
      <c r="C68" s="1665" t="inlineStr">
        <is>
          <t>Chaque session → nourrir au moins 1 pilier non-financier (Corps, Culture, Projet de vie). Si tous les échanges = finances seulement → rappeler Hey d'alimenter les autres piliers.</t>
        </is>
      </c>
      <c r="D68" s="1665" t="inlineStr">
        <is>
          <t>S36</t>
        </is>
      </c>
      <c r="E68" s="1665" t="inlineStr">
        <is>
          <t>Système</t>
        </is>
      </c>
      <c r="F68" s="1665" t="inlineStr">
        <is>
          <t>✅ Active</t>
        </is>
      </c>
    </row>
    <row r="70">
      <c r="B70" s="1665" t="inlineStr">
        <is>
          <t>S35-S36</t>
        </is>
      </c>
      <c r="C70" s="1665" t="inlineStr">
        <is>
          <t>2026-03-13</t>
        </is>
      </c>
      <c r="D70" s="1665" t="inlineStr">
        <is>
          <t>Audit complet HeyOS · Sources 211-220 ajoutées piliers 2-3-4 · APPRENTISSAGE 3 nouvelles règles · CLAUDE CONTEXT sync · CLAUDE.md S36</t>
        </is>
      </c>
      <c r="E70" s="1665" t="inlineStr">
        <is>
          <t>Faille boucle apprentissage nommée · équilibre sources indice · R-ANA-02/03 · R-SYS-07</t>
        </is>
      </c>
      <c r="F70" s="1665" t="inlineStr">
        <is>
          <t>Analyse $12K rétroactivité · Research PPL+nutrition · EQ Bank 🔴</t>
        </is>
      </c>
    </row>
    <row r="72">
      <c r="B72" s="1665" t="inlineStr">
        <is>
          <t>S39</t>
        </is>
      </c>
      <c r="C72" s="1665" t="inlineStr">
        <is>
          <t>2026-03-14</t>
        </is>
      </c>
      <c r="D72" s="1665" t="inlineStr">
        <is>
          <t>Audit complet 5 piliers · Prices live Questrade · Mapping sectoriel 55/25/15/5 validé · Plan exécution ventes lundi</t>
        </is>
      </c>
      <c r="E72" s="1665" t="inlineStr">
        <is>
          <t>Mapping 55/25/15/5 = axe SECTORIEL (≠ T1/T2/T3/T4) · T.TO+MFC.TO = existent, ne plus mentionner · ENB.TO classé Aubaines · ZRE+XIC+VDU = exécuter lundi sans attendre BdC</t>
        </is>
      </c>
      <c r="F72" s="1665" t="inlineStr">
        <is>
          <t>Ventes lundi + EQ Bank + bénéficiaires Questrade</t>
        </is>
      </c>
      <c r="G72" s="1665" t="inlineStr">
        <is>
          <t>EQ Bank + ventes ZRE/XIC/VDU TFSA + verdicts J+30 le 11 avril</t>
        </is>
      </c>
    </row>
    <row r="73">
      <c r="B73" s="1665" t="inlineStr">
        <is>
          <t>R-SYS-08</t>
        </is>
      </c>
      <c r="C73" s="1665" t="inlineStr">
        <is>
          <t>55/25/15/5 = axe SECTORIEL. T1/T2/T3/T4 = axe CONVICTION. Deux axes indépendants. Ne jamais confondre.</t>
        </is>
      </c>
      <c r="D73" s="1665" t="inlineStr">
        <is>
          <t>S39</t>
        </is>
      </c>
      <c r="E73" s="1665" t="inlineStr">
        <is>
          <t>Système</t>
        </is>
      </c>
      <c r="F73" s="1665" t="inlineStr">
        <is>
          <t>✅ Active</t>
        </is>
      </c>
    </row>
  </sheetData>
  <mergeCells count="15">
    <mergeCell ref="B2:G2"/>
    <mergeCell ref="B28:G28"/>
    <mergeCell ref="E13:G13"/>
    <mergeCell ref="E19:G19"/>
    <mergeCell ref="E14:G14"/>
    <mergeCell ref="B22:G22"/>
    <mergeCell ref="B1:G1"/>
    <mergeCell ref="B4:G4"/>
    <mergeCell ref="E12:G12"/>
    <mergeCell ref="E17:G17"/>
    <mergeCell ref="E18:G18"/>
    <mergeCell ref="E15:G15"/>
    <mergeCell ref="E20:G20"/>
    <mergeCell ref="B11:G11"/>
    <mergeCell ref="E16:G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4" customWidth="1" style="1666" min="1" max="1"/>
    <col width="14" customWidth="1" style="1666" min="2" max="2"/>
    <col width="22" customWidth="1" style="1666" min="3" max="3"/>
    <col width="20" customWidth="1" style="1666" min="4" max="4"/>
    <col width="14" customWidth="1" style="1666" min="5" max="5"/>
    <col width="10" customWidth="1" style="1666" min="6" max="6"/>
    <col width="22" customWidth="1" style="1666" min="7" max="7"/>
    <col width="60" customWidth="1" style="1666" min="8" max="8"/>
  </cols>
  <sheetData>
    <row r="1">
      <c r="A1" s="3299" t="inlineStr">
        <is>
          <t>📊  WATCHLIST HEYOS · S39 · 14 MARS 2026 · Sources: Morningstar · Seeking Alpha · Zacks · Motley Fool · US News CFRA</t>
        </is>
      </c>
    </row>
    <row r="2">
      <c r="A2" s="3300" t="inlineStr">
        <is>
          <t>Mise à jour trimestrielle (R-ANA-01) · Prochaine révision: Juin 2026 · ⚠️ Source de référence — toute décision = thèse + 5 sources (règle S38)</t>
        </is>
      </c>
    </row>
    <row r="4">
      <c r="A4" s="3301" t="inlineStr">
        <is>
          <t>① ACTIONS LONG TERME</t>
        </is>
      </c>
    </row>
    <row r="5">
      <c r="A5" s="3302" t="inlineStr">
        <is>
          <t>#</t>
        </is>
      </c>
      <c r="B5" s="3302" t="inlineStr">
        <is>
          <t>TICKER</t>
        </is>
      </c>
      <c r="C5" s="3302" t="inlineStr">
        <is>
          <t>NOM</t>
        </is>
      </c>
      <c r="D5" s="3302" t="inlineStr">
        <is>
          <t>SECTEUR / TYPE</t>
        </is>
      </c>
      <c r="E5" s="3302" t="inlineStr">
        <is>
          <t>CONSENSUS</t>
        </is>
      </c>
      <c r="F5" s="3302" t="inlineStr">
        <is>
          <t>UPSIDE %</t>
        </is>
      </c>
      <c r="G5" s="3302" t="inlineStr">
        <is>
          <t>STATUT</t>
        </is>
      </c>
      <c r="H5" s="3302" t="inlineStr">
        <is>
          <t>THÈSE</t>
        </is>
      </c>
    </row>
    <row r="6">
      <c r="A6" s="3303" t="n">
        <v>1</v>
      </c>
      <c r="B6" s="3304" t="inlineStr">
        <is>
          <t>AVGO</t>
        </is>
      </c>
      <c r="C6" s="3303" t="inlineStr">
        <is>
          <t>Broadcom</t>
        </is>
      </c>
      <c r="D6" s="3303" t="inlineStr">
        <is>
          <t>Semi/IA</t>
        </is>
      </c>
      <c r="E6" s="3303" t="inlineStr">
        <is>
          <t>Strong Buy</t>
        </is>
      </c>
      <c r="F6" s="3303" t="n">
        <v>45</v>
      </c>
      <c r="G6" s="3303" t="inlineStr">
        <is>
          <t>En portefeuille T1</t>
        </is>
      </c>
      <c r="H6" s="3305" t="inlineStr">
        <is>
          <t>Custom AI chips + networking + VMware. Rev IA +106% YoY. FCF $8B. Guidance Q2 IA +140%.</t>
        </is>
      </c>
    </row>
    <row r="7">
      <c r="A7" s="3303" t="n">
        <v>2</v>
      </c>
      <c r="B7" s="3304" t="inlineStr">
        <is>
          <t>GOOG</t>
        </is>
      </c>
      <c r="C7" s="3303" t="inlineStr">
        <is>
          <t>Alphabet</t>
        </is>
      </c>
      <c r="D7" s="3303" t="inlineStr">
        <is>
          <t>IA/Cloud/Search</t>
        </is>
      </c>
      <c r="E7" s="3303" t="inlineStr">
        <is>
          <t>Strong Buy</t>
        </is>
      </c>
      <c r="F7" s="3303" t="n">
        <v>25</v>
      </c>
      <c r="G7" s="3303" t="inlineStr">
        <is>
          <t>En portefeuille T1</t>
        </is>
      </c>
      <c r="H7" s="3305" t="inlineStr">
        <is>
          <t>Search + Gemini + Google Cloud +28%. Valorisation discount vs pairs.</t>
        </is>
      </c>
    </row>
    <row r="8">
      <c r="A8" s="3303" t="n">
        <v>3</v>
      </c>
      <c r="B8" s="3304" t="inlineStr">
        <is>
          <t>META</t>
        </is>
      </c>
      <c r="C8" s="3303" t="inlineStr">
        <is>
          <t>Meta Platforms</t>
        </is>
      </c>
      <c r="D8" s="3303" t="inlineStr">
        <is>
          <t>Social/IA</t>
        </is>
      </c>
      <c r="E8" s="3303" t="inlineStr">
        <is>
          <t>Strong Buy</t>
        </is>
      </c>
      <c r="F8" s="3303" t="n">
        <v>35</v>
      </c>
      <c r="G8" s="3303" t="inlineStr">
        <is>
          <t>En portefeuille T1</t>
        </is>
      </c>
      <c r="H8" s="3305" t="inlineStr">
        <is>
          <t>Ad revenue +24% YoY. Capex IA $115-135B. Llama open source.</t>
        </is>
      </c>
    </row>
    <row r="9">
      <c r="A9" s="3303" t="n">
        <v>4</v>
      </c>
      <c r="B9" s="3304" t="inlineStr">
        <is>
          <t>AMZN</t>
        </is>
      </c>
      <c r="C9" s="3303" t="inlineStr">
        <is>
          <t>Amazon</t>
        </is>
      </c>
      <c r="D9" s="3303" t="inlineStr">
        <is>
          <t>Cloud/Commerce/IA</t>
        </is>
      </c>
      <c r="E9" s="3303" t="inlineStr">
        <is>
          <t>Strong Buy</t>
        </is>
      </c>
      <c r="F9" s="3303" t="n">
        <v>35</v>
      </c>
      <c r="G9" s="3303" t="inlineStr">
        <is>
          <t>En portefeuille T1</t>
        </is>
      </c>
      <c r="H9" s="3305" t="inlineStr">
        <is>
          <t>AWS + Cerebras IA deal. $36.9B bonds capex. Cible $280.</t>
        </is>
      </c>
    </row>
    <row r="10">
      <c r="A10" s="3303" t="n">
        <v>5</v>
      </c>
      <c r="B10" s="3304" t="inlineStr">
        <is>
          <t>NVDA</t>
        </is>
      </c>
      <c r="C10" s="3303" t="inlineStr">
        <is>
          <t>NVIDIA</t>
        </is>
      </c>
      <c r="D10" s="3303" t="inlineStr">
        <is>
          <t>GPU/IA</t>
        </is>
      </c>
      <c r="E10" s="3303" t="inlineStr">
        <is>
          <t>Strong Buy</t>
        </is>
      </c>
      <c r="F10" s="3303" t="n">
        <v>48</v>
      </c>
      <c r="G10" s="3303" t="inlineStr">
        <is>
          <t>En portefeuille T2</t>
        </is>
      </c>
      <c r="H10" s="3305" t="inlineStr">
        <is>
          <t>Blackwell + Vera Rubin H2 2026. $3-4T IA infra spending. Rev +62% YoY.</t>
        </is>
      </c>
    </row>
    <row r="11">
      <c r="A11" s="3303" t="n">
        <v>6</v>
      </c>
      <c r="B11" s="3304" t="inlineStr">
        <is>
          <t>MSFT</t>
        </is>
      </c>
      <c r="C11" s="3303" t="inlineStr">
        <is>
          <t>Microsoft</t>
        </is>
      </c>
      <c r="D11" s="3303" t="inlineStr">
        <is>
          <t>Cloud/IA/SaaS</t>
        </is>
      </c>
      <c r="E11" s="3303" t="inlineStr">
        <is>
          <t>Strong Buy</t>
        </is>
      </c>
      <c r="F11" s="3303" t="n">
        <v>50</v>
      </c>
      <c r="G11" s="3303" t="inlineStr">
        <is>
          <t>En portefeuille T2</t>
        </is>
      </c>
      <c r="H11" s="3305" t="inlineStr">
        <is>
          <t>Azure +37-38%. Copilot IA partout. Cloud $50B+ Q2. Wide moat.</t>
        </is>
      </c>
    </row>
    <row r="12">
      <c r="A12" s="3303" t="n">
        <v>7</v>
      </c>
      <c r="B12" s="3304" t="inlineStr">
        <is>
          <t>GEV</t>
        </is>
      </c>
      <c r="C12" s="3303" t="inlineStr">
        <is>
          <t>GE Vernova</t>
        </is>
      </c>
      <c r="D12" s="3303" t="inlineStr">
        <is>
          <t>Énergie/Grid/IA</t>
        </is>
      </c>
      <c r="E12" s="3303" t="inlineStr">
        <is>
          <t>Buy</t>
        </is>
      </c>
      <c r="F12" s="3303" t="n">
        <v>7</v>
      </c>
      <c r="G12" s="3303" t="inlineStr">
        <is>
          <t>En portefeuille T1</t>
        </is>
      </c>
      <c r="H12" s="3305" t="inlineStr">
        <is>
          <t>Backlog $150B. FCF doublé $3.7B. Guide 2026 $44-45B.</t>
        </is>
      </c>
    </row>
    <row r="13">
      <c r="A13" s="3306" t="n">
        <v>8</v>
      </c>
      <c r="B13" s="3307" t="inlineStr">
        <is>
          <t>LLY</t>
        </is>
      </c>
      <c r="C13" s="3306" t="inlineStr">
        <is>
          <t>Eli Lilly</t>
        </is>
      </c>
      <c r="D13" s="3306" t="inlineStr">
        <is>
          <t>Pharma/GLP-1</t>
        </is>
      </c>
      <c r="E13" s="3306" t="inlineStr">
        <is>
          <t>Strong Buy</t>
        </is>
      </c>
      <c r="F13" s="3306" t="n">
        <v>30</v>
      </c>
      <c r="G13" s="3306" t="inlineStr">
        <is>
          <t>À CONSIDÉRER</t>
        </is>
      </c>
      <c r="H13" s="3308" t="inlineStr">
        <is>
          <t>Mounjaro +110%, Zepbound +123%. GLP-1 TAM massif.</t>
        </is>
      </c>
    </row>
    <row r="14">
      <c r="A14" s="3303" t="n">
        <v>9</v>
      </c>
      <c r="B14" s="3304" t="inlineStr">
        <is>
          <t>SPGI</t>
        </is>
      </c>
      <c r="C14" s="3303" t="inlineStr">
        <is>
          <t>S&amp;P Global</t>
        </is>
      </c>
      <c r="D14" s="3303" t="inlineStr">
        <is>
          <t>Données Financières</t>
        </is>
      </c>
      <c r="E14" s="3303" t="inlineStr">
        <is>
          <t>Strong Buy</t>
        </is>
      </c>
      <c r="F14" s="3303" t="n">
        <v>28</v>
      </c>
      <c r="G14" s="3303" t="inlineStr">
        <is>
          <t>En portefeuille T2</t>
        </is>
      </c>
      <c r="H14" s="3305" t="inlineStr">
        <is>
          <t>Duopole données financières. Wide moat. Revenue récurrent.</t>
        </is>
      </c>
    </row>
    <row r="15">
      <c r="A15" t="n">
        <v>10</v>
      </c>
      <c r="B15" s="3309" t="inlineStr">
        <is>
          <t>V</t>
        </is>
      </c>
      <c r="C15" t="inlineStr">
        <is>
          <t>Visa</t>
        </is>
      </c>
      <c r="D15" t="inlineStr">
        <is>
          <t>Paiements</t>
        </is>
      </c>
      <c r="E15" t="inlineStr">
        <is>
          <t>Strong Buy</t>
        </is>
      </c>
      <c r="F15" t="n">
        <v>18</v>
      </c>
      <c r="G15" t="inlineStr">
        <is>
          <t>Watchlist</t>
        </is>
      </c>
      <c r="H15" s="3310" t="inlineStr">
        <is>
          <t>Wide moat absolu. Network effect $15T TAM.</t>
        </is>
      </c>
    </row>
    <row r="16">
      <c r="A16" t="n">
        <v>11</v>
      </c>
      <c r="B16" s="3309" t="inlineStr">
        <is>
          <t>MA</t>
        </is>
      </c>
      <c r="C16" t="inlineStr">
        <is>
          <t>Mastercard</t>
        </is>
      </c>
      <c r="D16" t="inlineStr">
        <is>
          <t>Paiements</t>
        </is>
      </c>
      <c r="E16" t="inlineStr">
        <is>
          <t>Strong Buy</t>
        </is>
      </c>
      <c r="F16" t="n">
        <v>15</v>
      </c>
      <c r="G16" t="inlineStr">
        <is>
          <t>Watchlist</t>
        </is>
      </c>
      <c r="H16" s="3310" t="inlineStr">
        <is>
          <t>Clone Visa, plus international. Croissance double-digit sustainable.</t>
        </is>
      </c>
    </row>
    <row r="17">
      <c r="A17" t="n">
        <v>12</v>
      </c>
      <c r="B17" s="3309" t="inlineStr">
        <is>
          <t>TSM</t>
        </is>
      </c>
      <c r="C17" t="inlineStr">
        <is>
          <t>Taiwan Semiconductor</t>
        </is>
      </c>
      <c r="D17" t="inlineStr">
        <is>
          <t>Foundry</t>
        </is>
      </c>
      <c r="E17" t="inlineStr">
        <is>
          <t>Strong Buy</t>
        </is>
      </c>
      <c r="F17" t="n">
        <v>30</v>
      </c>
      <c r="G17" t="inlineStr">
        <is>
          <t>Watchlist</t>
        </is>
      </c>
      <c r="H17" s="3310" t="inlineStr">
        <is>
          <t>Monopole fabrication puces avancées. Backbone IA mondiale.</t>
        </is>
      </c>
    </row>
    <row r="18">
      <c r="A18" t="n">
        <v>13</v>
      </c>
      <c r="B18" s="3309" t="inlineStr">
        <is>
          <t>AAPL</t>
        </is>
      </c>
      <c r="C18" t="inlineStr">
        <is>
          <t>Apple</t>
        </is>
      </c>
      <c r="D18" t="inlineStr">
        <is>
          <t>Tech/Consommateur</t>
        </is>
      </c>
      <c r="E18" t="inlineStr">
        <is>
          <t>Buy</t>
        </is>
      </c>
      <c r="F18" t="n">
        <v>15</v>
      </c>
      <c r="G18" t="inlineStr">
        <is>
          <t>Watchlist</t>
        </is>
      </c>
      <c r="H18" s="3310" t="inlineStr">
        <is>
          <t>$300B cash. Services accélération. IA embarquée. Wide moat.</t>
        </is>
      </c>
    </row>
    <row r="19">
      <c r="A19" t="n">
        <v>14</v>
      </c>
      <c r="B19" s="3309" t="inlineStr">
        <is>
          <t>MELI</t>
        </is>
      </c>
      <c r="C19" t="inlineStr">
        <is>
          <t>MercadoLibre</t>
        </is>
      </c>
      <c r="D19" t="inlineStr">
        <is>
          <t>E-comm/Fintech LatAm</t>
        </is>
      </c>
      <c r="E19" t="inlineStr">
        <is>
          <t>Strong Buy</t>
        </is>
      </c>
      <c r="F19" t="n">
        <v>25</v>
      </c>
      <c r="G19" t="inlineStr">
        <is>
          <t>Watchlist</t>
        </is>
      </c>
      <c r="H19" s="3310" t="inlineStr">
        <is>
          <t>Amazon + PayPal LatAm. Rev +49% YoY. Région sous-pénétrée.</t>
        </is>
      </c>
    </row>
    <row r="20">
      <c r="A20" t="n">
        <v>15</v>
      </c>
      <c r="B20" s="3309" t="inlineStr">
        <is>
          <t>NOW</t>
        </is>
      </c>
      <c r="C20" t="inlineStr">
        <is>
          <t>ServiceNow</t>
        </is>
      </c>
      <c r="D20" t="inlineStr">
        <is>
          <t>SaaS/IA Enterprise</t>
        </is>
      </c>
      <c r="E20" t="inlineStr">
        <is>
          <t>Strong Buy</t>
        </is>
      </c>
      <c r="F20" t="n">
        <v>22</v>
      </c>
      <c r="G20" t="inlineStr">
        <is>
          <t>Watchlist</t>
        </is>
      </c>
      <c r="H20" s="3310" t="inlineStr">
        <is>
          <t>Platform IA enterprise. Rev +22% récurrent. Wide moat switching costs.</t>
        </is>
      </c>
    </row>
    <row r="21">
      <c r="A21" t="n">
        <v>16</v>
      </c>
      <c r="B21" s="3309" t="inlineStr">
        <is>
          <t>COST</t>
        </is>
      </c>
      <c r="C21" t="inlineStr">
        <is>
          <t>Costco</t>
        </is>
      </c>
      <c r="D21" t="inlineStr">
        <is>
          <t>Retail/Défensif</t>
        </is>
      </c>
      <c r="E21" t="inlineStr">
        <is>
          <t>Buy</t>
        </is>
      </c>
      <c r="F21" t="n">
        <v>12</v>
      </c>
      <c r="G21" t="inlineStr">
        <is>
          <t>Aubaines potentiel</t>
        </is>
      </c>
      <c r="H21" s="3310" t="inlineStr">
        <is>
          <t>Membership model = wide moat. Expansion internationale.</t>
        </is>
      </c>
    </row>
    <row r="22">
      <c r="A22" t="n">
        <v>17</v>
      </c>
      <c r="B22" s="3309" t="inlineStr">
        <is>
          <t>BRK.B</t>
        </is>
      </c>
      <c r="C22" t="inlineStr">
        <is>
          <t>Berkshire B</t>
        </is>
      </c>
      <c r="D22" t="inlineStr">
        <is>
          <t>Conglomérat/Value</t>
        </is>
      </c>
      <c r="E22" t="inlineStr">
        <is>
          <t>Buy</t>
        </is>
      </c>
      <c r="F22" t="n">
        <v>15</v>
      </c>
      <c r="G22" t="inlineStr">
        <is>
          <t>Aubaines potentiel</t>
        </is>
      </c>
      <c r="H22" s="3310" t="inlineStr">
        <is>
          <t>$373B cash. Buffett. 60 subsidiaires. Portfolio Apple/BoA/Chevron.</t>
        </is>
      </c>
    </row>
    <row r="23">
      <c r="A23" s="3303" t="n">
        <v>18</v>
      </c>
      <c r="B23" s="3304" t="inlineStr">
        <is>
          <t>ENB.TO</t>
        </is>
      </c>
      <c r="C23" s="3303" t="inlineStr">
        <is>
          <t>Enbridge</t>
        </is>
      </c>
      <c r="D23" s="3303" t="inlineStr">
        <is>
          <t>Énergie/Pipeline CAD</t>
        </is>
      </c>
      <c r="E23" s="3303" t="inlineStr">
        <is>
          <t>Buy</t>
        </is>
      </c>
      <c r="F23" s="3303" t="n">
        <v>8</v>
      </c>
      <c r="G23" s="3303" t="inlineStr">
        <is>
          <t>En portefeuille T1</t>
        </is>
      </c>
      <c r="H23" s="3305" t="inlineStr">
        <is>
          <t>Pipeline quasi-monopolistique Canada-US. Div yield 6%+.</t>
        </is>
      </c>
    </row>
    <row r="24">
      <c r="A24" s="3306" t="n">
        <v>19</v>
      </c>
      <c r="B24" s="3307" t="inlineStr">
        <is>
          <t>PLTR</t>
        </is>
      </c>
      <c r="C24" s="3306" t="inlineStr">
        <is>
          <t>Palantir</t>
        </is>
      </c>
      <c r="D24" s="3306" t="inlineStr">
        <is>
          <t>IA/Gov/Défense</t>
        </is>
      </c>
      <c r="E24" s="3306" t="inlineStr">
        <is>
          <t>Buy</t>
        </is>
      </c>
      <c r="F24" s="3306" t="n">
        <v>50</v>
      </c>
      <c r="G24" s="3306" t="inlineStr">
        <is>
          <t>À CONSIDÉRER TFSA</t>
        </is>
      </c>
      <c r="H24" s="3308" t="inlineStr">
        <is>
          <t>US Commercial +137%, Gov +66%. AIP platform IA enterprise.</t>
        </is>
      </c>
    </row>
    <row r="25">
      <c r="A25" t="n">
        <v>20</v>
      </c>
      <c r="B25" s="3309" t="inlineStr">
        <is>
          <t>AXP</t>
        </is>
      </c>
      <c r="C25" t="inlineStr">
        <is>
          <t>American Express</t>
        </is>
      </c>
      <c r="D25" t="inlineStr">
        <is>
          <t>Fintech/Paiements</t>
        </is>
      </c>
      <c r="E25" t="inlineStr">
        <is>
          <t>Buy</t>
        </is>
      </c>
      <c r="F25" t="n">
        <v>10</v>
      </c>
      <c r="G25" t="inlineStr">
        <is>
          <t>Aubaines potentiel</t>
        </is>
      </c>
      <c r="H25" s="3310" t="inlineStr">
        <is>
          <t>Clientèle affluente. Refresh rewards. Attract younger clients.</t>
        </is>
      </c>
    </row>
    <row r="27">
      <c r="A27" s="3301" t="inlineStr">
        <is>
          <t>② ETF LONG TERME</t>
        </is>
      </c>
    </row>
    <row r="28">
      <c r="A28" s="3302" t="inlineStr">
        <is>
          <t>#</t>
        </is>
      </c>
      <c r="B28" s="3302" t="inlineStr">
        <is>
          <t>TICKER</t>
        </is>
      </c>
      <c r="C28" s="3302" t="inlineStr">
        <is>
          <t>NOM</t>
        </is>
      </c>
      <c r="D28" s="3302" t="inlineStr">
        <is>
          <t>SECTEUR / TYPE</t>
        </is>
      </c>
      <c r="E28" s="3302" t="inlineStr">
        <is>
          <t>CONSENSUS</t>
        </is>
      </c>
      <c r="F28" s="3302" t="inlineStr">
        <is>
          <t>UPSIDE %</t>
        </is>
      </c>
      <c r="G28" s="3302" t="inlineStr">
        <is>
          <t>STATUT</t>
        </is>
      </c>
      <c r="H28" s="3302" t="inlineStr">
        <is>
          <t>THÈSE</t>
        </is>
      </c>
    </row>
    <row r="29">
      <c r="A29" s="3303" t="n">
        <v>1</v>
      </c>
      <c r="B29" s="3304" t="inlineStr">
        <is>
          <t>VFV.TO</t>
        </is>
      </c>
      <c r="C29" s="3303" t="inlineStr">
        <is>
          <t>Vanguard S&amp;P 500 CAD</t>
        </is>
      </c>
      <c r="D29" s="3303" t="inlineStr">
        <is>
          <t>Large Cap US · 0.09%</t>
        </is>
      </c>
      <c r="E29" s="3303" t="inlineStr">
        <is>
          <t>Gold ⭐</t>
        </is>
      </c>
      <c r="F29" s="3303" t="inlineStr">
        <is>
          <t>—</t>
        </is>
      </c>
      <c r="G29" s="3303" t="inlineStr">
        <is>
          <t>En portefeuille T1</t>
        </is>
      </c>
      <c r="H29" s="3305" t="inlineStr">
        <is>
          <t>S&amp;P 500 en CAD. Core holding canadien. Pas de withholding tax FHSA/REER.</t>
        </is>
      </c>
    </row>
    <row r="30">
      <c r="A30" s="3303" t="n">
        <v>2</v>
      </c>
      <c r="B30" s="3304" t="inlineStr">
        <is>
          <t>XEQT.TO</t>
        </is>
      </c>
      <c r="C30" s="3303" t="inlineStr">
        <is>
          <t>iShares Core Equity</t>
        </is>
      </c>
      <c r="D30" s="3303" t="inlineStr">
        <is>
          <t>Global All-Equity · 0.20%</t>
        </is>
      </c>
      <c r="E30" s="3303" t="inlineStr">
        <is>
          <t>Gold ⭐</t>
        </is>
      </c>
      <c r="F30" s="3303" t="inlineStr">
        <is>
          <t>—</t>
        </is>
      </c>
      <c r="G30" s="3303" t="inlineStr">
        <is>
          <t>En portefeuille T1</t>
        </is>
      </c>
      <c r="H30" s="3305" t="inlineStr">
        <is>
          <t>80% actions mondiales. Diversification géo automatique. Sharpe &gt; VFV.</t>
        </is>
      </c>
    </row>
    <row r="31">
      <c r="A31" s="3303" t="n">
        <v>3</v>
      </c>
      <c r="B31" s="3304" t="inlineStr">
        <is>
          <t>SCHD</t>
        </is>
      </c>
      <c r="C31" s="3303" t="inlineStr">
        <is>
          <t>Schwab US Dividend</t>
        </is>
      </c>
      <c r="D31" s="3303" t="inlineStr">
        <is>
          <t>Dividend Growth · 0.06%</t>
        </is>
      </c>
      <c r="E31" s="3303" t="inlineStr">
        <is>
          <t>Gold ⭐</t>
        </is>
      </c>
      <c r="F31" s="3303" t="inlineStr">
        <is>
          <t>—</t>
        </is>
      </c>
      <c r="G31" s="3303" t="inlineStr">
        <is>
          <t>En portefeuille T1</t>
        </is>
      </c>
      <c r="H31" s="3305" t="inlineStr">
        <is>
          <t>Dividend growers qualité. Yield 3.6%. Traité Canada-US = 0% retenue REER.</t>
        </is>
      </c>
    </row>
    <row r="32">
      <c r="A32" t="n">
        <v>4</v>
      </c>
      <c r="B32" s="3309" t="inlineStr">
        <is>
          <t>VOO</t>
        </is>
      </c>
      <c r="C32" t="inlineStr">
        <is>
          <t>Vanguard S&amp;P 500 USD</t>
        </is>
      </c>
      <c r="D32" t="inlineStr">
        <is>
          <t>Large Cap US · 0.03%</t>
        </is>
      </c>
      <c r="E32" t="inlineStr">
        <is>
          <t>Gold ⭐</t>
        </is>
      </c>
      <c r="F32" t="inlineStr">
        <is>
          <t>—</t>
        </is>
      </c>
      <c r="G32" t="inlineStr">
        <is>
          <t>Alternative VFV</t>
        </is>
      </c>
      <c r="H32" s="3310" t="inlineStr">
        <is>
          <t>Le moins cher S&amp;P 500. $1.5T AUM. Recommandé Buffett.</t>
        </is>
      </c>
    </row>
    <row r="33">
      <c r="A33" t="n">
        <v>5</v>
      </c>
      <c r="B33" s="3309" t="inlineStr">
        <is>
          <t>QQQ</t>
        </is>
      </c>
      <c r="C33" t="inlineStr">
        <is>
          <t>Invesco QQQ Trust</t>
        </is>
      </c>
      <c r="D33" t="inlineStr">
        <is>
          <t>Nasdaq-100 · 0.20%</t>
        </is>
      </c>
      <c r="E33" t="inlineStr">
        <is>
          <t>Silver</t>
        </is>
      </c>
      <c r="F33" t="inlineStr">
        <is>
          <t>—</t>
        </is>
      </c>
      <c r="G33" t="inlineStr">
        <is>
          <t>Watchlist</t>
        </is>
      </c>
      <c r="H33" s="3310" t="inlineStr">
        <is>
          <t>Top 100 NASDAQ. +541% 10 ans. Tech pure.</t>
        </is>
      </c>
    </row>
    <row r="34">
      <c r="A34" s="3303" t="n">
        <v>6</v>
      </c>
      <c r="B34" s="3304" t="inlineStr">
        <is>
          <t>QQQM</t>
        </is>
      </c>
      <c r="C34" s="3303" t="inlineStr">
        <is>
          <t>Invesco Nasdaq-100</t>
        </is>
      </c>
      <c r="D34" s="3303" t="inlineStr">
        <is>
          <t>Nasdaq-100 · 0.15%</t>
        </is>
      </c>
      <c r="E34" s="3303" t="inlineStr">
        <is>
          <t>Silver</t>
        </is>
      </c>
      <c r="F34" s="3303" t="inlineStr">
        <is>
          <t>—</t>
        </is>
      </c>
      <c r="G34" s="3303" t="inlineStr">
        <is>
          <t>En portefeuille T2</t>
        </is>
      </c>
      <c r="H34" s="3305" t="inlineStr">
        <is>
          <t>Version moins chère QQQ. Même exposition.</t>
        </is>
      </c>
    </row>
    <row r="35">
      <c r="A35" s="3303" t="n">
        <v>7</v>
      </c>
      <c r="B35" s="3304" t="inlineStr">
        <is>
          <t>SMH</t>
        </is>
      </c>
      <c r="C35" s="3303" t="inlineStr">
        <is>
          <t>VanEck Semiconductor</t>
        </is>
      </c>
      <c r="D35" s="3303" t="inlineStr">
        <is>
          <t>Semi-conducteurs · 0.35%</t>
        </is>
      </c>
      <c r="E35" s="3303" t="inlineStr">
        <is>
          <t>N/A</t>
        </is>
      </c>
      <c r="F35" s="3303" t="inlineStr">
        <is>
          <t>—</t>
        </is>
      </c>
      <c r="G35" s="3303" t="inlineStr">
        <is>
          <t>En portefeuille T1</t>
        </is>
      </c>
      <c r="H35" s="3305" t="inlineStr">
        <is>
          <t>Pure play semis. NVDA, TSM, AVGO top holdings. Backbone IA.</t>
        </is>
      </c>
    </row>
    <row r="36">
      <c r="A36" t="n">
        <v>8</v>
      </c>
      <c r="B36" s="3309" t="inlineStr">
        <is>
          <t>VT</t>
        </is>
      </c>
      <c r="C36" t="inlineStr">
        <is>
          <t>Vanguard Total World</t>
        </is>
      </c>
      <c r="D36" t="inlineStr">
        <is>
          <t>Global All-Cap · 0.07%</t>
        </is>
      </c>
      <c r="E36" t="inlineStr">
        <is>
          <t>Gold ⭐</t>
        </is>
      </c>
      <c r="F36" t="inlineStr">
        <is>
          <t>—</t>
        </is>
      </c>
      <c r="G36" t="inlineStr">
        <is>
          <t>Watchlist</t>
        </is>
      </c>
      <c r="H36" s="3310" t="inlineStr">
        <is>
          <t>~10,000 actions mondiales. Diversification maximale.</t>
        </is>
      </c>
    </row>
    <row r="37">
      <c r="A37" t="n">
        <v>9</v>
      </c>
      <c r="B37" s="3309" t="inlineStr">
        <is>
          <t>VGT</t>
        </is>
      </c>
      <c r="C37" t="inlineStr">
        <is>
          <t>Vanguard Info Tech</t>
        </is>
      </c>
      <c r="D37" t="inlineStr">
        <is>
          <t>Tech US · 0.10%</t>
        </is>
      </c>
      <c r="E37" t="inlineStr">
        <is>
          <t>Gold ⭐</t>
        </is>
      </c>
      <c r="F37" t="inlineStr">
        <is>
          <t>—</t>
        </is>
      </c>
      <c r="G37" t="inlineStr">
        <is>
          <t>Watchlist</t>
        </is>
      </c>
      <c r="H37" s="3310" t="inlineStr">
        <is>
          <t>Large-cap tech US. Outperform S&amp;P sur 10 ans.</t>
        </is>
      </c>
    </row>
    <row r="38">
      <c r="A38" s="3303" t="n">
        <v>10</v>
      </c>
      <c r="B38" s="3304" t="inlineStr">
        <is>
          <t>JEPI</t>
        </is>
      </c>
      <c r="C38" s="3303" t="inlineStr">
        <is>
          <t>JPMorgan Equity Premium</t>
        </is>
      </c>
      <c r="D38" s="3303" t="inlineStr">
        <is>
          <t>Covered Call · 0.35%</t>
        </is>
      </c>
      <c r="E38" s="3303" t="inlineStr">
        <is>
          <t>Silver</t>
        </is>
      </c>
      <c r="F38" s="3303" t="inlineStr">
        <is>
          <t>—</t>
        </is>
      </c>
      <c r="G38" s="3303" t="inlineStr">
        <is>
          <t>En portefeuille T2</t>
        </is>
      </c>
      <c r="H38" s="3305" t="inlineStr">
        <is>
          <t>S&amp;P 500 + covered calls. Yield ~7%. Revenu mensuel.</t>
        </is>
      </c>
    </row>
    <row r="39">
      <c r="A39" t="n">
        <v>11</v>
      </c>
      <c r="B39" s="3309" t="inlineStr">
        <is>
          <t>IEFA</t>
        </is>
      </c>
      <c r="C39" t="inlineStr">
        <is>
          <t>iShares MSCI EAFE</t>
        </is>
      </c>
      <c r="D39" t="inlineStr">
        <is>
          <t>International Dev · 0.07%</t>
        </is>
      </c>
      <c r="E39" t="inlineStr">
        <is>
          <t>Gold ⭐</t>
        </is>
      </c>
      <c r="F39" t="inlineStr">
        <is>
          <t>—</t>
        </is>
      </c>
      <c r="G39" t="inlineStr">
        <is>
          <t>Watchlist</t>
        </is>
      </c>
      <c r="H39" s="3310" t="inlineStr">
        <is>
          <t>Europe/Australie/Asie sans US. Yield 2.9%.</t>
        </is>
      </c>
    </row>
    <row r="40">
      <c r="A40" t="n">
        <v>12</v>
      </c>
      <c r="B40" s="3309" t="inlineStr">
        <is>
          <t>IWF</t>
        </is>
      </c>
      <c r="C40" t="inlineStr">
        <is>
          <t>iShares Russell 1000 Growth</t>
        </is>
      </c>
      <c r="D40" t="inlineStr">
        <is>
          <t>Large Cap Growth · 0.19%</t>
        </is>
      </c>
      <c r="E40" t="inlineStr">
        <is>
          <t>Silver</t>
        </is>
      </c>
      <c r="F40" t="inlineStr">
        <is>
          <t>—</t>
        </is>
      </c>
      <c r="G40" t="inlineStr">
        <is>
          <t>Watchlist</t>
        </is>
      </c>
      <c r="H40" s="3310" t="inlineStr">
        <is>
          <t>1000 plus grandes US croissance. Bon complément VFV.</t>
        </is>
      </c>
    </row>
    <row r="41">
      <c r="A41" t="n">
        <v>13</v>
      </c>
      <c r="B41" s="3309" t="inlineStr">
        <is>
          <t>RSP</t>
        </is>
      </c>
      <c r="C41" t="inlineStr">
        <is>
          <t>Invesco S&amp;P 500 Equal Weight</t>
        </is>
      </c>
      <c r="D41" t="inlineStr">
        <is>
          <t>S&amp;P 500 Equal · 0.20%</t>
        </is>
      </c>
      <c r="E41" t="inlineStr">
        <is>
          <t>Silver</t>
        </is>
      </c>
      <c r="F41" t="inlineStr">
        <is>
          <t>—</t>
        </is>
      </c>
      <c r="G41" t="inlineStr">
        <is>
          <t>Watchlist</t>
        </is>
      </c>
      <c r="H41" s="3310" t="inlineStr">
        <is>
          <t>Réduit concentration NVDA/AAPL. Rebalance trimestriel.</t>
        </is>
      </c>
    </row>
    <row r="42">
      <c r="A42" t="n">
        <v>14</v>
      </c>
      <c r="B42" s="3309" t="inlineStr">
        <is>
          <t>XEF.TO</t>
        </is>
      </c>
      <c r="C42" t="inlineStr">
        <is>
          <t>iShares MSCI EAFE CAD</t>
        </is>
      </c>
      <c r="D42" t="inlineStr">
        <is>
          <t>International Dev CAD · 0.22%</t>
        </is>
      </c>
      <c r="E42" t="inlineStr">
        <is>
          <t>Gold ⭐</t>
        </is>
      </c>
      <c r="F42" t="inlineStr">
        <is>
          <t>—</t>
        </is>
      </c>
      <c r="G42" t="inlineStr">
        <is>
          <t>Watchlist</t>
        </is>
      </c>
      <c r="H42" s="3310" t="inlineStr">
        <is>
          <t>Version CAD de IEFA. Bon pour TFSA.</t>
        </is>
      </c>
    </row>
    <row r="43">
      <c r="A43" t="n">
        <v>15</v>
      </c>
      <c r="B43" s="3309" t="inlineStr">
        <is>
          <t>SOXX</t>
        </is>
      </c>
      <c r="C43" t="inlineStr">
        <is>
          <t>iShares Semiconductor</t>
        </is>
      </c>
      <c r="D43" t="inlineStr">
        <is>
          <t>Semi-conducteurs · 0.35%</t>
        </is>
      </c>
      <c r="E43" t="inlineStr">
        <is>
          <t>N/A</t>
        </is>
      </c>
      <c r="F43" t="inlineStr">
        <is>
          <t>—</t>
        </is>
      </c>
      <c r="G43" t="inlineStr">
        <is>
          <t>Alternative SMH</t>
        </is>
      </c>
      <c r="H43" s="3310" t="inlineStr">
        <is>
          <t>Alternative à SMH. 30 titres vs 25.</t>
        </is>
      </c>
    </row>
    <row r="44">
      <c r="A44" t="n">
        <v>16</v>
      </c>
      <c r="B44" s="3309" t="inlineStr">
        <is>
          <t>VXUS</t>
        </is>
      </c>
      <c r="C44" t="inlineStr">
        <is>
          <t>Vanguard Total International</t>
        </is>
      </c>
      <c r="D44" t="inlineStr">
        <is>
          <t>International ex-US · 0.07%</t>
        </is>
      </c>
      <c r="E44" t="inlineStr">
        <is>
          <t>Gold ⭐</t>
        </is>
      </c>
      <c r="F44" t="inlineStr">
        <is>
          <t>—</t>
        </is>
      </c>
      <c r="G44" t="inlineStr">
        <is>
          <t>Watchlist</t>
        </is>
      </c>
      <c r="H44" s="3310" t="inlineStr">
        <is>
          <t>Tout sauf US. ~8,600 actions. Complément à VOO.</t>
        </is>
      </c>
    </row>
    <row r="45">
      <c r="A45" t="n">
        <v>17</v>
      </c>
      <c r="B45" s="3309" t="inlineStr">
        <is>
          <t>XIC.TO</t>
        </is>
      </c>
      <c r="C45" t="inlineStr">
        <is>
          <t>iShares TSX Composite</t>
        </is>
      </c>
      <c r="D45" t="inlineStr">
        <is>
          <t>Canada Large Cap · 0.06%</t>
        </is>
      </c>
      <c r="E45" t="inlineStr">
        <is>
          <t>Gold ⭐</t>
        </is>
      </c>
      <c r="F45" t="inlineStr">
        <is>
          <t>—</t>
        </is>
      </c>
      <c r="G45" t="inlineStr">
        <is>
          <t>DILUER — T4</t>
        </is>
      </c>
      <c r="H45" s="3310" t="inlineStr">
        <is>
          <t>Canada broad market. En portefeuille — diluer naturellement.</t>
        </is>
      </c>
    </row>
    <row r="46">
      <c r="A46" t="n">
        <v>18</v>
      </c>
      <c r="B46" s="3309" t="inlineStr">
        <is>
          <t>TDVG</t>
        </is>
      </c>
      <c r="C46" t="inlineStr">
        <is>
          <t>T. Rowe Price Div Growth</t>
        </is>
      </c>
      <c r="D46" t="inlineStr">
        <is>
          <t>Dividend Actif · 0.50%</t>
        </is>
      </c>
      <c r="E46" t="inlineStr">
        <is>
          <t>Gold ⭐</t>
        </is>
      </c>
      <c r="F46" t="inlineStr">
        <is>
          <t>—</t>
        </is>
      </c>
      <c r="G46" t="inlineStr">
        <is>
          <t>Watchlist REER</t>
        </is>
      </c>
      <c r="H46" s="3310" t="inlineStr">
        <is>
          <t>Actif géré. Morningstar Gold. Alternative SCHD active.</t>
        </is>
      </c>
    </row>
    <row r="47">
      <c r="A47" t="n">
        <v>19</v>
      </c>
      <c r="B47" s="3309" t="inlineStr">
        <is>
          <t>XSP.TO</t>
        </is>
      </c>
      <c r="C47" t="inlineStr">
        <is>
          <t>iShares S&amp;P 500 Hedged</t>
        </is>
      </c>
      <c r="D47" t="inlineStr">
        <is>
          <t>S&amp;P 500 Hedged · 0.10%</t>
        </is>
      </c>
      <c r="E47" t="inlineStr">
        <is>
          <t>Silver</t>
        </is>
      </c>
      <c r="F47" t="inlineStr">
        <is>
          <t>—</t>
        </is>
      </c>
      <c r="G47" t="inlineStr">
        <is>
          <t>Situationnel</t>
        </is>
      </c>
      <c r="H47" s="3310" t="inlineStr">
        <is>
          <t>S&amp;P 500 couvert USD/CAD. Si CAD attendu en hausse.</t>
        </is>
      </c>
    </row>
    <row r="48">
      <c r="A48" t="n">
        <v>20</v>
      </c>
      <c r="B48" s="3309" t="inlineStr">
        <is>
          <t>VEQT.TO</t>
        </is>
      </c>
      <c r="C48" t="inlineStr">
        <is>
          <t>Vanguard All-Equity ETF</t>
        </is>
      </c>
      <c r="D48" t="inlineStr">
        <is>
          <t>Global All-Equity · 0.24%</t>
        </is>
      </c>
      <c r="E48" t="inlineStr">
        <is>
          <t>Gold ⭐</t>
        </is>
      </c>
      <c r="F48" t="inlineStr">
        <is>
          <t>—</t>
        </is>
      </c>
      <c r="G48" t="inlineStr">
        <is>
          <t>Alternative XEQT</t>
        </is>
      </c>
      <c r="H48" s="3310" t="inlineStr">
        <is>
          <t>Concurrent XEQT. Légèrement plus Canada.</t>
        </is>
      </c>
    </row>
    <row r="50">
      <c r="A50" s="3301" t="inlineStr">
        <is>
          <t>③ ACTIONS MOMENTUM</t>
        </is>
      </c>
    </row>
    <row r="51">
      <c r="A51" s="3302" t="inlineStr">
        <is>
          <t>#</t>
        </is>
      </c>
      <c r="B51" s="3302" t="inlineStr">
        <is>
          <t>TICKER</t>
        </is>
      </c>
      <c r="C51" s="3302" t="inlineStr">
        <is>
          <t>NOM</t>
        </is>
      </c>
      <c r="D51" s="3302" t="inlineStr">
        <is>
          <t>SECTEUR / TYPE</t>
        </is>
      </c>
      <c r="E51" s="3302" t="inlineStr">
        <is>
          <t>CONSENSUS</t>
        </is>
      </c>
      <c r="F51" s="3302" t="inlineStr">
        <is>
          <t>UPSIDE %</t>
        </is>
      </c>
      <c r="G51" s="3302" t="inlineStr">
        <is>
          <t>STATUT</t>
        </is>
      </c>
      <c r="H51" s="3302" t="inlineStr">
        <is>
          <t>THÈSE</t>
        </is>
      </c>
    </row>
    <row r="52">
      <c r="A52" s="3303" t="n">
        <v>1</v>
      </c>
      <c r="B52" s="3304" t="inlineStr">
        <is>
          <t>NVDA</t>
        </is>
      </c>
      <c r="C52" s="3303" t="inlineStr">
        <is>
          <t>NVIDIA</t>
        </is>
      </c>
      <c r="D52" s="3303" t="inlineStr">
        <is>
          <t>GPU/IA</t>
        </is>
      </c>
      <c r="E52" s="3303" t="inlineStr">
        <is>
          <t>Strong Buy</t>
        </is>
      </c>
      <c r="F52" s="3303" t="n">
        <v>48</v>
      </c>
      <c r="G52" s="3303" t="inlineStr">
        <is>
          <t>En portefeuille T2</t>
        </is>
      </c>
      <c r="H52" s="3305" t="inlineStr">
        <is>
          <t>GTC 2026 ce weekend. Vera Rubin H2 2026. Earnings revisions +3.7%/7j.</t>
        </is>
      </c>
    </row>
    <row r="53">
      <c r="A53" s="3303" t="n">
        <v>2</v>
      </c>
      <c r="B53" s="3304" t="inlineStr">
        <is>
          <t>AVGO</t>
        </is>
      </c>
      <c r="C53" s="3303" t="inlineStr">
        <is>
          <t>Broadcom</t>
        </is>
      </c>
      <c r="D53" s="3303" t="inlineStr">
        <is>
          <t>Semi/IA</t>
        </is>
      </c>
      <c r="E53" s="3303" t="inlineStr">
        <is>
          <t>Strong Buy</t>
        </is>
      </c>
      <c r="F53" s="3303" t="n">
        <v>45</v>
      </c>
      <c r="G53" s="3303" t="inlineStr">
        <is>
          <t>En portefeuille T1</t>
        </is>
      </c>
      <c r="H53" s="3305" t="inlineStr">
        <is>
          <t>Q2 guidance IA +140%. Tomahawk 6 en production. Earnings avril.</t>
        </is>
      </c>
    </row>
    <row r="54">
      <c r="A54" s="3306" t="n">
        <v>3</v>
      </c>
      <c r="B54" s="3307" t="inlineStr">
        <is>
          <t>LLY</t>
        </is>
      </c>
      <c r="C54" s="3306" t="inlineStr">
        <is>
          <t>Eli Lilly</t>
        </is>
      </c>
      <c r="D54" s="3306" t="inlineStr">
        <is>
          <t>Pharma/GLP-1</t>
        </is>
      </c>
      <c r="E54" s="3306" t="inlineStr">
        <is>
          <t>Strong Buy</t>
        </is>
      </c>
      <c r="F54" s="3306" t="n">
        <v>30</v>
      </c>
      <c r="G54" s="3306" t="inlineStr">
        <is>
          <t>ACHETER</t>
        </is>
      </c>
      <c r="H54" s="3308" t="inlineStr">
        <is>
          <t>Mounjaro/Zepbound demande &gt; offre. Rev +22% projeté 2026.</t>
        </is>
      </c>
    </row>
    <row r="55">
      <c r="A55" s="3306" t="n">
        <v>4</v>
      </c>
      <c r="B55" s="3307" t="inlineStr">
        <is>
          <t>PLTR</t>
        </is>
      </c>
      <c r="C55" s="3306" t="inlineStr">
        <is>
          <t>Palantir</t>
        </is>
      </c>
      <c r="D55" s="3306" t="inlineStr">
        <is>
          <t>IA/Gov/Défense</t>
        </is>
      </c>
      <c r="E55" s="3306" t="inlineStr">
        <is>
          <t>Buy</t>
        </is>
      </c>
      <c r="F55" s="3306" t="n">
        <v>50</v>
      </c>
      <c r="G55" s="3306" t="inlineStr">
        <is>
          <t>CONSIDÉRER TFSA</t>
        </is>
      </c>
      <c r="H55" s="3308" t="inlineStr">
        <is>
          <t>US Commercial +137%, Gov +66%. AIP platform IA.</t>
        </is>
      </c>
    </row>
    <row r="56">
      <c r="A56" s="3303" t="n">
        <v>5</v>
      </c>
      <c r="B56" s="3304" t="inlineStr">
        <is>
          <t>GEV</t>
        </is>
      </c>
      <c r="C56" s="3303" t="inlineStr">
        <is>
          <t>GE Vernova</t>
        </is>
      </c>
      <c r="D56" s="3303" t="inlineStr">
        <is>
          <t>Énergie/Grid</t>
        </is>
      </c>
      <c r="E56" s="3303" t="inlineStr">
        <is>
          <t>Buy</t>
        </is>
      </c>
      <c r="F56" s="3303" t="n">
        <v>7</v>
      </c>
      <c r="G56" s="3303" t="inlineStr">
        <is>
          <t>En portefeuille T1</t>
        </is>
      </c>
      <c r="H56" s="3305" t="inlineStr">
        <is>
          <t>Backlog $150B. Earnings Apr 22. Redburn upgrade Sell→Buy.</t>
        </is>
      </c>
    </row>
    <row r="57">
      <c r="A57" s="3303" t="n">
        <v>6</v>
      </c>
      <c r="B57" s="3304" t="inlineStr">
        <is>
          <t>META</t>
        </is>
      </c>
      <c r="C57" s="3303" t="inlineStr">
        <is>
          <t>Meta Platforms</t>
        </is>
      </c>
      <c r="D57" s="3303" t="inlineStr">
        <is>
          <t>Social/IA</t>
        </is>
      </c>
      <c r="E57" s="3303" t="inlineStr">
        <is>
          <t>Strong Buy</t>
        </is>
      </c>
      <c r="F57" s="3303" t="n">
        <v>35</v>
      </c>
      <c r="G57" s="3303" t="inlineStr">
        <is>
          <t>En portefeuille T1</t>
        </is>
      </c>
      <c r="H57" s="3305" t="inlineStr">
        <is>
          <t>MACD croisé positif Mar 10. Ex-div Mar 16. Capex IA $115-135B.</t>
        </is>
      </c>
    </row>
    <row r="58">
      <c r="A58" s="3306" t="n">
        <v>7</v>
      </c>
      <c r="B58" s="3307" t="inlineStr">
        <is>
          <t>TSM</t>
        </is>
      </c>
      <c r="C58" s="3306" t="inlineStr">
        <is>
          <t>Taiwan Semi ADR</t>
        </is>
      </c>
      <c r="D58" s="3306" t="inlineStr">
        <is>
          <t>Foundry</t>
        </is>
      </c>
      <c r="E58" s="3306" t="inlineStr">
        <is>
          <t>Strong Buy</t>
        </is>
      </c>
      <c r="F58" s="3306" t="n">
        <v>30</v>
      </c>
      <c r="G58" s="3306" t="inlineStr">
        <is>
          <t>CONSIDÉRER TFSA</t>
        </is>
      </c>
      <c r="H58" s="3308" t="inlineStr">
        <is>
          <t>Backbone IA mondiale. Fabs Arizona. Discount géopolitique.</t>
        </is>
      </c>
    </row>
    <row r="59">
      <c r="A59" s="3306" t="n">
        <v>8</v>
      </c>
      <c r="B59" s="3307" t="inlineStr">
        <is>
          <t>CLS</t>
        </is>
      </c>
      <c r="C59" s="3306" t="inlineStr">
        <is>
          <t>Celestica</t>
        </is>
      </c>
      <c r="D59" s="3306" t="inlineStr">
        <is>
          <t>Hardware IA</t>
        </is>
      </c>
      <c r="E59" s="3306" t="inlineStr">
        <is>
          <t>Strong Buy</t>
        </is>
      </c>
      <c r="F59" s="3306" t="n">
        <v>40</v>
      </c>
      <c r="G59" s="3306" t="inlineStr">
        <is>
          <t>CONSIDÉRER</t>
        </is>
      </c>
      <c r="H59" s="3308" t="inlineStr">
        <is>
          <t>Hardware IA data centers. Rang 3/536 IT SA Quant. Rev +166% 1an.</t>
        </is>
      </c>
    </row>
    <row r="60">
      <c r="A60" s="3306" t="n">
        <v>9</v>
      </c>
      <c r="B60" s="3307" t="inlineStr">
        <is>
          <t>NOW</t>
        </is>
      </c>
      <c r="C60" s="3306" t="inlineStr">
        <is>
          <t>ServiceNow</t>
        </is>
      </c>
      <c r="D60" s="3306" t="inlineStr">
        <is>
          <t>SaaS/IA Enterprise</t>
        </is>
      </c>
      <c r="E60" s="3306" t="inlineStr">
        <is>
          <t>Strong Buy</t>
        </is>
      </c>
      <c r="F60" s="3306" t="n">
        <v>22</v>
      </c>
      <c r="G60" s="3306" t="inlineStr">
        <is>
          <t>CONSIDÉRER TFSA</t>
        </is>
      </c>
      <c r="H60" s="3308" t="inlineStr">
        <is>
          <t>IA enterprise agents. Rev +22% récurrent. Earnings avril.</t>
        </is>
      </c>
    </row>
    <row r="61">
      <c r="A61" t="n">
        <v>10</v>
      </c>
      <c r="B61" s="3309" t="inlineStr">
        <is>
          <t>ANET</t>
        </is>
      </c>
      <c r="C61" t="inlineStr">
        <is>
          <t>Arista Networks</t>
        </is>
      </c>
      <c r="D61" t="inlineStr">
        <is>
          <t>Networking IA</t>
        </is>
      </c>
      <c r="E61" t="inlineStr">
        <is>
          <t>Strong Buy</t>
        </is>
      </c>
      <c r="F61" t="n">
        <v>20</v>
      </c>
      <c r="G61" t="inlineStr">
        <is>
          <t>Watchlist</t>
        </is>
      </c>
      <c r="H61" s="3310" t="inlineStr">
        <is>
          <t>Networking IA data centers. Hyperscaler spending = tailwind.</t>
        </is>
      </c>
    </row>
    <row r="62">
      <c r="A62" s="3303" t="n">
        <v>11</v>
      </c>
      <c r="B62" s="3304" t="inlineStr">
        <is>
          <t>AMZN</t>
        </is>
      </c>
      <c r="C62" s="3303" t="inlineStr">
        <is>
          <t>Amazon</t>
        </is>
      </c>
      <c r="D62" s="3303" t="inlineStr">
        <is>
          <t>Cloud/Commerce/IA</t>
        </is>
      </c>
      <c r="E62" s="3303" t="inlineStr">
        <is>
          <t>Strong Buy</t>
        </is>
      </c>
      <c r="F62" s="3303" t="n">
        <v>35</v>
      </c>
      <c r="G62" s="3303" t="inlineStr">
        <is>
          <t>En portefeuille T1</t>
        </is>
      </c>
      <c r="H62" s="3305" t="inlineStr">
        <is>
          <t>AWS + Cerebras. Prime Day juin avancé. $200B capex 2026.</t>
        </is>
      </c>
    </row>
    <row r="63">
      <c r="A63" s="3303" t="n">
        <v>12</v>
      </c>
      <c r="B63" s="3304" t="inlineStr">
        <is>
          <t>MSFT</t>
        </is>
      </c>
      <c r="C63" s="3303" t="inlineStr">
        <is>
          <t>Microsoft</t>
        </is>
      </c>
      <c r="D63" s="3303" t="inlineStr">
        <is>
          <t>Cloud/IA</t>
        </is>
      </c>
      <c r="E63" s="3303" t="inlineStr">
        <is>
          <t>Strong Buy</t>
        </is>
      </c>
      <c r="F63" s="3303" t="n">
        <v>50</v>
      </c>
      <c r="G63" s="3303" t="inlineStr">
        <is>
          <t>En portefeuille T2</t>
        </is>
      </c>
      <c r="H63" s="3305" t="inlineStr">
        <is>
          <t>Azure +37-38%. Copilot enterprise. 54 analysts Strong Buy.</t>
        </is>
      </c>
    </row>
    <row r="64">
      <c r="A64" t="n">
        <v>13</v>
      </c>
      <c r="B64" s="3309" t="inlineStr">
        <is>
          <t>PANW</t>
        </is>
      </c>
      <c r="C64" t="inlineStr">
        <is>
          <t>Palo Alto Networks</t>
        </is>
      </c>
      <c r="D64" t="inlineStr">
        <is>
          <t>Cybersecurity IA</t>
        </is>
      </c>
      <c r="E64" t="inlineStr">
        <is>
          <t>Buy</t>
        </is>
      </c>
      <c r="F64" t="n">
        <v>20</v>
      </c>
      <c r="G64" t="inlineStr">
        <is>
          <t>Watchlist</t>
        </is>
      </c>
      <c r="H64" s="3310" t="inlineStr">
        <is>
          <t>Cybersecurity IA = mega trend. Consolidation plateforme.</t>
        </is>
      </c>
    </row>
    <row r="65">
      <c r="A65" s="3306" t="n">
        <v>14</v>
      </c>
      <c r="B65" s="3307" t="inlineStr">
        <is>
          <t>APP</t>
        </is>
      </c>
      <c r="C65" s="3306" t="inlineStr">
        <is>
          <t>AppLovin</t>
        </is>
      </c>
      <c r="D65" s="3306" t="inlineStr">
        <is>
          <t>IA Advertising</t>
        </is>
      </c>
      <c r="E65" s="3306" t="inlineStr">
        <is>
          <t>Strong Buy</t>
        </is>
      </c>
      <c r="F65" s="3306" t="n">
        <v>25</v>
      </c>
      <c r="G65" s="3306" t="inlineStr">
        <is>
          <t>CONSIDÉRER TFSA</t>
        </is>
      </c>
      <c r="H65" s="3308" t="inlineStr">
        <is>
          <t>IA advertising mobile. +500% en 2025. Rev exponentiel.</t>
        </is>
      </c>
    </row>
    <row r="66">
      <c r="A66" t="n">
        <v>15</v>
      </c>
      <c r="B66" s="3309" t="inlineStr">
        <is>
          <t>FIX</t>
        </is>
      </c>
      <c r="C66" t="inlineStr">
        <is>
          <t>Comfort Systems USA</t>
        </is>
      </c>
      <c r="D66" t="inlineStr">
        <is>
          <t>HVAC/IA Infra</t>
        </is>
      </c>
      <c r="E66" t="inlineStr">
        <is>
          <t>Strong Buy</t>
        </is>
      </c>
      <c r="F66" t="n">
        <v>20</v>
      </c>
      <c r="G66" t="inlineStr">
        <is>
          <t>Watchlist</t>
        </is>
      </c>
      <c r="H66" s="3310" t="inlineStr">
        <is>
          <t>HVAC data centers IA = demande explosive. Zacks #1 Mars 2026.</t>
        </is>
      </c>
    </row>
    <row r="67">
      <c r="A67" s="3306" t="n">
        <v>16</v>
      </c>
      <c r="B67" s="3307" t="inlineStr">
        <is>
          <t>MELI</t>
        </is>
      </c>
      <c r="C67" s="3306" t="inlineStr">
        <is>
          <t>MercadoLibre</t>
        </is>
      </c>
      <c r="D67" s="3306" t="inlineStr">
        <is>
          <t>E-comm/Fintech LatAm</t>
        </is>
      </c>
      <c r="E67" s="3306" t="inlineStr">
        <is>
          <t>Strong Buy</t>
        </is>
      </c>
      <c r="F67" s="3306" t="n">
        <v>25</v>
      </c>
      <c r="G67" s="3306" t="inlineStr">
        <is>
          <t>CONSIDÉRER TFSA</t>
        </is>
      </c>
      <c r="H67" s="3308" t="inlineStr">
        <is>
          <t>Rev +49%. Charter bancaire Mexico + US. Régions sous-pénétrées.</t>
        </is>
      </c>
    </row>
    <row r="68">
      <c r="A68" s="3303" t="n">
        <v>17</v>
      </c>
      <c r="B68" s="3304" t="inlineStr">
        <is>
          <t>GOOG</t>
        </is>
      </c>
      <c r="C68" s="3303" t="inlineStr">
        <is>
          <t>Alphabet</t>
        </is>
      </c>
      <c r="D68" s="3303" t="inlineStr">
        <is>
          <t>IA/Cloud/Search</t>
        </is>
      </c>
      <c r="E68" s="3303" t="inlineStr">
        <is>
          <t>Strong Buy</t>
        </is>
      </c>
      <c r="F68" s="3303" t="n">
        <v>25</v>
      </c>
      <c r="G68" s="3303" t="inlineStr">
        <is>
          <t>En portefeuille T1</t>
        </is>
      </c>
      <c r="H68" s="3305" t="inlineStr">
        <is>
          <t>Search IA défendu. Google Cloud +28%. 60 analysts Strong Buy.</t>
        </is>
      </c>
    </row>
    <row r="69">
      <c r="A69" t="n">
        <v>18</v>
      </c>
      <c r="B69" s="3309" t="inlineStr">
        <is>
          <t>RIO</t>
        </is>
      </c>
      <c r="C69" t="inlineStr">
        <is>
          <t>Rio Tinto</t>
        </is>
      </c>
      <c r="D69" t="inlineStr">
        <is>
          <t>Matériaux/Cuivre</t>
        </is>
      </c>
      <c r="E69" t="inlineStr">
        <is>
          <t>Buy</t>
        </is>
      </c>
      <c r="F69" t="n">
        <v>20</v>
      </c>
      <c r="G69" t="inlineStr">
        <is>
          <t>Watchlist</t>
        </is>
      </c>
      <c r="H69" s="3310" t="inlineStr">
        <is>
          <t>Cuivre = métal de l'IA. Zacks momentum Mars 2026. Div 5%+.</t>
        </is>
      </c>
    </row>
    <row r="70">
      <c r="A70" t="n">
        <v>19</v>
      </c>
      <c r="B70" s="3309" t="inlineStr">
        <is>
          <t>WMT</t>
        </is>
      </c>
      <c r="C70" t="inlineStr">
        <is>
          <t>Walmart</t>
        </is>
      </c>
      <c r="D70" t="inlineStr">
        <is>
          <t>Retail/Défensif</t>
        </is>
      </c>
      <c r="E70" t="inlineStr">
        <is>
          <t>Buy</t>
        </is>
      </c>
      <c r="F70" t="n">
        <v>15</v>
      </c>
      <c r="G70" t="inlineStr">
        <is>
          <t>Watchlist</t>
        </is>
      </c>
      <c r="H70" s="3310" t="inlineStr">
        <is>
          <t>Retail king récession. E-commerce accélération.</t>
        </is>
      </c>
    </row>
    <row r="71">
      <c r="A71" t="n">
        <v>20</v>
      </c>
      <c r="B71" s="3309" t="inlineStr">
        <is>
          <t>SOFI</t>
        </is>
      </c>
      <c r="C71" t="inlineStr">
        <is>
          <t>SoFi Technologies</t>
        </is>
      </c>
      <c r="D71" t="inlineStr">
        <is>
          <t>Digital Bank</t>
        </is>
      </c>
      <c r="E71" t="inlineStr">
        <is>
          <t>Buy</t>
        </is>
      </c>
      <c r="F71" t="n">
        <v>35</v>
      </c>
      <c r="G71" t="inlineStr">
        <is>
          <t>SPÉCULATIF</t>
        </is>
      </c>
      <c r="H71" s="3310" t="inlineStr">
        <is>
          <t>Digital bank. Rev +38% YoY. Charter bancaire.</t>
        </is>
      </c>
    </row>
  </sheetData>
  <mergeCells count="3">
    <mergeCell ref="A50:H50"/>
    <mergeCell ref="A4:H4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2026-03-12T04:22:22Z</dcterms:created>
  <dcterms:modified xmlns:dcterms="http://purl.org/dc/terms/" xmlns:xsi="http://www.w3.org/2001/XMLSchema-instance" xsi:type="dcterms:W3CDTF">2026-03-14T20:20:38Z</dcterms:modified>
  <cp:revision>0</cp:revision>
</cp:coreProperties>
</file>